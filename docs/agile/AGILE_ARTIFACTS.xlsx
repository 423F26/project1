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owensanford/Desktop/project1/docs/agile/"/>
    </mc:Choice>
  </mc:AlternateContent>
  <xr:revisionPtr revIDLastSave="0" documentId="13_ncr:1_{7855478A-FB70-6449-871C-08390C5CC9D3}" xr6:coauthVersionLast="47" xr6:coauthVersionMax="47" xr10:uidLastSave="{00000000-0000-0000-0000-000000000000}"/>
  <bookViews>
    <workbookView xWindow="0" yWindow="780" windowWidth="34200" windowHeight="20340" xr2:uid="{00000000-000D-0000-FFFF-FFFF00000000}"/>
  </bookViews>
  <sheets>
    <sheet name="Product Backlog" sheetId="1" r:id="rId1"/>
    <sheet name="Burndown Chart" sheetId="2" r:id="rId2"/>
    <sheet name="Sprint 1" sheetId="3" r:id="rId3"/>
    <sheet name="Sprint 2" sheetId="4" r:id="rId4"/>
    <sheet name="Sprint 3" sheetId="5" r:id="rId5"/>
    <sheet name="Sprint 4" sheetId="6" r:id="rId6"/>
    <sheet name="Sprint 5" sheetId="7" r:id="rId7"/>
    <sheet name="Sprint 6" sheetId="8" r:id="rId8"/>
  </sheets>
  <definedNames>
    <definedName name="BurndownDates">'Burndown Chart'!$B$26:INDEX('Burndown Chart'!$B:$B,25+COUNT('Burndown Chart'!$A$26:$A$119))</definedName>
    <definedName name="BurndownRemaining">'Burndown Chart'!$C$26:INDEX('Burndown Chart'!$C:$C,25+COUNT('Burndown Chart'!$A$26:$A$119))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2" l="1"/>
  <c r="B26" i="2"/>
  <c r="P26" i="2" s="1"/>
  <c r="C26" i="2"/>
  <c r="Q26" i="2" s="1"/>
  <c r="D26" i="2"/>
  <c r="E26" i="2"/>
  <c r="R26" i="2"/>
  <c r="A27" i="2"/>
  <c r="C27" i="2"/>
  <c r="Q27" i="2" s="1"/>
  <c r="D27" i="2"/>
  <c r="B27" i="2" s="1"/>
  <c r="P27" i="2" s="1"/>
  <c r="E27" i="2"/>
  <c r="R27" i="2"/>
  <c r="A28" i="2"/>
  <c r="C28" i="2"/>
  <c r="Q28" i="2" s="1"/>
  <c r="D28" i="2"/>
  <c r="B28" i="2" s="1"/>
  <c r="P28" i="2" s="1"/>
  <c r="E28" i="2"/>
  <c r="R28" i="2" s="1"/>
  <c r="A29" i="2"/>
  <c r="C29" i="2"/>
  <c r="Q29" i="2" s="1"/>
  <c r="D29" i="2"/>
  <c r="B29" i="2" s="1"/>
  <c r="P29" i="2" s="1"/>
  <c r="E29" i="2"/>
  <c r="R29" i="2"/>
  <c r="A30" i="2"/>
  <c r="C30" i="2"/>
  <c r="Q30" i="2" s="1"/>
  <c r="D30" i="2"/>
  <c r="B30" i="2" s="1"/>
  <c r="P30" i="2" s="1"/>
  <c r="E30" i="2"/>
  <c r="R30" i="2"/>
  <c r="A31" i="2"/>
  <c r="C31" i="2"/>
  <c r="Q31" i="2" s="1"/>
  <c r="D31" i="2"/>
  <c r="B31" i="2" s="1"/>
  <c r="P31" i="2" s="1"/>
  <c r="E31" i="2"/>
  <c r="R31" i="2"/>
  <c r="A32" i="2"/>
  <c r="C32" i="2"/>
  <c r="Q32" i="2" s="1"/>
  <c r="D32" i="2"/>
  <c r="B32" i="2" s="1"/>
  <c r="P32" i="2" s="1"/>
  <c r="E32" i="2"/>
  <c r="R32" i="2"/>
  <c r="A33" i="2"/>
  <c r="C33" i="2"/>
  <c r="Q33" i="2" s="1"/>
  <c r="D33" i="2"/>
  <c r="B33" i="2" s="1"/>
  <c r="P33" i="2" s="1"/>
  <c r="E33" i="2"/>
  <c r="R33" i="2"/>
  <c r="A34" i="2"/>
  <c r="C34" i="2"/>
  <c r="Q34" i="2" s="1"/>
  <c r="D34" i="2"/>
  <c r="B34" i="2" s="1"/>
  <c r="P34" i="2" s="1"/>
  <c r="E34" i="2"/>
  <c r="R34" i="2"/>
  <c r="A35" i="2"/>
  <c r="C35" i="2"/>
  <c r="Q35" i="2" s="1"/>
  <c r="D35" i="2"/>
  <c r="B35" i="2" s="1"/>
  <c r="P35" i="2" s="1"/>
  <c r="E35" i="2"/>
  <c r="R35" i="2"/>
  <c r="A36" i="2"/>
  <c r="C36" i="2"/>
  <c r="Q36" i="2" s="1"/>
  <c r="D36" i="2"/>
  <c r="B36" i="2" s="1"/>
  <c r="P36" i="2" s="1"/>
  <c r="E36" i="2"/>
  <c r="R36" i="2"/>
  <c r="A37" i="2"/>
  <c r="C37" i="2"/>
  <c r="Q37" i="2" s="1"/>
  <c r="D37" i="2"/>
  <c r="B37" i="2" s="1"/>
  <c r="P37" i="2" s="1"/>
  <c r="E37" i="2"/>
  <c r="R37" i="2"/>
  <c r="A38" i="2"/>
  <c r="C38" i="2"/>
  <c r="Q38" i="2" s="1"/>
  <c r="D38" i="2"/>
  <c r="E38" i="2"/>
  <c r="R38" i="2"/>
  <c r="A39" i="2"/>
  <c r="C39" i="2"/>
  <c r="Q39" i="2" s="1"/>
  <c r="D39" i="2"/>
  <c r="B39" i="2" s="1"/>
  <c r="P39" i="2" s="1"/>
  <c r="E39" i="2"/>
  <c r="R39" i="2"/>
  <c r="A40" i="2"/>
  <c r="B40" i="2"/>
  <c r="P40" i="2" s="1"/>
  <c r="C40" i="2"/>
  <c r="Q40" i="2" s="1"/>
  <c r="D40" i="2"/>
  <c r="E40" i="2"/>
  <c r="R40" i="2"/>
  <c r="A41" i="2"/>
  <c r="C41" i="2"/>
  <c r="Q41" i="2" s="1"/>
  <c r="D41" i="2"/>
  <c r="B41" i="2" s="1"/>
  <c r="P41" i="2" s="1"/>
  <c r="E41" i="2"/>
  <c r="R41" i="2"/>
  <c r="A42" i="2"/>
  <c r="C42" i="2"/>
  <c r="Q42" i="2" s="1"/>
  <c r="D42" i="2"/>
  <c r="B42" i="2" s="1"/>
  <c r="P42" i="2" s="1"/>
  <c r="E42" i="2"/>
  <c r="R42" i="2"/>
  <c r="A43" i="2"/>
  <c r="C43" i="2"/>
  <c r="Q43" i="2" s="1"/>
  <c r="D43" i="2"/>
  <c r="B43" i="2" s="1"/>
  <c r="P43" i="2" s="1"/>
  <c r="E43" i="2"/>
  <c r="R43" i="2"/>
  <c r="A44" i="2"/>
  <c r="C44" i="2"/>
  <c r="Q44" i="2" s="1"/>
  <c r="D44" i="2"/>
  <c r="B44" i="2" s="1"/>
  <c r="P44" i="2" s="1"/>
  <c r="E44" i="2"/>
  <c r="R44" i="2"/>
  <c r="A45" i="2"/>
  <c r="C45" i="2"/>
  <c r="Q45" i="2" s="1"/>
  <c r="A46" i="2"/>
  <c r="C46" i="2"/>
  <c r="D46" i="2"/>
  <c r="B46" i="2" s="1"/>
  <c r="P46" i="2" s="1"/>
  <c r="E46" i="2"/>
  <c r="Q46" i="2"/>
  <c r="R46" i="2"/>
  <c r="A47" i="2"/>
  <c r="C47" i="2"/>
  <c r="D47" i="2"/>
  <c r="B47" i="2" s="1"/>
  <c r="P47" i="2" s="1"/>
  <c r="E47" i="2"/>
  <c r="Q47" i="2"/>
  <c r="R47" i="2"/>
  <c r="A48" i="2"/>
  <c r="C48" i="2"/>
  <c r="Q48" i="2" s="1"/>
  <c r="D48" i="2"/>
  <c r="B48" i="2" s="1"/>
  <c r="P48" i="2" s="1"/>
  <c r="E48" i="2"/>
  <c r="R48" i="2"/>
  <c r="A49" i="2"/>
  <c r="C49" i="2"/>
  <c r="Q49" i="2" s="1"/>
  <c r="D49" i="2"/>
  <c r="B49" i="2" s="1"/>
  <c r="P49" i="2" s="1"/>
  <c r="E49" i="2"/>
  <c r="R49" i="2"/>
  <c r="A50" i="2"/>
  <c r="C50" i="2"/>
  <c r="Q50" i="2" s="1"/>
  <c r="D50" i="2"/>
  <c r="B50" i="2" s="1"/>
  <c r="P50" i="2" s="1"/>
  <c r="E50" i="2"/>
  <c r="R50" i="2"/>
  <c r="A51" i="2"/>
  <c r="C51" i="2"/>
  <c r="Q51" i="2" s="1"/>
  <c r="D51" i="2"/>
  <c r="B51" i="2" s="1"/>
  <c r="P51" i="2" s="1"/>
  <c r="E51" i="2"/>
  <c r="R51" i="2"/>
  <c r="A52" i="2"/>
  <c r="C52" i="2"/>
  <c r="Q52" i="2" s="1"/>
  <c r="D52" i="2"/>
  <c r="B52" i="2" s="1"/>
  <c r="P52" i="2" s="1"/>
  <c r="E52" i="2"/>
  <c r="R52" i="2"/>
  <c r="A53" i="2"/>
  <c r="C53" i="2"/>
  <c r="Q53" i="2" s="1"/>
  <c r="D53" i="2"/>
  <c r="B53" i="2" s="1"/>
  <c r="P53" i="2" s="1"/>
  <c r="E53" i="2"/>
  <c r="R53" i="2"/>
  <c r="A54" i="2"/>
  <c r="B54" i="2"/>
  <c r="P54" i="2" s="1"/>
  <c r="C54" i="2"/>
  <c r="Q54" i="2" s="1"/>
  <c r="D54" i="2"/>
  <c r="E54" i="2"/>
  <c r="R54" i="2"/>
  <c r="A55" i="2"/>
  <c r="C55" i="2"/>
  <c r="Q55" i="2" s="1"/>
  <c r="D55" i="2"/>
  <c r="B55" i="2" s="1"/>
  <c r="P55" i="2" s="1"/>
  <c r="E55" i="2"/>
  <c r="R55" i="2"/>
  <c r="A56" i="2"/>
  <c r="C56" i="2"/>
  <c r="Q56" i="2" s="1"/>
  <c r="D56" i="2"/>
  <c r="B56" i="2" s="1"/>
  <c r="P56" i="2" s="1"/>
  <c r="E56" i="2"/>
  <c r="R56" i="2"/>
  <c r="A57" i="2"/>
  <c r="C57" i="2"/>
  <c r="Q57" i="2" s="1"/>
  <c r="D57" i="2"/>
  <c r="B57" i="2" s="1"/>
  <c r="P57" i="2" s="1"/>
  <c r="E57" i="2"/>
  <c r="R57" i="2"/>
  <c r="A58" i="2"/>
  <c r="C58" i="2"/>
  <c r="Q58" i="2" s="1"/>
  <c r="D58" i="2"/>
  <c r="B58" i="2" s="1"/>
  <c r="P58" i="2" s="1"/>
  <c r="E58" i="2"/>
  <c r="R58" i="2"/>
  <c r="A59" i="2"/>
  <c r="C59" i="2"/>
  <c r="Q59" i="2" s="1"/>
  <c r="D59" i="2"/>
  <c r="B59" i="2" s="1"/>
  <c r="P59" i="2" s="1"/>
  <c r="E59" i="2"/>
  <c r="R59" i="2"/>
  <c r="A60" i="2"/>
  <c r="C60" i="2"/>
  <c r="Q60" i="2" s="1"/>
  <c r="D60" i="2"/>
  <c r="B60" i="2" s="1"/>
  <c r="P60" i="2" s="1"/>
  <c r="E60" i="2"/>
  <c r="R60" i="2"/>
  <c r="A61" i="2"/>
  <c r="C61" i="2"/>
  <c r="Q61" i="2" s="1"/>
  <c r="D61" i="2"/>
  <c r="B61" i="2" s="1"/>
  <c r="P61" i="2" s="1"/>
  <c r="E61" i="2"/>
  <c r="R61" i="2"/>
  <c r="A62" i="2"/>
  <c r="C62" i="2"/>
  <c r="Q62" i="2" s="1"/>
  <c r="D62" i="2"/>
  <c r="E62" i="2"/>
  <c r="R62" i="2"/>
  <c r="A63" i="2"/>
  <c r="C63" i="2"/>
  <c r="Q63" i="2" s="1"/>
  <c r="D63" i="2"/>
  <c r="B63" i="2" s="1"/>
  <c r="P63" i="2" s="1"/>
  <c r="E63" i="2"/>
  <c r="R63" i="2"/>
  <c r="A64" i="2"/>
  <c r="C64" i="2"/>
  <c r="Q64" i="2" s="1"/>
  <c r="D64" i="2"/>
  <c r="B64" i="2" s="1"/>
  <c r="P64" i="2" s="1"/>
  <c r="E64" i="2"/>
  <c r="R64" i="2" s="1"/>
  <c r="A65" i="2"/>
  <c r="C65" i="2"/>
  <c r="Q65" i="2" s="1"/>
  <c r="D65" i="2"/>
  <c r="B65" i="2" s="1"/>
  <c r="P65" i="2" s="1"/>
  <c r="E65" i="2"/>
  <c r="R65" i="2"/>
  <c r="A66" i="2"/>
  <c r="C66" i="2"/>
  <c r="Q66" i="2" s="1"/>
  <c r="D66" i="2"/>
  <c r="B66" i="2" s="1"/>
  <c r="P66" i="2" s="1"/>
  <c r="E66" i="2"/>
  <c r="R66" i="2"/>
  <c r="A67" i="2"/>
  <c r="C67" i="2"/>
  <c r="Q67" i="2" s="1"/>
  <c r="D67" i="2"/>
  <c r="B67" i="2" s="1"/>
  <c r="P67" i="2" s="1"/>
  <c r="E67" i="2"/>
  <c r="R67" i="2"/>
  <c r="A68" i="2"/>
  <c r="B68" i="2"/>
  <c r="P68" i="2" s="1"/>
  <c r="C68" i="2"/>
  <c r="Q68" i="2" s="1"/>
  <c r="D68" i="2"/>
  <c r="E68" i="2"/>
  <c r="R68" i="2"/>
  <c r="A69" i="2"/>
  <c r="C69" i="2"/>
  <c r="Q69" i="2" s="1"/>
  <c r="D69" i="2"/>
  <c r="B69" i="2" s="1"/>
  <c r="P69" i="2" s="1"/>
  <c r="E69" i="2"/>
  <c r="R69" i="2"/>
  <c r="A70" i="2"/>
  <c r="C70" i="2"/>
  <c r="Q70" i="2" s="1"/>
  <c r="D70" i="2"/>
  <c r="B70" i="2" s="1"/>
  <c r="P70" i="2" s="1"/>
  <c r="E70" i="2"/>
  <c r="R70" i="2"/>
  <c r="A71" i="2"/>
  <c r="C71" i="2"/>
  <c r="Q71" i="2" s="1"/>
  <c r="D71" i="2"/>
  <c r="B71" i="2" s="1"/>
  <c r="P71" i="2" s="1"/>
  <c r="E71" i="2"/>
  <c r="R71" i="2"/>
  <c r="A72" i="2"/>
  <c r="C72" i="2"/>
  <c r="Q72" i="2" s="1"/>
  <c r="D72" i="2"/>
  <c r="B72" i="2" s="1"/>
  <c r="P72" i="2" s="1"/>
  <c r="E72" i="2"/>
  <c r="R72" i="2"/>
  <c r="A73" i="2"/>
  <c r="C73" i="2"/>
  <c r="Q73" i="2" s="1"/>
  <c r="D73" i="2"/>
  <c r="B73" i="2" s="1"/>
  <c r="P73" i="2" s="1"/>
  <c r="E73" i="2"/>
  <c r="R73" i="2"/>
  <c r="A74" i="2"/>
  <c r="C74" i="2"/>
  <c r="Q74" i="2" s="1"/>
  <c r="D74" i="2"/>
  <c r="B74" i="2" s="1"/>
  <c r="P74" i="2" s="1"/>
  <c r="E74" i="2"/>
  <c r="R74" i="2"/>
  <c r="A75" i="2"/>
  <c r="C75" i="2"/>
  <c r="Q75" i="2" s="1"/>
  <c r="D75" i="2"/>
  <c r="B75" i="2" s="1"/>
  <c r="P75" i="2" s="1"/>
  <c r="E75" i="2"/>
  <c r="R75" i="2"/>
  <c r="A76" i="2"/>
  <c r="C76" i="2"/>
  <c r="Q76" i="2" s="1"/>
  <c r="D76" i="2"/>
  <c r="B76" i="2" s="1"/>
  <c r="P76" i="2" s="1"/>
  <c r="E76" i="2"/>
  <c r="R76" i="2" s="1"/>
  <c r="A77" i="2"/>
  <c r="C77" i="2"/>
  <c r="Q77" i="2" s="1"/>
  <c r="D77" i="2"/>
  <c r="B77" i="2" s="1"/>
  <c r="P77" i="2" s="1"/>
  <c r="E77" i="2"/>
  <c r="R77" i="2"/>
  <c r="A78" i="2"/>
  <c r="C78" i="2"/>
  <c r="Q78" i="2" s="1"/>
  <c r="D78" i="2"/>
  <c r="B78" i="2" s="1"/>
  <c r="P78" i="2" s="1"/>
  <c r="E78" i="2"/>
  <c r="R78" i="2"/>
  <c r="A79" i="2"/>
  <c r="C79" i="2"/>
  <c r="Q79" i="2" s="1"/>
  <c r="D79" i="2"/>
  <c r="B79" i="2" s="1"/>
  <c r="P79" i="2" s="1"/>
  <c r="E79" i="2"/>
  <c r="R79" i="2"/>
  <c r="A80" i="2"/>
  <c r="C80" i="2"/>
  <c r="Q80" i="2" s="1"/>
  <c r="D80" i="2"/>
  <c r="B80" i="2" s="1"/>
  <c r="P80" i="2" s="1"/>
  <c r="E80" i="2"/>
  <c r="R80" i="2" s="1"/>
  <c r="A81" i="2"/>
  <c r="C81" i="2"/>
  <c r="Q81" i="2" s="1"/>
  <c r="D81" i="2"/>
  <c r="B81" i="2" s="1"/>
  <c r="P81" i="2" s="1"/>
  <c r="E81" i="2"/>
  <c r="R81" i="2"/>
  <c r="A82" i="2"/>
  <c r="B82" i="2"/>
  <c r="P82" i="2" s="1"/>
  <c r="C82" i="2"/>
  <c r="Q82" i="2" s="1"/>
  <c r="D82" i="2"/>
  <c r="E82" i="2"/>
  <c r="R82" i="2"/>
  <c r="A83" i="2"/>
  <c r="C83" i="2"/>
  <c r="Q83" i="2" s="1"/>
  <c r="D83" i="2"/>
  <c r="B83" i="2" s="1"/>
  <c r="P83" i="2" s="1"/>
  <c r="E83" i="2"/>
  <c r="R83" i="2"/>
  <c r="A84" i="2"/>
  <c r="A85" i="2"/>
  <c r="C85" i="2"/>
  <c r="Q85" i="2" s="1"/>
  <c r="D85" i="2"/>
  <c r="B85" i="2" s="1"/>
  <c r="P85" i="2" s="1"/>
  <c r="E85" i="2"/>
  <c r="R85" i="2"/>
  <c r="A86" i="2"/>
  <c r="C86" i="2"/>
  <c r="Q86" i="2" s="1"/>
  <c r="D86" i="2"/>
  <c r="B86" i="2" s="1"/>
  <c r="P86" i="2" s="1"/>
  <c r="E86" i="2"/>
  <c r="R86" i="2"/>
  <c r="A87" i="2"/>
  <c r="C87" i="2"/>
  <c r="Q87" i="2" s="1"/>
  <c r="D87" i="2"/>
  <c r="B87" i="2" s="1"/>
  <c r="P87" i="2" s="1"/>
  <c r="E87" i="2"/>
  <c r="R87" i="2"/>
  <c r="A88" i="2"/>
  <c r="C88" i="2"/>
  <c r="Q88" i="2" s="1"/>
  <c r="D88" i="2"/>
  <c r="B88" i="2" s="1"/>
  <c r="P88" i="2" s="1"/>
  <c r="E88" i="2"/>
  <c r="R88" i="2"/>
  <c r="A89" i="2"/>
  <c r="C89" i="2"/>
  <c r="Q89" i="2" s="1"/>
  <c r="D89" i="2"/>
  <c r="B89" i="2" s="1"/>
  <c r="P89" i="2" s="1"/>
  <c r="E89" i="2"/>
  <c r="R89" i="2"/>
  <c r="A90" i="2"/>
  <c r="C90" i="2"/>
  <c r="Q90" i="2" s="1"/>
  <c r="D90" i="2"/>
  <c r="B90" i="2" s="1"/>
  <c r="P90" i="2" s="1"/>
  <c r="E90" i="2"/>
  <c r="R90" i="2"/>
  <c r="A91" i="2"/>
  <c r="C91" i="2"/>
  <c r="Q91" i="2" s="1"/>
  <c r="D91" i="2"/>
  <c r="B91" i="2" s="1"/>
  <c r="P91" i="2" s="1"/>
  <c r="E91" i="2"/>
  <c r="R91" i="2"/>
  <c r="A92" i="2"/>
  <c r="C92" i="2"/>
  <c r="Q92" i="2" s="1"/>
  <c r="D92" i="2"/>
  <c r="B92" i="2" s="1"/>
  <c r="P92" i="2" s="1"/>
  <c r="E92" i="2"/>
  <c r="R92" i="2"/>
  <c r="A93" i="2"/>
  <c r="C93" i="2"/>
  <c r="Q93" i="2" s="1"/>
  <c r="D93" i="2"/>
  <c r="B93" i="2" s="1"/>
  <c r="P93" i="2" s="1"/>
  <c r="E93" i="2"/>
  <c r="R93" i="2"/>
  <c r="A94" i="2"/>
  <c r="C94" i="2"/>
  <c r="Q94" i="2" s="1"/>
  <c r="D94" i="2"/>
  <c r="B94" i="2" s="1"/>
  <c r="P94" i="2" s="1"/>
  <c r="E94" i="2"/>
  <c r="R94" i="2"/>
  <c r="A95" i="2"/>
  <c r="C95" i="2"/>
  <c r="Q95" i="2" s="1"/>
  <c r="D95" i="2"/>
  <c r="B95" i="2" s="1"/>
  <c r="P95" i="2" s="1"/>
  <c r="E95" i="2"/>
  <c r="R95" i="2"/>
  <c r="A96" i="2"/>
  <c r="B96" i="2"/>
  <c r="P96" i="2" s="1"/>
  <c r="C96" i="2"/>
  <c r="Q96" i="2" s="1"/>
  <c r="D96" i="2"/>
  <c r="E96" i="2"/>
  <c r="R96" i="2"/>
  <c r="A97" i="2"/>
  <c r="C97" i="2"/>
  <c r="Q97" i="2" s="1"/>
  <c r="D97" i="2"/>
  <c r="B97" i="2" s="1"/>
  <c r="P97" i="2" s="1"/>
  <c r="E97" i="2"/>
  <c r="R97" i="2"/>
  <c r="A98" i="2"/>
  <c r="C98" i="2"/>
  <c r="Q98" i="2" s="1"/>
  <c r="D98" i="2"/>
  <c r="B98" i="2" s="1"/>
  <c r="P98" i="2" s="1"/>
  <c r="E98" i="2"/>
  <c r="R98" i="2"/>
  <c r="A99" i="2"/>
  <c r="C99" i="2"/>
  <c r="Q99" i="2" s="1"/>
  <c r="D99" i="2"/>
  <c r="B99" i="2" s="1"/>
  <c r="P99" i="2" s="1"/>
  <c r="E99" i="2"/>
  <c r="R99" i="2"/>
  <c r="A100" i="2"/>
  <c r="C100" i="2"/>
  <c r="Q100" i="2" s="1"/>
  <c r="D100" i="2"/>
  <c r="B100" i="2" s="1"/>
  <c r="P100" i="2" s="1"/>
  <c r="E100" i="2"/>
  <c r="R100" i="2"/>
  <c r="A101" i="2"/>
  <c r="C101" i="2"/>
  <c r="Q101" i="2" s="1"/>
  <c r="D101" i="2"/>
  <c r="B101" i="2" s="1"/>
  <c r="P101" i="2" s="1"/>
  <c r="E101" i="2"/>
  <c r="R101" i="2"/>
  <c r="A102" i="2"/>
  <c r="C102" i="2"/>
  <c r="Q102" i="2" s="1"/>
  <c r="D102" i="2"/>
  <c r="B102" i="2" s="1"/>
  <c r="P102" i="2" s="1"/>
  <c r="E102" i="2"/>
  <c r="R102" i="2"/>
  <c r="A103" i="2"/>
  <c r="E103" i="2" s="1"/>
  <c r="R103" i="2" s="1"/>
  <c r="C103" i="2"/>
  <c r="Q103" i="2" s="1"/>
  <c r="D103" i="2"/>
  <c r="B103" i="2" s="1"/>
  <c r="P103" i="2" s="1"/>
  <c r="A104" i="2"/>
  <c r="C104" i="2"/>
  <c r="Q104" i="2" s="1"/>
  <c r="D104" i="2"/>
  <c r="B104" i="2" s="1"/>
  <c r="P104" i="2" s="1"/>
  <c r="E104" i="2"/>
  <c r="R104" i="2"/>
  <c r="A105" i="2"/>
  <c r="C105" i="2"/>
  <c r="Q105" i="2" s="1"/>
  <c r="D105" i="2"/>
  <c r="B105" i="2" s="1"/>
  <c r="P105" i="2" s="1"/>
  <c r="E105" i="2"/>
  <c r="R105" i="2"/>
  <c r="A106" i="2"/>
  <c r="C106" i="2"/>
  <c r="Q106" i="2" s="1"/>
  <c r="D106" i="2"/>
  <c r="B106" i="2" s="1"/>
  <c r="P106" i="2" s="1"/>
  <c r="E106" i="2"/>
  <c r="R106" i="2"/>
  <c r="A107" i="2"/>
  <c r="C107" i="2"/>
  <c r="Q107" i="2" s="1"/>
  <c r="D107" i="2"/>
  <c r="B107" i="2" s="1"/>
  <c r="P107" i="2" s="1"/>
  <c r="E107" i="2"/>
  <c r="R107" i="2"/>
  <c r="A108" i="2"/>
  <c r="C108" i="2"/>
  <c r="Q108" i="2" s="1"/>
  <c r="D108" i="2"/>
  <c r="B108" i="2" s="1"/>
  <c r="P108" i="2" s="1"/>
  <c r="E108" i="2"/>
  <c r="R108" i="2"/>
  <c r="A109" i="2"/>
  <c r="C109" i="2"/>
  <c r="Q109" i="2" s="1"/>
  <c r="D109" i="2"/>
  <c r="B109" i="2" s="1"/>
  <c r="P109" i="2" s="1"/>
  <c r="E109" i="2"/>
  <c r="R109" i="2"/>
  <c r="A110" i="2"/>
  <c r="B110" i="2"/>
  <c r="P110" i="2" s="1"/>
  <c r="C110" i="2"/>
  <c r="Q110" i="2" s="1"/>
  <c r="D110" i="2"/>
  <c r="E110" i="2"/>
  <c r="R110" i="2"/>
  <c r="H7" i="8"/>
  <c r="F7" i="8"/>
  <c r="D7" i="8"/>
  <c r="B7" i="8"/>
  <c r="H7" i="7"/>
  <c r="F7" i="7"/>
  <c r="D7" i="7"/>
  <c r="B7" i="7"/>
  <c r="H7" i="6"/>
  <c r="F7" i="6"/>
  <c r="D7" i="6"/>
  <c r="B7" i="6"/>
  <c r="H7" i="5"/>
  <c r="F7" i="5"/>
  <c r="D7" i="5"/>
  <c r="B7" i="5"/>
  <c r="H7" i="4"/>
  <c r="F7" i="4"/>
  <c r="D7" i="4"/>
  <c r="B7" i="4"/>
  <c r="H7" i="3"/>
  <c r="F7" i="3"/>
  <c r="D7" i="3"/>
  <c r="B7" i="3"/>
  <c r="L17" i="2"/>
  <c r="A111" i="2" s="1"/>
  <c r="L15" i="2"/>
  <c r="L16" i="2" s="1"/>
  <c r="L14" i="2"/>
  <c r="M10" i="2"/>
  <c r="L10" i="2"/>
  <c r="M9" i="2"/>
  <c r="L9" i="2"/>
  <c r="M8" i="2"/>
  <c r="L8" i="2"/>
  <c r="M7" i="2"/>
  <c r="L7" i="2"/>
  <c r="M6" i="2"/>
  <c r="L6" i="2"/>
  <c r="M5" i="2"/>
  <c r="L5" i="2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B38" i="2" l="1"/>
  <c r="P38" i="2" s="1"/>
  <c r="B62" i="2"/>
  <c r="P62" i="2" s="1"/>
  <c r="D45" i="2"/>
  <c r="B45" i="2" s="1"/>
  <c r="P45" i="2" s="1"/>
  <c r="E45" i="2"/>
  <c r="R45" i="2" s="1"/>
  <c r="C84" i="2"/>
  <c r="Q84" i="2" s="1"/>
  <c r="D84" i="2"/>
  <c r="B84" i="2" s="1"/>
  <c r="P84" i="2" s="1"/>
  <c r="E84" i="2"/>
  <c r="R84" i="2" s="1"/>
  <c r="D111" i="2"/>
  <c r="C111" i="2"/>
  <c r="A112" i="2"/>
  <c r="B111" i="2"/>
  <c r="J109" i="8"/>
  <c r="J39" i="5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3" i="5"/>
  <c r="J78" i="5"/>
  <c r="J70" i="5"/>
  <c r="J61" i="5"/>
  <c r="J58" i="5"/>
  <c r="J55" i="5"/>
  <c r="J51" i="5"/>
  <c r="J108" i="4"/>
  <c r="J100" i="4"/>
  <c r="J96" i="4"/>
  <c r="J91" i="4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86" i="5"/>
  <c r="J84" i="5"/>
  <c r="J82" i="5"/>
  <c r="J81" i="5"/>
  <c r="J79" i="5"/>
  <c r="J77" i="5"/>
  <c r="J73" i="5"/>
  <c r="J68" i="5"/>
  <c r="J66" i="5"/>
  <c r="J62" i="5"/>
  <c r="J57" i="5"/>
  <c r="J56" i="5"/>
  <c r="J52" i="5"/>
  <c r="J49" i="5"/>
  <c r="J109" i="4"/>
  <c r="J107" i="4"/>
  <c r="J106" i="4"/>
  <c r="J99" i="4"/>
  <c r="J97" i="4"/>
  <c r="J95" i="4"/>
  <c r="J92" i="4"/>
  <c r="J87" i="4"/>
  <c r="J86" i="4"/>
  <c r="J82" i="4"/>
  <c r="J80" i="4"/>
  <c r="J78" i="4"/>
  <c r="J77" i="4"/>
  <c r="J74" i="4"/>
  <c r="J71" i="4"/>
  <c r="J69" i="4"/>
  <c r="J62" i="4"/>
  <c r="J59" i="4"/>
  <c r="J47" i="5"/>
  <c r="J46" i="5"/>
  <c r="J45" i="5"/>
  <c r="J44" i="5"/>
  <c r="J43" i="5"/>
  <c r="J42" i="5"/>
  <c r="J41" i="5"/>
  <c r="J108" i="8"/>
  <c r="J94" i="6"/>
  <c r="J107" i="8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C12" i="4" s="1"/>
  <c r="J11" i="4"/>
  <c r="J10" i="4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93" i="6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0" i="8"/>
  <c r="J11" i="8"/>
  <c r="J12" i="8"/>
  <c r="J13" i="8"/>
  <c r="J14" i="8"/>
  <c r="J15" i="8"/>
  <c r="J16" i="8"/>
  <c r="J17" i="8"/>
  <c r="J18" i="8"/>
  <c r="J58" i="4"/>
  <c r="J60" i="4"/>
  <c r="J61" i="4"/>
  <c r="J63" i="4"/>
  <c r="J64" i="4"/>
  <c r="J65" i="4"/>
  <c r="J66" i="4"/>
  <c r="J67" i="4"/>
  <c r="J68" i="4"/>
  <c r="J70" i="4"/>
  <c r="J72" i="4"/>
  <c r="J73" i="4"/>
  <c r="J75" i="4"/>
  <c r="J76" i="4"/>
  <c r="J79" i="4"/>
  <c r="J81" i="4"/>
  <c r="J83" i="4"/>
  <c r="J84" i="4"/>
  <c r="J85" i="4"/>
  <c r="J88" i="4"/>
  <c r="J89" i="4"/>
  <c r="J90" i="4"/>
  <c r="J93" i="4"/>
  <c r="J94" i="4"/>
  <c r="J98" i="4"/>
  <c r="J101" i="4"/>
  <c r="J102" i="4"/>
  <c r="J103" i="4"/>
  <c r="J104" i="4"/>
  <c r="J105" i="4"/>
  <c r="J48" i="5"/>
  <c r="J50" i="5"/>
  <c r="J53" i="5"/>
  <c r="J54" i="5"/>
  <c r="J59" i="5"/>
  <c r="J60" i="5"/>
  <c r="J63" i="5"/>
  <c r="J64" i="5"/>
  <c r="J65" i="5"/>
  <c r="J67" i="5"/>
  <c r="J69" i="5"/>
  <c r="J71" i="5"/>
  <c r="J72" i="5"/>
  <c r="J74" i="5"/>
  <c r="J75" i="5"/>
  <c r="J76" i="5"/>
  <c r="J80" i="5"/>
  <c r="J85" i="5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38" i="5"/>
  <c r="J40" i="5"/>
  <c r="J65" i="3"/>
  <c r="C10" i="4" l="1"/>
  <c r="D10" i="4"/>
  <c r="A113" i="2"/>
  <c r="C112" i="2"/>
  <c r="D112" i="2"/>
  <c r="B112" i="2"/>
  <c r="A109" i="8"/>
  <c r="B109" i="8"/>
  <c r="C109" i="8"/>
  <c r="D109" i="8"/>
  <c r="E109" i="8"/>
  <c r="F109" i="8"/>
  <c r="G109" i="8"/>
  <c r="H109" i="8"/>
  <c r="I109" i="8"/>
  <c r="A39" i="5"/>
  <c r="B39" i="5"/>
  <c r="C39" i="5"/>
  <c r="D39" i="5"/>
  <c r="E39" i="5"/>
  <c r="F39" i="5"/>
  <c r="G39" i="5"/>
  <c r="H39" i="5"/>
  <c r="I39" i="5"/>
  <c r="A92" i="6"/>
  <c r="B92" i="6"/>
  <c r="C92" i="6"/>
  <c r="D92" i="6"/>
  <c r="E92" i="6"/>
  <c r="F92" i="6"/>
  <c r="G92" i="6"/>
  <c r="H92" i="6"/>
  <c r="I92" i="6"/>
  <c r="A91" i="6"/>
  <c r="B91" i="6"/>
  <c r="C91" i="6"/>
  <c r="D91" i="6"/>
  <c r="E91" i="6"/>
  <c r="F91" i="6"/>
  <c r="G91" i="6"/>
  <c r="H91" i="6"/>
  <c r="I91" i="6"/>
  <c r="A90" i="6"/>
  <c r="B90" i="6"/>
  <c r="C90" i="6"/>
  <c r="D90" i="6"/>
  <c r="E90" i="6"/>
  <c r="F90" i="6"/>
  <c r="G90" i="6"/>
  <c r="H90" i="6"/>
  <c r="I90" i="6"/>
  <c r="A89" i="6"/>
  <c r="B89" i="6"/>
  <c r="C89" i="6"/>
  <c r="D89" i="6"/>
  <c r="E89" i="6"/>
  <c r="F89" i="6"/>
  <c r="G89" i="6"/>
  <c r="H89" i="6"/>
  <c r="I89" i="6"/>
  <c r="A88" i="6"/>
  <c r="B88" i="6"/>
  <c r="C88" i="6"/>
  <c r="D88" i="6"/>
  <c r="E88" i="6"/>
  <c r="F88" i="6"/>
  <c r="G88" i="6"/>
  <c r="H88" i="6"/>
  <c r="I88" i="6"/>
  <c r="A87" i="6"/>
  <c r="B87" i="6"/>
  <c r="C87" i="6"/>
  <c r="D87" i="6"/>
  <c r="E87" i="6"/>
  <c r="F87" i="6"/>
  <c r="G87" i="6"/>
  <c r="H87" i="6"/>
  <c r="I87" i="6"/>
  <c r="A86" i="6"/>
  <c r="B86" i="6"/>
  <c r="C86" i="6"/>
  <c r="D86" i="6"/>
  <c r="E86" i="6"/>
  <c r="F86" i="6"/>
  <c r="G86" i="6"/>
  <c r="H86" i="6"/>
  <c r="I86" i="6"/>
  <c r="A85" i="6"/>
  <c r="B85" i="6"/>
  <c r="C85" i="6"/>
  <c r="D85" i="6"/>
  <c r="E85" i="6"/>
  <c r="F85" i="6"/>
  <c r="G85" i="6"/>
  <c r="H85" i="6"/>
  <c r="I85" i="6"/>
  <c r="A84" i="6"/>
  <c r="B84" i="6"/>
  <c r="C84" i="6"/>
  <c r="D84" i="6"/>
  <c r="E84" i="6"/>
  <c r="F84" i="6"/>
  <c r="G84" i="6"/>
  <c r="H84" i="6"/>
  <c r="I84" i="6"/>
  <c r="A83" i="6"/>
  <c r="B83" i="6"/>
  <c r="C83" i="6"/>
  <c r="D83" i="6"/>
  <c r="E83" i="6"/>
  <c r="F83" i="6"/>
  <c r="G83" i="6"/>
  <c r="H83" i="6"/>
  <c r="I83" i="6"/>
  <c r="A82" i="6"/>
  <c r="B82" i="6"/>
  <c r="C82" i="6"/>
  <c r="D82" i="6"/>
  <c r="E82" i="6"/>
  <c r="F82" i="6"/>
  <c r="G82" i="6"/>
  <c r="H82" i="6"/>
  <c r="I82" i="6"/>
  <c r="A81" i="6"/>
  <c r="B81" i="6"/>
  <c r="C81" i="6"/>
  <c r="D81" i="6"/>
  <c r="E81" i="6"/>
  <c r="F81" i="6"/>
  <c r="G81" i="6"/>
  <c r="H81" i="6"/>
  <c r="I81" i="6"/>
  <c r="A80" i="6"/>
  <c r="B80" i="6"/>
  <c r="C80" i="6"/>
  <c r="D80" i="6"/>
  <c r="E80" i="6"/>
  <c r="F80" i="6"/>
  <c r="G80" i="6"/>
  <c r="H80" i="6"/>
  <c r="I80" i="6"/>
  <c r="A79" i="6"/>
  <c r="B79" i="6"/>
  <c r="C79" i="6"/>
  <c r="D79" i="6"/>
  <c r="E79" i="6"/>
  <c r="F79" i="6"/>
  <c r="G79" i="6"/>
  <c r="H79" i="6"/>
  <c r="I79" i="6"/>
  <c r="A78" i="6"/>
  <c r="B78" i="6"/>
  <c r="C78" i="6"/>
  <c r="D78" i="6"/>
  <c r="E78" i="6"/>
  <c r="F78" i="6"/>
  <c r="G78" i="6"/>
  <c r="H78" i="6"/>
  <c r="I78" i="6"/>
  <c r="A77" i="6"/>
  <c r="B77" i="6"/>
  <c r="C77" i="6"/>
  <c r="D77" i="6"/>
  <c r="E77" i="6"/>
  <c r="F77" i="6"/>
  <c r="G77" i="6"/>
  <c r="H77" i="6"/>
  <c r="I77" i="6"/>
  <c r="A76" i="6"/>
  <c r="B76" i="6"/>
  <c r="C76" i="6"/>
  <c r="D76" i="6"/>
  <c r="E76" i="6"/>
  <c r="F76" i="6"/>
  <c r="G76" i="6"/>
  <c r="H76" i="6"/>
  <c r="I76" i="6"/>
  <c r="A75" i="6"/>
  <c r="B75" i="6"/>
  <c r="C75" i="6"/>
  <c r="D75" i="6"/>
  <c r="E75" i="6"/>
  <c r="F75" i="6"/>
  <c r="G75" i="6"/>
  <c r="H75" i="6"/>
  <c r="I75" i="6"/>
  <c r="A74" i="6"/>
  <c r="B74" i="6"/>
  <c r="C74" i="6"/>
  <c r="D74" i="6"/>
  <c r="E74" i="6"/>
  <c r="F74" i="6"/>
  <c r="G74" i="6"/>
  <c r="H74" i="6"/>
  <c r="I74" i="6"/>
  <c r="A73" i="6"/>
  <c r="B73" i="6"/>
  <c r="C73" i="6"/>
  <c r="D73" i="6"/>
  <c r="E73" i="6"/>
  <c r="F73" i="6"/>
  <c r="G73" i="6"/>
  <c r="H73" i="6"/>
  <c r="I73" i="6"/>
  <c r="A72" i="6"/>
  <c r="B72" i="6"/>
  <c r="C72" i="6"/>
  <c r="D72" i="6"/>
  <c r="E72" i="6"/>
  <c r="F72" i="6"/>
  <c r="G72" i="6"/>
  <c r="H72" i="6"/>
  <c r="I72" i="6"/>
  <c r="A71" i="6"/>
  <c r="B71" i="6"/>
  <c r="C71" i="6"/>
  <c r="D71" i="6"/>
  <c r="E71" i="6"/>
  <c r="F71" i="6"/>
  <c r="G71" i="6"/>
  <c r="H71" i="6"/>
  <c r="I71" i="6"/>
  <c r="A70" i="6"/>
  <c r="B70" i="6"/>
  <c r="C70" i="6"/>
  <c r="D70" i="6"/>
  <c r="E70" i="6"/>
  <c r="F70" i="6"/>
  <c r="G70" i="6"/>
  <c r="H70" i="6"/>
  <c r="I70" i="6"/>
  <c r="A69" i="6"/>
  <c r="B69" i="6"/>
  <c r="C69" i="6"/>
  <c r="D69" i="6"/>
  <c r="E69" i="6"/>
  <c r="F69" i="6"/>
  <c r="G69" i="6"/>
  <c r="H69" i="6"/>
  <c r="I69" i="6"/>
  <c r="A68" i="6"/>
  <c r="B68" i="6"/>
  <c r="C68" i="6"/>
  <c r="D68" i="6"/>
  <c r="E68" i="6"/>
  <c r="F68" i="6"/>
  <c r="G68" i="6"/>
  <c r="H68" i="6"/>
  <c r="I68" i="6"/>
  <c r="A67" i="6"/>
  <c r="B67" i="6"/>
  <c r="C67" i="6"/>
  <c r="D67" i="6"/>
  <c r="E67" i="6"/>
  <c r="F67" i="6"/>
  <c r="G67" i="6"/>
  <c r="H67" i="6"/>
  <c r="I67" i="6"/>
  <c r="A66" i="6"/>
  <c r="B66" i="6"/>
  <c r="C66" i="6"/>
  <c r="D66" i="6"/>
  <c r="E66" i="6"/>
  <c r="F66" i="6"/>
  <c r="G66" i="6"/>
  <c r="H66" i="6"/>
  <c r="I66" i="6"/>
  <c r="A65" i="6"/>
  <c r="B65" i="6"/>
  <c r="C65" i="6"/>
  <c r="D65" i="6"/>
  <c r="E65" i="6"/>
  <c r="F65" i="6"/>
  <c r="G65" i="6"/>
  <c r="H65" i="6"/>
  <c r="I65" i="6"/>
  <c r="A64" i="6"/>
  <c r="B64" i="6"/>
  <c r="C64" i="6"/>
  <c r="D64" i="6"/>
  <c r="E64" i="6"/>
  <c r="F64" i="6"/>
  <c r="G64" i="6"/>
  <c r="H64" i="6"/>
  <c r="I64" i="6"/>
  <c r="A63" i="6"/>
  <c r="B63" i="6"/>
  <c r="C63" i="6"/>
  <c r="D63" i="6"/>
  <c r="E63" i="6"/>
  <c r="F63" i="6"/>
  <c r="G63" i="6"/>
  <c r="H63" i="6"/>
  <c r="I63" i="6"/>
  <c r="A62" i="6"/>
  <c r="B62" i="6"/>
  <c r="C62" i="6"/>
  <c r="D62" i="6"/>
  <c r="E62" i="6"/>
  <c r="F62" i="6"/>
  <c r="G62" i="6"/>
  <c r="H62" i="6"/>
  <c r="I62" i="6"/>
  <c r="A61" i="6"/>
  <c r="B61" i="6"/>
  <c r="C61" i="6"/>
  <c r="D61" i="6"/>
  <c r="E61" i="6"/>
  <c r="F61" i="6"/>
  <c r="G61" i="6"/>
  <c r="H61" i="6"/>
  <c r="I61" i="6"/>
  <c r="A60" i="6"/>
  <c r="B60" i="6"/>
  <c r="C60" i="6"/>
  <c r="D60" i="6"/>
  <c r="E60" i="6"/>
  <c r="F60" i="6"/>
  <c r="G60" i="6"/>
  <c r="H60" i="6"/>
  <c r="I60" i="6"/>
  <c r="A59" i="6"/>
  <c r="B59" i="6"/>
  <c r="C59" i="6"/>
  <c r="D59" i="6"/>
  <c r="E59" i="6"/>
  <c r="F59" i="6"/>
  <c r="G59" i="6"/>
  <c r="H59" i="6"/>
  <c r="I59" i="6"/>
  <c r="A58" i="6"/>
  <c r="B58" i="6"/>
  <c r="C58" i="6"/>
  <c r="D58" i="6"/>
  <c r="E58" i="6"/>
  <c r="F58" i="6"/>
  <c r="G58" i="6"/>
  <c r="H58" i="6"/>
  <c r="I58" i="6"/>
  <c r="A57" i="6"/>
  <c r="B57" i="6"/>
  <c r="C57" i="6"/>
  <c r="D57" i="6"/>
  <c r="E57" i="6"/>
  <c r="F57" i="6"/>
  <c r="G57" i="6"/>
  <c r="H57" i="6"/>
  <c r="I57" i="6"/>
  <c r="A56" i="6"/>
  <c r="B56" i="6"/>
  <c r="C56" i="6"/>
  <c r="D56" i="6"/>
  <c r="E56" i="6"/>
  <c r="F56" i="6"/>
  <c r="G56" i="6"/>
  <c r="H56" i="6"/>
  <c r="I56" i="6"/>
  <c r="A55" i="6"/>
  <c r="B55" i="6"/>
  <c r="C55" i="6"/>
  <c r="D55" i="6"/>
  <c r="E55" i="6"/>
  <c r="F55" i="6"/>
  <c r="G55" i="6"/>
  <c r="H55" i="6"/>
  <c r="I55" i="6"/>
  <c r="A54" i="6"/>
  <c r="B54" i="6"/>
  <c r="C54" i="6"/>
  <c r="D54" i="6"/>
  <c r="E54" i="6"/>
  <c r="F54" i="6"/>
  <c r="G54" i="6"/>
  <c r="H54" i="6"/>
  <c r="I54" i="6"/>
  <c r="A53" i="6"/>
  <c r="B53" i="6"/>
  <c r="C53" i="6"/>
  <c r="D53" i="6"/>
  <c r="E53" i="6"/>
  <c r="F53" i="6"/>
  <c r="G53" i="6"/>
  <c r="H53" i="6"/>
  <c r="I53" i="6"/>
  <c r="A52" i="6"/>
  <c r="B52" i="6"/>
  <c r="C52" i="6"/>
  <c r="D52" i="6"/>
  <c r="E52" i="6"/>
  <c r="F52" i="6"/>
  <c r="G52" i="6"/>
  <c r="H52" i="6"/>
  <c r="I52" i="6"/>
  <c r="A51" i="6"/>
  <c r="B51" i="6"/>
  <c r="C51" i="6"/>
  <c r="D51" i="6"/>
  <c r="E51" i="6"/>
  <c r="F51" i="6"/>
  <c r="G51" i="6"/>
  <c r="H51" i="6"/>
  <c r="I51" i="6"/>
  <c r="A50" i="6"/>
  <c r="B50" i="6"/>
  <c r="C50" i="6"/>
  <c r="D50" i="6"/>
  <c r="E50" i="6"/>
  <c r="F50" i="6"/>
  <c r="G50" i="6"/>
  <c r="H50" i="6"/>
  <c r="I50" i="6"/>
  <c r="A49" i="6"/>
  <c r="B49" i="6"/>
  <c r="C49" i="6"/>
  <c r="D49" i="6"/>
  <c r="E49" i="6"/>
  <c r="F49" i="6"/>
  <c r="G49" i="6"/>
  <c r="H49" i="6"/>
  <c r="I49" i="6"/>
  <c r="A48" i="6"/>
  <c r="B48" i="6"/>
  <c r="C48" i="6"/>
  <c r="D48" i="6"/>
  <c r="E48" i="6"/>
  <c r="F48" i="6"/>
  <c r="G48" i="6"/>
  <c r="H48" i="6"/>
  <c r="I48" i="6"/>
  <c r="A47" i="6"/>
  <c r="B47" i="6"/>
  <c r="C47" i="6"/>
  <c r="D47" i="6"/>
  <c r="E47" i="6"/>
  <c r="F47" i="6"/>
  <c r="G47" i="6"/>
  <c r="H47" i="6"/>
  <c r="I47" i="6"/>
  <c r="A46" i="6"/>
  <c r="B46" i="6"/>
  <c r="C46" i="6"/>
  <c r="D46" i="6"/>
  <c r="E46" i="6"/>
  <c r="F46" i="6"/>
  <c r="G46" i="6"/>
  <c r="H46" i="6"/>
  <c r="I46" i="6"/>
  <c r="A45" i="6"/>
  <c r="B45" i="6"/>
  <c r="C45" i="6"/>
  <c r="D45" i="6"/>
  <c r="E45" i="6"/>
  <c r="F45" i="6"/>
  <c r="G45" i="6"/>
  <c r="H45" i="6"/>
  <c r="I45" i="6"/>
  <c r="A44" i="6"/>
  <c r="B44" i="6"/>
  <c r="C44" i="6"/>
  <c r="D44" i="6"/>
  <c r="E44" i="6"/>
  <c r="F44" i="6"/>
  <c r="G44" i="6"/>
  <c r="H44" i="6"/>
  <c r="I44" i="6"/>
  <c r="A43" i="6"/>
  <c r="B43" i="6"/>
  <c r="C43" i="6"/>
  <c r="D43" i="6"/>
  <c r="E43" i="6"/>
  <c r="F43" i="6"/>
  <c r="G43" i="6"/>
  <c r="H43" i="6"/>
  <c r="I43" i="6"/>
  <c r="A42" i="6"/>
  <c r="B42" i="6"/>
  <c r="C42" i="6"/>
  <c r="D42" i="6"/>
  <c r="E42" i="6"/>
  <c r="F42" i="6"/>
  <c r="G42" i="6"/>
  <c r="H42" i="6"/>
  <c r="I42" i="6"/>
  <c r="A41" i="6"/>
  <c r="B41" i="6"/>
  <c r="C41" i="6"/>
  <c r="D41" i="6"/>
  <c r="E41" i="6"/>
  <c r="F41" i="6"/>
  <c r="G41" i="6"/>
  <c r="H41" i="6"/>
  <c r="I41" i="6"/>
  <c r="A40" i="6"/>
  <c r="B40" i="6"/>
  <c r="C40" i="6"/>
  <c r="D40" i="6"/>
  <c r="E40" i="6"/>
  <c r="F40" i="6"/>
  <c r="G40" i="6"/>
  <c r="H40" i="6"/>
  <c r="I40" i="6"/>
  <c r="A39" i="6"/>
  <c r="B39" i="6"/>
  <c r="C39" i="6"/>
  <c r="D39" i="6"/>
  <c r="E39" i="6"/>
  <c r="F39" i="6"/>
  <c r="G39" i="6"/>
  <c r="H39" i="6"/>
  <c r="I39" i="6"/>
  <c r="A38" i="6"/>
  <c r="B38" i="6"/>
  <c r="C38" i="6"/>
  <c r="D38" i="6"/>
  <c r="E38" i="6"/>
  <c r="F38" i="6"/>
  <c r="G38" i="6"/>
  <c r="H38" i="6"/>
  <c r="I38" i="6"/>
  <c r="A109" i="5"/>
  <c r="B109" i="5"/>
  <c r="C109" i="5"/>
  <c r="D109" i="5"/>
  <c r="E109" i="5"/>
  <c r="F109" i="5"/>
  <c r="G109" i="5"/>
  <c r="H109" i="5"/>
  <c r="I109" i="5"/>
  <c r="A108" i="5"/>
  <c r="B108" i="5"/>
  <c r="C108" i="5"/>
  <c r="D108" i="5"/>
  <c r="E108" i="5"/>
  <c r="F108" i="5"/>
  <c r="G108" i="5"/>
  <c r="H108" i="5"/>
  <c r="I108" i="5"/>
  <c r="A107" i="5"/>
  <c r="B107" i="5"/>
  <c r="C107" i="5"/>
  <c r="D107" i="5"/>
  <c r="E107" i="5"/>
  <c r="F107" i="5"/>
  <c r="G107" i="5"/>
  <c r="H107" i="5"/>
  <c r="I107" i="5"/>
  <c r="A106" i="5"/>
  <c r="B106" i="5"/>
  <c r="C106" i="5"/>
  <c r="D106" i="5"/>
  <c r="E106" i="5"/>
  <c r="F106" i="5"/>
  <c r="G106" i="5"/>
  <c r="H106" i="5"/>
  <c r="I106" i="5"/>
  <c r="A105" i="5"/>
  <c r="B105" i="5"/>
  <c r="C105" i="5"/>
  <c r="D105" i="5"/>
  <c r="E105" i="5"/>
  <c r="F105" i="5"/>
  <c r="G105" i="5"/>
  <c r="H105" i="5"/>
  <c r="I105" i="5"/>
  <c r="A104" i="5"/>
  <c r="B104" i="5"/>
  <c r="C104" i="5"/>
  <c r="D104" i="5"/>
  <c r="E104" i="5"/>
  <c r="F104" i="5"/>
  <c r="G104" i="5"/>
  <c r="H104" i="5"/>
  <c r="I104" i="5"/>
  <c r="A103" i="5"/>
  <c r="B103" i="5"/>
  <c r="C103" i="5"/>
  <c r="D103" i="5"/>
  <c r="E103" i="5"/>
  <c r="F103" i="5"/>
  <c r="G103" i="5"/>
  <c r="H103" i="5"/>
  <c r="I103" i="5"/>
  <c r="A102" i="5"/>
  <c r="B102" i="5"/>
  <c r="C102" i="5"/>
  <c r="D102" i="5"/>
  <c r="E102" i="5"/>
  <c r="F102" i="5"/>
  <c r="G102" i="5"/>
  <c r="H102" i="5"/>
  <c r="I102" i="5"/>
  <c r="A101" i="5"/>
  <c r="B101" i="5"/>
  <c r="C101" i="5"/>
  <c r="D101" i="5"/>
  <c r="E101" i="5"/>
  <c r="F101" i="5"/>
  <c r="G101" i="5"/>
  <c r="H101" i="5"/>
  <c r="I101" i="5"/>
  <c r="A100" i="5"/>
  <c r="B100" i="5"/>
  <c r="C100" i="5"/>
  <c r="D100" i="5"/>
  <c r="E100" i="5"/>
  <c r="F100" i="5"/>
  <c r="G100" i="5"/>
  <c r="H100" i="5"/>
  <c r="I100" i="5"/>
  <c r="A99" i="5"/>
  <c r="B99" i="5"/>
  <c r="C99" i="5"/>
  <c r="D99" i="5"/>
  <c r="E99" i="5"/>
  <c r="F99" i="5"/>
  <c r="G99" i="5"/>
  <c r="H99" i="5"/>
  <c r="I99" i="5"/>
  <c r="A98" i="5"/>
  <c r="B98" i="5"/>
  <c r="C98" i="5"/>
  <c r="D98" i="5"/>
  <c r="E98" i="5"/>
  <c r="F98" i="5"/>
  <c r="G98" i="5"/>
  <c r="H98" i="5"/>
  <c r="I98" i="5"/>
  <c r="A97" i="5"/>
  <c r="B97" i="5"/>
  <c r="C97" i="5"/>
  <c r="D97" i="5"/>
  <c r="E97" i="5"/>
  <c r="F97" i="5"/>
  <c r="G97" i="5"/>
  <c r="H97" i="5"/>
  <c r="I97" i="5"/>
  <c r="A96" i="5"/>
  <c r="B96" i="5"/>
  <c r="C96" i="5"/>
  <c r="D96" i="5"/>
  <c r="E96" i="5"/>
  <c r="F96" i="5"/>
  <c r="G96" i="5"/>
  <c r="H96" i="5"/>
  <c r="I96" i="5"/>
  <c r="A95" i="5"/>
  <c r="B95" i="5"/>
  <c r="C95" i="5"/>
  <c r="D95" i="5"/>
  <c r="E95" i="5"/>
  <c r="F95" i="5"/>
  <c r="G95" i="5"/>
  <c r="H95" i="5"/>
  <c r="I95" i="5"/>
  <c r="A94" i="5"/>
  <c r="B94" i="5"/>
  <c r="C94" i="5"/>
  <c r="D94" i="5"/>
  <c r="E94" i="5"/>
  <c r="F94" i="5"/>
  <c r="G94" i="5"/>
  <c r="H94" i="5"/>
  <c r="I94" i="5"/>
  <c r="A93" i="5"/>
  <c r="B93" i="5"/>
  <c r="C93" i="5"/>
  <c r="D93" i="5"/>
  <c r="E93" i="5"/>
  <c r="F93" i="5"/>
  <c r="G93" i="5"/>
  <c r="H93" i="5"/>
  <c r="I93" i="5"/>
  <c r="A92" i="5"/>
  <c r="B92" i="5"/>
  <c r="C92" i="5"/>
  <c r="D92" i="5"/>
  <c r="E92" i="5"/>
  <c r="F92" i="5"/>
  <c r="G92" i="5"/>
  <c r="H92" i="5"/>
  <c r="I92" i="5"/>
  <c r="A91" i="5"/>
  <c r="B91" i="5"/>
  <c r="C91" i="5"/>
  <c r="D91" i="5"/>
  <c r="E91" i="5"/>
  <c r="F91" i="5"/>
  <c r="G91" i="5"/>
  <c r="H91" i="5"/>
  <c r="I91" i="5"/>
  <c r="A90" i="5"/>
  <c r="B90" i="5"/>
  <c r="C90" i="5"/>
  <c r="D90" i="5"/>
  <c r="E90" i="5"/>
  <c r="F90" i="5"/>
  <c r="G90" i="5"/>
  <c r="H90" i="5"/>
  <c r="I90" i="5"/>
  <c r="A89" i="5"/>
  <c r="B89" i="5"/>
  <c r="C89" i="5"/>
  <c r="D89" i="5"/>
  <c r="E89" i="5"/>
  <c r="F89" i="5"/>
  <c r="G89" i="5"/>
  <c r="H89" i="5"/>
  <c r="I89" i="5"/>
  <c r="A88" i="5"/>
  <c r="B88" i="5"/>
  <c r="C88" i="5"/>
  <c r="D88" i="5"/>
  <c r="E88" i="5"/>
  <c r="F88" i="5"/>
  <c r="G88" i="5"/>
  <c r="H88" i="5"/>
  <c r="I88" i="5"/>
  <c r="A87" i="5"/>
  <c r="B87" i="5"/>
  <c r="C87" i="5"/>
  <c r="D87" i="5"/>
  <c r="E87" i="5"/>
  <c r="F87" i="5"/>
  <c r="G87" i="5"/>
  <c r="H87" i="5"/>
  <c r="I87" i="5"/>
  <c r="A83" i="5"/>
  <c r="B83" i="5"/>
  <c r="D83" i="5"/>
  <c r="E83" i="5"/>
  <c r="G83" i="5"/>
  <c r="I83" i="5"/>
  <c r="C83" i="5"/>
  <c r="F83" i="5"/>
  <c r="H83" i="5"/>
  <c r="A78" i="5"/>
  <c r="C78" i="5"/>
  <c r="D78" i="5"/>
  <c r="F78" i="5"/>
  <c r="H78" i="5"/>
  <c r="B78" i="5"/>
  <c r="E78" i="5"/>
  <c r="G78" i="5"/>
  <c r="I78" i="5"/>
  <c r="A70" i="5"/>
  <c r="C70" i="5"/>
  <c r="E70" i="5"/>
  <c r="G70" i="5"/>
  <c r="I70" i="5"/>
  <c r="B70" i="5"/>
  <c r="D70" i="5"/>
  <c r="F70" i="5"/>
  <c r="H70" i="5"/>
  <c r="A61" i="5"/>
  <c r="C61" i="5"/>
  <c r="E61" i="5"/>
  <c r="F61" i="5"/>
  <c r="G61" i="5"/>
  <c r="I61" i="5"/>
  <c r="B61" i="5"/>
  <c r="D61" i="5"/>
  <c r="H61" i="5"/>
  <c r="A58" i="5"/>
  <c r="D58" i="5"/>
  <c r="G58" i="5"/>
  <c r="I58" i="5"/>
  <c r="B58" i="5"/>
  <c r="C58" i="5"/>
  <c r="E58" i="5"/>
  <c r="F58" i="5"/>
  <c r="H58" i="5"/>
  <c r="A55" i="5"/>
  <c r="C55" i="5"/>
  <c r="F55" i="5"/>
  <c r="H55" i="5"/>
  <c r="B55" i="5"/>
  <c r="D55" i="5"/>
  <c r="E55" i="5"/>
  <c r="G55" i="5"/>
  <c r="I55" i="5"/>
  <c r="B51" i="5"/>
  <c r="D51" i="5"/>
  <c r="E51" i="5"/>
  <c r="G51" i="5"/>
  <c r="H51" i="5"/>
  <c r="A51" i="5"/>
  <c r="C51" i="5"/>
  <c r="F51" i="5"/>
  <c r="I51" i="5"/>
  <c r="A108" i="4"/>
  <c r="B108" i="4"/>
  <c r="C108" i="4"/>
  <c r="D108" i="4"/>
  <c r="E108" i="4"/>
  <c r="F108" i="4"/>
  <c r="G108" i="4"/>
  <c r="H108" i="4"/>
  <c r="I108" i="4"/>
  <c r="A100" i="4"/>
  <c r="B100" i="4"/>
  <c r="C100" i="4"/>
  <c r="D100" i="4"/>
  <c r="F100" i="4"/>
  <c r="G100" i="4"/>
  <c r="I100" i="4"/>
  <c r="E100" i="4"/>
  <c r="H100" i="4"/>
  <c r="A96" i="4"/>
  <c r="B96" i="4"/>
  <c r="C96" i="4"/>
  <c r="F96" i="4"/>
  <c r="H96" i="4"/>
  <c r="D96" i="4"/>
  <c r="E96" i="4"/>
  <c r="G96" i="4"/>
  <c r="I96" i="4"/>
  <c r="A91" i="4"/>
  <c r="C91" i="4"/>
  <c r="E91" i="4"/>
  <c r="G91" i="4"/>
  <c r="H91" i="4"/>
  <c r="B91" i="4"/>
  <c r="D91" i="4"/>
  <c r="F91" i="4"/>
  <c r="I91" i="4"/>
  <c r="A28" i="7"/>
  <c r="B28" i="7"/>
  <c r="C28" i="7"/>
  <c r="D28" i="7"/>
  <c r="E28" i="7"/>
  <c r="F28" i="7"/>
  <c r="G28" i="7"/>
  <c r="H28" i="7"/>
  <c r="I28" i="7"/>
  <c r="A27" i="7"/>
  <c r="B27" i="7"/>
  <c r="C27" i="7"/>
  <c r="D27" i="7"/>
  <c r="E27" i="7"/>
  <c r="F27" i="7"/>
  <c r="G27" i="7"/>
  <c r="H27" i="7"/>
  <c r="I27" i="7"/>
  <c r="A26" i="7"/>
  <c r="B26" i="7"/>
  <c r="C26" i="7"/>
  <c r="D26" i="7"/>
  <c r="E26" i="7"/>
  <c r="F26" i="7"/>
  <c r="G26" i="7"/>
  <c r="H26" i="7"/>
  <c r="I26" i="7"/>
  <c r="A25" i="7"/>
  <c r="B25" i="7"/>
  <c r="C25" i="7"/>
  <c r="D25" i="7"/>
  <c r="E25" i="7"/>
  <c r="F25" i="7"/>
  <c r="G25" i="7"/>
  <c r="H25" i="7"/>
  <c r="I25" i="7"/>
  <c r="A24" i="7"/>
  <c r="B24" i="7"/>
  <c r="C24" i="7"/>
  <c r="D24" i="7"/>
  <c r="E24" i="7"/>
  <c r="F24" i="7"/>
  <c r="G24" i="7"/>
  <c r="H24" i="7"/>
  <c r="I24" i="7"/>
  <c r="A23" i="7"/>
  <c r="B23" i="7"/>
  <c r="C23" i="7"/>
  <c r="D23" i="7"/>
  <c r="E23" i="7"/>
  <c r="F23" i="7"/>
  <c r="G23" i="7"/>
  <c r="H23" i="7"/>
  <c r="I23" i="7"/>
  <c r="A22" i="7"/>
  <c r="B22" i="7"/>
  <c r="C22" i="7"/>
  <c r="D22" i="7"/>
  <c r="E22" i="7"/>
  <c r="F22" i="7"/>
  <c r="G22" i="7"/>
  <c r="H22" i="7"/>
  <c r="I22" i="7"/>
  <c r="A21" i="7"/>
  <c r="B21" i="7"/>
  <c r="C21" i="7"/>
  <c r="D21" i="7"/>
  <c r="E21" i="7"/>
  <c r="F21" i="7"/>
  <c r="G21" i="7"/>
  <c r="H21" i="7"/>
  <c r="I21" i="7"/>
  <c r="A20" i="7"/>
  <c r="B20" i="7"/>
  <c r="C20" i="7"/>
  <c r="D20" i="7"/>
  <c r="E20" i="7"/>
  <c r="F20" i="7"/>
  <c r="G20" i="7"/>
  <c r="H20" i="7"/>
  <c r="I20" i="7"/>
  <c r="A19" i="7"/>
  <c r="B19" i="7"/>
  <c r="C19" i="7"/>
  <c r="D19" i="7"/>
  <c r="E19" i="7"/>
  <c r="F19" i="7"/>
  <c r="G19" i="7"/>
  <c r="H19" i="7"/>
  <c r="I19" i="7"/>
  <c r="A18" i="7"/>
  <c r="B18" i="7"/>
  <c r="C18" i="7"/>
  <c r="D18" i="7"/>
  <c r="E18" i="7"/>
  <c r="F18" i="7"/>
  <c r="G18" i="7"/>
  <c r="H18" i="7"/>
  <c r="I18" i="7"/>
  <c r="A17" i="7"/>
  <c r="B17" i="7"/>
  <c r="C17" i="7"/>
  <c r="D17" i="7"/>
  <c r="E17" i="7"/>
  <c r="F17" i="7"/>
  <c r="G17" i="7"/>
  <c r="H17" i="7"/>
  <c r="I17" i="7"/>
  <c r="A16" i="7"/>
  <c r="B16" i="7"/>
  <c r="C16" i="7"/>
  <c r="D16" i="7"/>
  <c r="E16" i="7"/>
  <c r="F16" i="7"/>
  <c r="G16" i="7"/>
  <c r="H16" i="7"/>
  <c r="I16" i="7"/>
  <c r="A15" i="7"/>
  <c r="B15" i="7"/>
  <c r="C15" i="7"/>
  <c r="D15" i="7"/>
  <c r="E15" i="7"/>
  <c r="F15" i="7"/>
  <c r="G15" i="7"/>
  <c r="H15" i="7"/>
  <c r="I15" i="7"/>
  <c r="A14" i="7"/>
  <c r="B14" i="7"/>
  <c r="C14" i="7"/>
  <c r="D14" i="7"/>
  <c r="E14" i="7"/>
  <c r="F14" i="7"/>
  <c r="G14" i="7"/>
  <c r="H14" i="7"/>
  <c r="I14" i="7"/>
  <c r="A13" i="7"/>
  <c r="B13" i="7"/>
  <c r="C13" i="7"/>
  <c r="D13" i="7"/>
  <c r="E13" i="7"/>
  <c r="F13" i="7"/>
  <c r="G13" i="7"/>
  <c r="H13" i="7"/>
  <c r="I13" i="7"/>
  <c r="A12" i="7"/>
  <c r="B12" i="7"/>
  <c r="C12" i="7"/>
  <c r="D12" i="7"/>
  <c r="E12" i="7"/>
  <c r="F12" i="7"/>
  <c r="G12" i="7"/>
  <c r="H12" i="7"/>
  <c r="I12" i="7"/>
  <c r="A11" i="7"/>
  <c r="B11" i="7"/>
  <c r="C11" i="7"/>
  <c r="D11" i="7"/>
  <c r="E11" i="7"/>
  <c r="F11" i="7"/>
  <c r="G11" i="7"/>
  <c r="H11" i="7"/>
  <c r="I11" i="7"/>
  <c r="A10" i="7"/>
  <c r="B10" i="7"/>
  <c r="C10" i="7"/>
  <c r="D10" i="7"/>
  <c r="E10" i="7"/>
  <c r="F10" i="7"/>
  <c r="G10" i="7"/>
  <c r="H10" i="7"/>
  <c r="I10" i="7"/>
  <c r="A37" i="6"/>
  <c r="B37" i="6"/>
  <c r="C37" i="6"/>
  <c r="D37" i="6"/>
  <c r="E37" i="6"/>
  <c r="F37" i="6"/>
  <c r="G37" i="6"/>
  <c r="H37" i="6"/>
  <c r="I37" i="6"/>
  <c r="A36" i="6"/>
  <c r="B36" i="6"/>
  <c r="C36" i="6"/>
  <c r="D36" i="6"/>
  <c r="E36" i="6"/>
  <c r="F36" i="6"/>
  <c r="G36" i="6"/>
  <c r="H36" i="6"/>
  <c r="I36" i="6"/>
  <c r="A35" i="6"/>
  <c r="B35" i="6"/>
  <c r="C35" i="6"/>
  <c r="D35" i="6"/>
  <c r="E35" i="6"/>
  <c r="F35" i="6"/>
  <c r="G35" i="6"/>
  <c r="H35" i="6"/>
  <c r="I35" i="6"/>
  <c r="A34" i="6"/>
  <c r="B34" i="6"/>
  <c r="C34" i="6"/>
  <c r="D34" i="6"/>
  <c r="E34" i="6"/>
  <c r="F34" i="6"/>
  <c r="G34" i="6"/>
  <c r="H34" i="6"/>
  <c r="I34" i="6"/>
  <c r="A33" i="6"/>
  <c r="B33" i="6"/>
  <c r="C33" i="6"/>
  <c r="D33" i="6"/>
  <c r="E33" i="6"/>
  <c r="F33" i="6"/>
  <c r="G33" i="6"/>
  <c r="H33" i="6"/>
  <c r="I33" i="6"/>
  <c r="A32" i="6"/>
  <c r="B32" i="6"/>
  <c r="C32" i="6"/>
  <c r="D32" i="6"/>
  <c r="E32" i="6"/>
  <c r="F32" i="6"/>
  <c r="G32" i="6"/>
  <c r="H32" i="6"/>
  <c r="I32" i="6"/>
  <c r="A31" i="6"/>
  <c r="B31" i="6"/>
  <c r="C31" i="6"/>
  <c r="D31" i="6"/>
  <c r="E31" i="6"/>
  <c r="F31" i="6"/>
  <c r="G31" i="6"/>
  <c r="H31" i="6"/>
  <c r="I31" i="6"/>
  <c r="A30" i="6"/>
  <c r="B30" i="6"/>
  <c r="C30" i="6"/>
  <c r="D30" i="6"/>
  <c r="E30" i="6"/>
  <c r="F30" i="6"/>
  <c r="G30" i="6"/>
  <c r="H30" i="6"/>
  <c r="I30" i="6"/>
  <c r="A29" i="6"/>
  <c r="B29" i="6"/>
  <c r="C29" i="6"/>
  <c r="D29" i="6"/>
  <c r="E29" i="6"/>
  <c r="F29" i="6"/>
  <c r="G29" i="6"/>
  <c r="H29" i="6"/>
  <c r="I29" i="6"/>
  <c r="A28" i="6"/>
  <c r="B28" i="6"/>
  <c r="C28" i="6"/>
  <c r="D28" i="6"/>
  <c r="E28" i="6"/>
  <c r="F28" i="6"/>
  <c r="G28" i="6"/>
  <c r="H28" i="6"/>
  <c r="I28" i="6"/>
  <c r="A27" i="6"/>
  <c r="B27" i="6"/>
  <c r="C27" i="6"/>
  <c r="D27" i="6"/>
  <c r="E27" i="6"/>
  <c r="F27" i="6"/>
  <c r="G27" i="6"/>
  <c r="H27" i="6"/>
  <c r="I27" i="6"/>
  <c r="A26" i="6"/>
  <c r="B26" i="6"/>
  <c r="C26" i="6"/>
  <c r="D26" i="6"/>
  <c r="E26" i="6"/>
  <c r="F26" i="6"/>
  <c r="G26" i="6"/>
  <c r="H26" i="6"/>
  <c r="I26" i="6"/>
  <c r="A25" i="6"/>
  <c r="B25" i="6"/>
  <c r="C25" i="6"/>
  <c r="D25" i="6"/>
  <c r="E25" i="6"/>
  <c r="F25" i="6"/>
  <c r="G25" i="6"/>
  <c r="H25" i="6"/>
  <c r="I25" i="6"/>
  <c r="A24" i="6"/>
  <c r="B24" i="6"/>
  <c r="C24" i="6"/>
  <c r="D24" i="6"/>
  <c r="E24" i="6"/>
  <c r="F24" i="6"/>
  <c r="G24" i="6"/>
  <c r="H24" i="6"/>
  <c r="I24" i="6"/>
  <c r="A23" i="6"/>
  <c r="B23" i="6"/>
  <c r="C23" i="6"/>
  <c r="D23" i="6"/>
  <c r="E23" i="6"/>
  <c r="F23" i="6"/>
  <c r="G23" i="6"/>
  <c r="H23" i="6"/>
  <c r="I23" i="6"/>
  <c r="A22" i="6"/>
  <c r="B22" i="6"/>
  <c r="C22" i="6"/>
  <c r="D22" i="6"/>
  <c r="E22" i="6"/>
  <c r="F22" i="6"/>
  <c r="G22" i="6"/>
  <c r="H22" i="6"/>
  <c r="I22" i="6"/>
  <c r="A21" i="6"/>
  <c r="B21" i="6"/>
  <c r="C21" i="6"/>
  <c r="D21" i="6"/>
  <c r="E21" i="6"/>
  <c r="F21" i="6"/>
  <c r="G21" i="6"/>
  <c r="H21" i="6"/>
  <c r="I21" i="6"/>
  <c r="A20" i="6"/>
  <c r="B20" i="6"/>
  <c r="C20" i="6"/>
  <c r="D20" i="6"/>
  <c r="E20" i="6"/>
  <c r="F20" i="6"/>
  <c r="G20" i="6"/>
  <c r="H20" i="6"/>
  <c r="I20" i="6"/>
  <c r="A19" i="6"/>
  <c r="B19" i="6"/>
  <c r="C19" i="6"/>
  <c r="D19" i="6"/>
  <c r="E19" i="6"/>
  <c r="F19" i="6"/>
  <c r="G19" i="6"/>
  <c r="H19" i="6"/>
  <c r="I19" i="6"/>
  <c r="A18" i="6"/>
  <c r="B18" i="6"/>
  <c r="C18" i="6"/>
  <c r="D18" i="6"/>
  <c r="E18" i="6"/>
  <c r="F18" i="6"/>
  <c r="G18" i="6"/>
  <c r="H18" i="6"/>
  <c r="I18" i="6"/>
  <c r="A17" i="6"/>
  <c r="B17" i="6"/>
  <c r="C17" i="6"/>
  <c r="D17" i="6"/>
  <c r="E17" i="6"/>
  <c r="F17" i="6"/>
  <c r="G17" i="6"/>
  <c r="H17" i="6"/>
  <c r="I17" i="6"/>
  <c r="A16" i="6"/>
  <c r="B16" i="6"/>
  <c r="C16" i="6"/>
  <c r="D16" i="6"/>
  <c r="E16" i="6"/>
  <c r="F16" i="6"/>
  <c r="G16" i="6"/>
  <c r="H16" i="6"/>
  <c r="I16" i="6"/>
  <c r="A15" i="6"/>
  <c r="B15" i="6"/>
  <c r="C15" i="6"/>
  <c r="D15" i="6"/>
  <c r="E15" i="6"/>
  <c r="F15" i="6"/>
  <c r="G15" i="6"/>
  <c r="H15" i="6"/>
  <c r="I15" i="6"/>
  <c r="A14" i="6"/>
  <c r="B14" i="6"/>
  <c r="C14" i="6"/>
  <c r="D14" i="6"/>
  <c r="E14" i="6"/>
  <c r="F14" i="6"/>
  <c r="G14" i="6"/>
  <c r="H14" i="6"/>
  <c r="I14" i="6"/>
  <c r="A13" i="6"/>
  <c r="B13" i="6"/>
  <c r="C13" i="6"/>
  <c r="D13" i="6"/>
  <c r="E13" i="6"/>
  <c r="F13" i="6"/>
  <c r="G13" i="6"/>
  <c r="H13" i="6"/>
  <c r="I13" i="6"/>
  <c r="A12" i="6"/>
  <c r="B12" i="6"/>
  <c r="C12" i="6"/>
  <c r="D12" i="6"/>
  <c r="E12" i="6"/>
  <c r="F12" i="6"/>
  <c r="G12" i="6"/>
  <c r="H12" i="6"/>
  <c r="I12" i="6"/>
  <c r="A11" i="6"/>
  <c r="B11" i="6"/>
  <c r="C11" i="6"/>
  <c r="D11" i="6"/>
  <c r="E11" i="6"/>
  <c r="F11" i="6"/>
  <c r="G11" i="6"/>
  <c r="H11" i="6"/>
  <c r="I11" i="6"/>
  <c r="A10" i="6"/>
  <c r="B10" i="6"/>
  <c r="C10" i="6"/>
  <c r="D10" i="6"/>
  <c r="E10" i="6"/>
  <c r="F10" i="6"/>
  <c r="G10" i="6"/>
  <c r="H10" i="6"/>
  <c r="I10" i="6"/>
  <c r="A86" i="5"/>
  <c r="B86" i="5"/>
  <c r="C86" i="5"/>
  <c r="D86" i="5"/>
  <c r="E86" i="5"/>
  <c r="F86" i="5"/>
  <c r="G86" i="5"/>
  <c r="H86" i="5"/>
  <c r="I86" i="5"/>
  <c r="G84" i="5"/>
  <c r="A84" i="5"/>
  <c r="C84" i="5"/>
  <c r="E84" i="5"/>
  <c r="F84" i="5"/>
  <c r="H84" i="5"/>
  <c r="I84" i="5"/>
  <c r="B84" i="5"/>
  <c r="D84" i="5"/>
  <c r="A82" i="5"/>
  <c r="B82" i="5"/>
  <c r="D82" i="5"/>
  <c r="E82" i="5"/>
  <c r="F82" i="5"/>
  <c r="G82" i="5"/>
  <c r="H82" i="5"/>
  <c r="I82" i="5"/>
  <c r="C82" i="5"/>
  <c r="B81" i="5"/>
  <c r="C81" i="5"/>
  <c r="D81" i="5"/>
  <c r="E81" i="5"/>
  <c r="F81" i="5"/>
  <c r="G81" i="5"/>
  <c r="H81" i="5"/>
  <c r="I81" i="5"/>
  <c r="A81" i="5"/>
  <c r="D79" i="5"/>
  <c r="I79" i="5"/>
  <c r="B79" i="5"/>
  <c r="E79" i="5"/>
  <c r="F79" i="5"/>
  <c r="G79" i="5"/>
  <c r="H79" i="5"/>
  <c r="A79" i="5"/>
  <c r="C79" i="5"/>
  <c r="C77" i="5"/>
  <c r="D77" i="5"/>
  <c r="E77" i="5"/>
  <c r="F77" i="5"/>
  <c r="G77" i="5"/>
  <c r="H77" i="5"/>
  <c r="I77" i="5"/>
  <c r="A77" i="5"/>
  <c r="B77" i="5"/>
  <c r="C73" i="5"/>
  <c r="F73" i="5"/>
  <c r="I73" i="5"/>
  <c r="A73" i="5"/>
  <c r="D73" i="5"/>
  <c r="E73" i="5"/>
  <c r="G73" i="5"/>
  <c r="H73" i="5"/>
  <c r="B73" i="5"/>
  <c r="B68" i="5"/>
  <c r="C68" i="5"/>
  <c r="E68" i="5"/>
  <c r="F68" i="5"/>
  <c r="G68" i="5"/>
  <c r="H68" i="5"/>
  <c r="I68" i="5"/>
  <c r="A68" i="5"/>
  <c r="D68" i="5"/>
  <c r="B66" i="5"/>
  <c r="E66" i="5"/>
  <c r="H66" i="5"/>
  <c r="D66" i="5"/>
  <c r="F66" i="5"/>
  <c r="G66" i="5"/>
  <c r="I66" i="5"/>
  <c r="A66" i="5"/>
  <c r="C66" i="5"/>
  <c r="C62" i="5"/>
  <c r="F62" i="5"/>
  <c r="H62" i="5"/>
  <c r="A62" i="5"/>
  <c r="E62" i="5"/>
  <c r="G62" i="5"/>
  <c r="I62" i="5"/>
  <c r="B62" i="5"/>
  <c r="D62" i="5"/>
  <c r="A57" i="5"/>
  <c r="B57" i="5"/>
  <c r="C57" i="5"/>
  <c r="D57" i="5"/>
  <c r="E57" i="5"/>
  <c r="F57" i="5"/>
  <c r="G57" i="5"/>
  <c r="H57" i="5"/>
  <c r="I57" i="5"/>
  <c r="B56" i="5"/>
  <c r="C56" i="5"/>
  <c r="D56" i="5"/>
  <c r="E56" i="5"/>
  <c r="F56" i="5"/>
  <c r="G56" i="5"/>
  <c r="H56" i="5"/>
  <c r="I56" i="5"/>
  <c r="A56" i="5"/>
  <c r="H52" i="5"/>
  <c r="B52" i="5"/>
  <c r="D52" i="5"/>
  <c r="E52" i="5"/>
  <c r="F52" i="5"/>
  <c r="G52" i="5"/>
  <c r="I52" i="5"/>
  <c r="A52" i="5"/>
  <c r="C52" i="5"/>
  <c r="C49" i="5"/>
  <c r="B49" i="5"/>
  <c r="E49" i="5"/>
  <c r="F49" i="5"/>
  <c r="G49" i="5"/>
  <c r="H49" i="5"/>
  <c r="I49" i="5"/>
  <c r="A49" i="5"/>
  <c r="D49" i="5"/>
  <c r="I109" i="4"/>
  <c r="A109" i="4"/>
  <c r="B109" i="4"/>
  <c r="C109" i="4"/>
  <c r="D109" i="4"/>
  <c r="E109" i="4"/>
  <c r="F109" i="4"/>
  <c r="G109" i="4"/>
  <c r="H109" i="4"/>
  <c r="A107" i="4"/>
  <c r="B107" i="4"/>
  <c r="D107" i="4"/>
  <c r="E107" i="4"/>
  <c r="G107" i="4"/>
  <c r="I107" i="4"/>
  <c r="C107" i="4"/>
  <c r="F107" i="4"/>
  <c r="H107" i="4"/>
  <c r="A106" i="4"/>
  <c r="F106" i="4"/>
  <c r="C106" i="4"/>
  <c r="D106" i="4"/>
  <c r="E106" i="4"/>
  <c r="G106" i="4"/>
  <c r="H106" i="4"/>
  <c r="I106" i="4"/>
  <c r="B106" i="4"/>
  <c r="A99" i="4"/>
  <c r="B99" i="4"/>
  <c r="C99" i="4"/>
  <c r="D99" i="4"/>
  <c r="E99" i="4"/>
  <c r="F99" i="4"/>
  <c r="G99" i="4"/>
  <c r="H99" i="4"/>
  <c r="I99" i="4"/>
  <c r="F97" i="4"/>
  <c r="A97" i="4"/>
  <c r="B97" i="4"/>
  <c r="E97" i="4"/>
  <c r="G97" i="4"/>
  <c r="H97" i="4"/>
  <c r="I97" i="4"/>
  <c r="C97" i="4"/>
  <c r="D97" i="4"/>
  <c r="A95" i="4"/>
  <c r="B95" i="4"/>
  <c r="C95" i="4"/>
  <c r="D95" i="4"/>
  <c r="E95" i="4"/>
  <c r="F95" i="4"/>
  <c r="G95" i="4"/>
  <c r="H95" i="4"/>
  <c r="I95" i="4"/>
  <c r="I92" i="4"/>
  <c r="A92" i="4"/>
  <c r="B92" i="4"/>
  <c r="C92" i="4"/>
  <c r="D92" i="4"/>
  <c r="E92" i="4"/>
  <c r="F92" i="4"/>
  <c r="G92" i="4"/>
  <c r="H92" i="4"/>
  <c r="E87" i="4"/>
  <c r="I87" i="4"/>
  <c r="A87" i="4"/>
  <c r="C87" i="4"/>
  <c r="F87" i="4"/>
  <c r="G87" i="4"/>
  <c r="H87" i="4"/>
  <c r="B87" i="4"/>
  <c r="D87" i="4"/>
  <c r="B86" i="4"/>
  <c r="H86" i="4"/>
  <c r="C86" i="4"/>
  <c r="D86" i="4"/>
  <c r="E86" i="4"/>
  <c r="F86" i="4"/>
  <c r="G86" i="4"/>
  <c r="I86" i="4"/>
  <c r="A86" i="4"/>
  <c r="A82" i="4"/>
  <c r="B82" i="4"/>
  <c r="C82" i="4"/>
  <c r="D82" i="4"/>
  <c r="E82" i="4"/>
  <c r="F82" i="4"/>
  <c r="G82" i="4"/>
  <c r="H82" i="4"/>
  <c r="I82" i="4"/>
  <c r="B80" i="4"/>
  <c r="C80" i="4"/>
  <c r="D80" i="4"/>
  <c r="E80" i="4"/>
  <c r="F80" i="4"/>
  <c r="G80" i="4"/>
  <c r="H80" i="4"/>
  <c r="I80" i="4"/>
  <c r="A80" i="4"/>
  <c r="A78" i="4"/>
  <c r="B78" i="4"/>
  <c r="C78" i="4"/>
  <c r="D78" i="4"/>
  <c r="E78" i="4"/>
  <c r="F78" i="4"/>
  <c r="G78" i="4"/>
  <c r="H78" i="4"/>
  <c r="I78" i="4"/>
  <c r="A77" i="4"/>
  <c r="B77" i="4"/>
  <c r="C77" i="4"/>
  <c r="D77" i="4"/>
  <c r="E77" i="4"/>
  <c r="F77" i="4"/>
  <c r="G77" i="4"/>
  <c r="H77" i="4"/>
  <c r="I77" i="4"/>
  <c r="A74" i="4"/>
  <c r="C74" i="4"/>
  <c r="D74" i="4"/>
  <c r="E74" i="4"/>
  <c r="F74" i="4"/>
  <c r="G74" i="4"/>
  <c r="H74" i="4"/>
  <c r="I74" i="4"/>
  <c r="B74" i="4"/>
  <c r="B71" i="4"/>
  <c r="C71" i="4"/>
  <c r="D71" i="4"/>
  <c r="E71" i="4"/>
  <c r="F71" i="4"/>
  <c r="G71" i="4"/>
  <c r="H71" i="4"/>
  <c r="I71" i="4"/>
  <c r="A71" i="4"/>
  <c r="A69" i="4"/>
  <c r="B69" i="4"/>
  <c r="C69" i="4"/>
  <c r="D69" i="4"/>
  <c r="E69" i="4"/>
  <c r="F69" i="4"/>
  <c r="G69" i="4"/>
  <c r="H69" i="4"/>
  <c r="I69" i="4"/>
  <c r="B62" i="4"/>
  <c r="C62" i="4"/>
  <c r="D62" i="4"/>
  <c r="E62" i="4"/>
  <c r="F62" i="4"/>
  <c r="G62" i="4"/>
  <c r="H62" i="4"/>
  <c r="I62" i="4"/>
  <c r="A62" i="4"/>
  <c r="A59" i="4"/>
  <c r="B59" i="4"/>
  <c r="C59" i="4"/>
  <c r="D59" i="4"/>
  <c r="E59" i="4"/>
  <c r="F59" i="4"/>
  <c r="G59" i="4"/>
  <c r="H59" i="4"/>
  <c r="I59" i="4"/>
  <c r="A47" i="5"/>
  <c r="B47" i="5"/>
  <c r="C47" i="5"/>
  <c r="D47" i="5"/>
  <c r="E47" i="5"/>
  <c r="F47" i="5"/>
  <c r="G47" i="5"/>
  <c r="H47" i="5"/>
  <c r="I47" i="5"/>
  <c r="A46" i="5"/>
  <c r="B46" i="5"/>
  <c r="C46" i="5"/>
  <c r="D46" i="5"/>
  <c r="E46" i="5"/>
  <c r="F46" i="5"/>
  <c r="G46" i="5"/>
  <c r="H46" i="5"/>
  <c r="I46" i="5"/>
  <c r="A45" i="5"/>
  <c r="B45" i="5"/>
  <c r="C45" i="5"/>
  <c r="D45" i="5"/>
  <c r="E45" i="5"/>
  <c r="F45" i="5"/>
  <c r="G45" i="5"/>
  <c r="H45" i="5"/>
  <c r="I45" i="5"/>
  <c r="A44" i="5"/>
  <c r="B44" i="5"/>
  <c r="C44" i="5"/>
  <c r="D44" i="5"/>
  <c r="E44" i="5"/>
  <c r="F44" i="5"/>
  <c r="G44" i="5"/>
  <c r="H44" i="5"/>
  <c r="I44" i="5"/>
  <c r="A43" i="5"/>
  <c r="B43" i="5"/>
  <c r="C43" i="5"/>
  <c r="D43" i="5"/>
  <c r="E43" i="5"/>
  <c r="F43" i="5"/>
  <c r="G43" i="5"/>
  <c r="H43" i="5"/>
  <c r="I43" i="5"/>
  <c r="A42" i="5"/>
  <c r="B42" i="5"/>
  <c r="C42" i="5"/>
  <c r="D42" i="5"/>
  <c r="E42" i="5"/>
  <c r="F42" i="5"/>
  <c r="G42" i="5"/>
  <c r="H42" i="5"/>
  <c r="I42" i="5"/>
  <c r="A41" i="5"/>
  <c r="B41" i="5"/>
  <c r="C41" i="5"/>
  <c r="D41" i="5"/>
  <c r="E41" i="5"/>
  <c r="F41" i="5"/>
  <c r="G41" i="5"/>
  <c r="H41" i="5"/>
  <c r="I41" i="5"/>
  <c r="A108" i="8"/>
  <c r="B108" i="8"/>
  <c r="C108" i="8"/>
  <c r="D108" i="8"/>
  <c r="E108" i="8"/>
  <c r="F108" i="8"/>
  <c r="G108" i="8"/>
  <c r="H108" i="8"/>
  <c r="I108" i="8"/>
  <c r="A94" i="6"/>
  <c r="B94" i="6"/>
  <c r="C94" i="6"/>
  <c r="D94" i="6"/>
  <c r="E94" i="6"/>
  <c r="F94" i="6"/>
  <c r="G94" i="6"/>
  <c r="H94" i="6"/>
  <c r="I94" i="6"/>
  <c r="A107" i="8"/>
  <c r="B107" i="8"/>
  <c r="C107" i="8"/>
  <c r="D107" i="8"/>
  <c r="E107" i="8"/>
  <c r="F107" i="8"/>
  <c r="G107" i="8"/>
  <c r="H107" i="8"/>
  <c r="I107" i="8"/>
  <c r="A37" i="5"/>
  <c r="B37" i="5"/>
  <c r="C37" i="5"/>
  <c r="D37" i="5"/>
  <c r="E37" i="5"/>
  <c r="F37" i="5"/>
  <c r="G37" i="5"/>
  <c r="H37" i="5"/>
  <c r="I37" i="5"/>
  <c r="A36" i="5"/>
  <c r="B36" i="5"/>
  <c r="C36" i="5"/>
  <c r="D36" i="5"/>
  <c r="E36" i="5"/>
  <c r="F36" i="5"/>
  <c r="G36" i="5"/>
  <c r="H36" i="5"/>
  <c r="I36" i="5"/>
  <c r="A35" i="5"/>
  <c r="B35" i="5"/>
  <c r="C35" i="5"/>
  <c r="D35" i="5"/>
  <c r="E35" i="5"/>
  <c r="F35" i="5"/>
  <c r="G35" i="5"/>
  <c r="H35" i="5"/>
  <c r="I35" i="5"/>
  <c r="A34" i="5"/>
  <c r="B34" i="5"/>
  <c r="C34" i="5"/>
  <c r="D34" i="5"/>
  <c r="E34" i="5"/>
  <c r="F34" i="5"/>
  <c r="G34" i="5"/>
  <c r="H34" i="5"/>
  <c r="I34" i="5"/>
  <c r="A33" i="5"/>
  <c r="B33" i="5"/>
  <c r="C33" i="5"/>
  <c r="D33" i="5"/>
  <c r="E33" i="5"/>
  <c r="F33" i="5"/>
  <c r="G33" i="5"/>
  <c r="H33" i="5"/>
  <c r="I33" i="5"/>
  <c r="A32" i="5"/>
  <c r="B32" i="5"/>
  <c r="C32" i="5"/>
  <c r="D32" i="5"/>
  <c r="E32" i="5"/>
  <c r="F32" i="5"/>
  <c r="G32" i="5"/>
  <c r="H32" i="5"/>
  <c r="I32" i="5"/>
  <c r="A31" i="5"/>
  <c r="B31" i="5"/>
  <c r="C31" i="5"/>
  <c r="D31" i="5"/>
  <c r="E31" i="5"/>
  <c r="F31" i="5"/>
  <c r="G31" i="5"/>
  <c r="H31" i="5"/>
  <c r="I31" i="5"/>
  <c r="A30" i="5"/>
  <c r="B30" i="5"/>
  <c r="C30" i="5"/>
  <c r="D30" i="5"/>
  <c r="E30" i="5"/>
  <c r="F30" i="5"/>
  <c r="G30" i="5"/>
  <c r="H30" i="5"/>
  <c r="I30" i="5"/>
  <c r="A29" i="5"/>
  <c r="B29" i="5"/>
  <c r="C29" i="5"/>
  <c r="D29" i="5"/>
  <c r="E29" i="5"/>
  <c r="F29" i="5"/>
  <c r="G29" i="5"/>
  <c r="H29" i="5"/>
  <c r="I29" i="5"/>
  <c r="A28" i="5"/>
  <c r="B28" i="5"/>
  <c r="C28" i="5"/>
  <c r="D28" i="5"/>
  <c r="E28" i="5"/>
  <c r="F28" i="5"/>
  <c r="G28" i="5"/>
  <c r="H28" i="5"/>
  <c r="I28" i="5"/>
  <c r="A27" i="5"/>
  <c r="B27" i="5"/>
  <c r="C27" i="5"/>
  <c r="D27" i="5"/>
  <c r="E27" i="5"/>
  <c r="F27" i="5"/>
  <c r="G27" i="5"/>
  <c r="H27" i="5"/>
  <c r="I27" i="5"/>
  <c r="A26" i="5"/>
  <c r="B26" i="5"/>
  <c r="C26" i="5"/>
  <c r="D26" i="5"/>
  <c r="E26" i="5"/>
  <c r="F26" i="5"/>
  <c r="G26" i="5"/>
  <c r="H26" i="5"/>
  <c r="I26" i="5"/>
  <c r="A25" i="5"/>
  <c r="B25" i="5"/>
  <c r="C25" i="5"/>
  <c r="D25" i="5"/>
  <c r="E25" i="5"/>
  <c r="F25" i="5"/>
  <c r="G25" i="5"/>
  <c r="H25" i="5"/>
  <c r="I25" i="5"/>
  <c r="A24" i="5"/>
  <c r="B24" i="5"/>
  <c r="C24" i="5"/>
  <c r="D24" i="5"/>
  <c r="E24" i="5"/>
  <c r="F24" i="5"/>
  <c r="G24" i="5"/>
  <c r="H24" i="5"/>
  <c r="I24" i="5"/>
  <c r="A23" i="5"/>
  <c r="B23" i="5"/>
  <c r="C23" i="5"/>
  <c r="D23" i="5"/>
  <c r="E23" i="5"/>
  <c r="F23" i="5"/>
  <c r="G23" i="5"/>
  <c r="H23" i="5"/>
  <c r="I23" i="5"/>
  <c r="A22" i="5"/>
  <c r="B22" i="5"/>
  <c r="C22" i="5"/>
  <c r="D22" i="5"/>
  <c r="E22" i="5"/>
  <c r="F22" i="5"/>
  <c r="G22" i="5"/>
  <c r="H22" i="5"/>
  <c r="I22" i="5"/>
  <c r="A21" i="5"/>
  <c r="B21" i="5"/>
  <c r="C21" i="5"/>
  <c r="D21" i="5"/>
  <c r="E21" i="5"/>
  <c r="F21" i="5"/>
  <c r="G21" i="5"/>
  <c r="H21" i="5"/>
  <c r="I21" i="5"/>
  <c r="A20" i="5"/>
  <c r="B20" i="5"/>
  <c r="C20" i="5"/>
  <c r="D20" i="5"/>
  <c r="E20" i="5"/>
  <c r="F20" i="5"/>
  <c r="G20" i="5"/>
  <c r="H20" i="5"/>
  <c r="I20" i="5"/>
  <c r="A19" i="5"/>
  <c r="B19" i="5"/>
  <c r="C19" i="5"/>
  <c r="D19" i="5"/>
  <c r="E19" i="5"/>
  <c r="F19" i="5"/>
  <c r="G19" i="5"/>
  <c r="H19" i="5"/>
  <c r="I19" i="5"/>
  <c r="A18" i="5"/>
  <c r="B18" i="5"/>
  <c r="C18" i="5"/>
  <c r="D18" i="5"/>
  <c r="E18" i="5"/>
  <c r="F18" i="5"/>
  <c r="G18" i="5"/>
  <c r="H18" i="5"/>
  <c r="I18" i="5"/>
  <c r="A17" i="5"/>
  <c r="B17" i="5"/>
  <c r="C17" i="5"/>
  <c r="D17" i="5"/>
  <c r="E17" i="5"/>
  <c r="F17" i="5"/>
  <c r="G17" i="5"/>
  <c r="H17" i="5"/>
  <c r="I17" i="5"/>
  <c r="A16" i="5"/>
  <c r="B16" i="5"/>
  <c r="C16" i="5"/>
  <c r="D16" i="5"/>
  <c r="E16" i="5"/>
  <c r="F16" i="5"/>
  <c r="G16" i="5"/>
  <c r="H16" i="5"/>
  <c r="I16" i="5"/>
  <c r="A15" i="5"/>
  <c r="B15" i="5"/>
  <c r="C15" i="5"/>
  <c r="D15" i="5"/>
  <c r="E15" i="5"/>
  <c r="F15" i="5"/>
  <c r="G15" i="5"/>
  <c r="H15" i="5"/>
  <c r="I15" i="5"/>
  <c r="A14" i="5"/>
  <c r="B14" i="5"/>
  <c r="C14" i="5"/>
  <c r="D14" i="5"/>
  <c r="E14" i="5"/>
  <c r="F14" i="5"/>
  <c r="G14" i="5"/>
  <c r="H14" i="5"/>
  <c r="I14" i="5"/>
  <c r="A13" i="5"/>
  <c r="B13" i="5"/>
  <c r="C13" i="5"/>
  <c r="D13" i="5"/>
  <c r="E13" i="5"/>
  <c r="F13" i="5"/>
  <c r="G13" i="5"/>
  <c r="H13" i="5"/>
  <c r="I13" i="5"/>
  <c r="A12" i="5"/>
  <c r="B12" i="5"/>
  <c r="C12" i="5"/>
  <c r="D12" i="5"/>
  <c r="E12" i="5"/>
  <c r="F12" i="5"/>
  <c r="G12" i="5"/>
  <c r="H12" i="5"/>
  <c r="I12" i="5"/>
  <c r="A11" i="5"/>
  <c r="B11" i="5"/>
  <c r="C11" i="5"/>
  <c r="D11" i="5"/>
  <c r="E11" i="5"/>
  <c r="F11" i="5"/>
  <c r="G11" i="5"/>
  <c r="H11" i="5"/>
  <c r="I11" i="5"/>
  <c r="A10" i="5"/>
  <c r="B10" i="5"/>
  <c r="C10" i="5"/>
  <c r="D10" i="5"/>
  <c r="E10" i="5"/>
  <c r="F10" i="5"/>
  <c r="G10" i="5"/>
  <c r="H10" i="5"/>
  <c r="I10" i="5"/>
  <c r="A57" i="4"/>
  <c r="B57" i="4"/>
  <c r="C57" i="4"/>
  <c r="D57" i="4"/>
  <c r="E57" i="4"/>
  <c r="F57" i="4"/>
  <c r="G57" i="4"/>
  <c r="H57" i="4"/>
  <c r="I57" i="4"/>
  <c r="A56" i="4"/>
  <c r="B56" i="4"/>
  <c r="C56" i="4"/>
  <c r="D56" i="4"/>
  <c r="E56" i="4"/>
  <c r="F56" i="4"/>
  <c r="G56" i="4"/>
  <c r="H56" i="4"/>
  <c r="I56" i="4"/>
  <c r="A55" i="4"/>
  <c r="B55" i="4"/>
  <c r="C55" i="4"/>
  <c r="D55" i="4"/>
  <c r="E55" i="4"/>
  <c r="F55" i="4"/>
  <c r="G55" i="4"/>
  <c r="H55" i="4"/>
  <c r="I55" i="4"/>
  <c r="A54" i="4"/>
  <c r="B54" i="4"/>
  <c r="C54" i="4"/>
  <c r="D54" i="4"/>
  <c r="E54" i="4"/>
  <c r="F54" i="4"/>
  <c r="G54" i="4"/>
  <c r="H54" i="4"/>
  <c r="I54" i="4"/>
  <c r="A53" i="4"/>
  <c r="B53" i="4"/>
  <c r="C53" i="4"/>
  <c r="D53" i="4"/>
  <c r="E53" i="4"/>
  <c r="F53" i="4"/>
  <c r="G53" i="4"/>
  <c r="H53" i="4"/>
  <c r="I53" i="4"/>
  <c r="A52" i="4"/>
  <c r="B52" i="4"/>
  <c r="C52" i="4"/>
  <c r="D52" i="4"/>
  <c r="E52" i="4"/>
  <c r="F52" i="4"/>
  <c r="G52" i="4"/>
  <c r="H52" i="4"/>
  <c r="I52" i="4"/>
  <c r="A51" i="4"/>
  <c r="B51" i="4"/>
  <c r="C51" i="4"/>
  <c r="D51" i="4"/>
  <c r="E51" i="4"/>
  <c r="F51" i="4"/>
  <c r="G51" i="4"/>
  <c r="H51" i="4"/>
  <c r="I51" i="4"/>
  <c r="A50" i="4"/>
  <c r="B50" i="4"/>
  <c r="C50" i="4"/>
  <c r="D50" i="4"/>
  <c r="E50" i="4"/>
  <c r="F50" i="4"/>
  <c r="G50" i="4"/>
  <c r="H50" i="4"/>
  <c r="I50" i="4"/>
  <c r="A49" i="4"/>
  <c r="B49" i="4"/>
  <c r="C49" i="4"/>
  <c r="D49" i="4"/>
  <c r="E49" i="4"/>
  <c r="F49" i="4"/>
  <c r="G49" i="4"/>
  <c r="H49" i="4"/>
  <c r="I49" i="4"/>
  <c r="A48" i="4"/>
  <c r="B48" i="4"/>
  <c r="C48" i="4"/>
  <c r="D48" i="4"/>
  <c r="E48" i="4"/>
  <c r="F48" i="4"/>
  <c r="G48" i="4"/>
  <c r="H48" i="4"/>
  <c r="I48" i="4"/>
  <c r="A47" i="4"/>
  <c r="B47" i="4"/>
  <c r="C47" i="4"/>
  <c r="D47" i="4"/>
  <c r="E47" i="4"/>
  <c r="F47" i="4"/>
  <c r="G47" i="4"/>
  <c r="H47" i="4"/>
  <c r="I47" i="4"/>
  <c r="A46" i="4"/>
  <c r="B46" i="4"/>
  <c r="C46" i="4"/>
  <c r="D46" i="4"/>
  <c r="E46" i="4"/>
  <c r="F46" i="4"/>
  <c r="G46" i="4"/>
  <c r="H46" i="4"/>
  <c r="I46" i="4"/>
  <c r="A45" i="4"/>
  <c r="B45" i="4"/>
  <c r="C45" i="4"/>
  <c r="D45" i="4"/>
  <c r="E45" i="4"/>
  <c r="F45" i="4"/>
  <c r="G45" i="4"/>
  <c r="H45" i="4"/>
  <c r="I45" i="4"/>
  <c r="A44" i="4"/>
  <c r="B44" i="4"/>
  <c r="C44" i="4"/>
  <c r="D44" i="4"/>
  <c r="E44" i="4"/>
  <c r="F44" i="4"/>
  <c r="G44" i="4"/>
  <c r="H44" i="4"/>
  <c r="I44" i="4"/>
  <c r="A43" i="4"/>
  <c r="B43" i="4"/>
  <c r="C43" i="4"/>
  <c r="D43" i="4"/>
  <c r="E43" i="4"/>
  <c r="F43" i="4"/>
  <c r="G43" i="4"/>
  <c r="H43" i="4"/>
  <c r="I43" i="4"/>
  <c r="A42" i="4"/>
  <c r="B42" i="4"/>
  <c r="C42" i="4"/>
  <c r="D42" i="4"/>
  <c r="E42" i="4"/>
  <c r="F42" i="4"/>
  <c r="G42" i="4"/>
  <c r="H42" i="4"/>
  <c r="I42" i="4"/>
  <c r="A41" i="4"/>
  <c r="B41" i="4"/>
  <c r="C41" i="4"/>
  <c r="D41" i="4"/>
  <c r="E41" i="4"/>
  <c r="F41" i="4"/>
  <c r="G41" i="4"/>
  <c r="H41" i="4"/>
  <c r="I41" i="4"/>
  <c r="A40" i="4"/>
  <c r="B40" i="4"/>
  <c r="C40" i="4"/>
  <c r="D40" i="4"/>
  <c r="E40" i="4"/>
  <c r="F40" i="4"/>
  <c r="G40" i="4"/>
  <c r="H40" i="4"/>
  <c r="I40" i="4"/>
  <c r="A39" i="4"/>
  <c r="B39" i="4"/>
  <c r="C39" i="4"/>
  <c r="D39" i="4"/>
  <c r="E39" i="4"/>
  <c r="F39" i="4"/>
  <c r="G39" i="4"/>
  <c r="H39" i="4"/>
  <c r="I39" i="4"/>
  <c r="A38" i="4"/>
  <c r="B38" i="4"/>
  <c r="C38" i="4"/>
  <c r="D38" i="4"/>
  <c r="E38" i="4"/>
  <c r="F38" i="4"/>
  <c r="G38" i="4"/>
  <c r="H38" i="4"/>
  <c r="I38" i="4"/>
  <c r="A37" i="4"/>
  <c r="B37" i="4"/>
  <c r="C37" i="4"/>
  <c r="D37" i="4"/>
  <c r="E37" i="4"/>
  <c r="F37" i="4"/>
  <c r="G37" i="4"/>
  <c r="H37" i="4"/>
  <c r="I37" i="4"/>
  <c r="A36" i="4"/>
  <c r="B36" i="4"/>
  <c r="C36" i="4"/>
  <c r="D36" i="4"/>
  <c r="E36" i="4"/>
  <c r="F36" i="4"/>
  <c r="G36" i="4"/>
  <c r="H36" i="4"/>
  <c r="I36" i="4"/>
  <c r="A35" i="4"/>
  <c r="B35" i="4"/>
  <c r="C35" i="4"/>
  <c r="D35" i="4"/>
  <c r="E35" i="4"/>
  <c r="F35" i="4"/>
  <c r="G35" i="4"/>
  <c r="H35" i="4"/>
  <c r="I35" i="4"/>
  <c r="A34" i="4"/>
  <c r="B34" i="4"/>
  <c r="C34" i="4"/>
  <c r="D34" i="4"/>
  <c r="E34" i="4"/>
  <c r="F34" i="4"/>
  <c r="G34" i="4"/>
  <c r="H34" i="4"/>
  <c r="I34" i="4"/>
  <c r="A33" i="4"/>
  <c r="B33" i="4"/>
  <c r="C33" i="4"/>
  <c r="D33" i="4"/>
  <c r="E33" i="4"/>
  <c r="F33" i="4"/>
  <c r="G33" i="4"/>
  <c r="H33" i="4"/>
  <c r="I33" i="4"/>
  <c r="A32" i="4"/>
  <c r="B32" i="4"/>
  <c r="C32" i="4"/>
  <c r="D32" i="4"/>
  <c r="E32" i="4"/>
  <c r="F32" i="4"/>
  <c r="G32" i="4"/>
  <c r="H32" i="4"/>
  <c r="I32" i="4"/>
  <c r="A31" i="4"/>
  <c r="B31" i="4"/>
  <c r="C31" i="4"/>
  <c r="D31" i="4"/>
  <c r="E31" i="4"/>
  <c r="F31" i="4"/>
  <c r="G31" i="4"/>
  <c r="H31" i="4"/>
  <c r="I31" i="4"/>
  <c r="A30" i="4"/>
  <c r="B30" i="4"/>
  <c r="C30" i="4"/>
  <c r="D30" i="4"/>
  <c r="E30" i="4"/>
  <c r="F30" i="4"/>
  <c r="G30" i="4"/>
  <c r="H30" i="4"/>
  <c r="I30" i="4"/>
  <c r="A29" i="4"/>
  <c r="B29" i="4"/>
  <c r="C29" i="4"/>
  <c r="D29" i="4"/>
  <c r="E29" i="4"/>
  <c r="F29" i="4"/>
  <c r="G29" i="4"/>
  <c r="H29" i="4"/>
  <c r="I29" i="4"/>
  <c r="A28" i="4"/>
  <c r="B28" i="4"/>
  <c r="C28" i="4"/>
  <c r="D28" i="4"/>
  <c r="E28" i="4"/>
  <c r="F28" i="4"/>
  <c r="G28" i="4"/>
  <c r="H28" i="4"/>
  <c r="I28" i="4"/>
  <c r="A27" i="4"/>
  <c r="B27" i="4"/>
  <c r="C27" i="4"/>
  <c r="D27" i="4"/>
  <c r="E27" i="4"/>
  <c r="F27" i="4"/>
  <c r="G27" i="4"/>
  <c r="H27" i="4"/>
  <c r="I27" i="4"/>
  <c r="A26" i="4"/>
  <c r="B26" i="4"/>
  <c r="C26" i="4"/>
  <c r="D26" i="4"/>
  <c r="E26" i="4"/>
  <c r="F26" i="4"/>
  <c r="G26" i="4"/>
  <c r="H26" i="4"/>
  <c r="I26" i="4"/>
  <c r="A25" i="4"/>
  <c r="B25" i="4"/>
  <c r="C25" i="4"/>
  <c r="D25" i="4"/>
  <c r="E25" i="4"/>
  <c r="F25" i="4"/>
  <c r="G25" i="4"/>
  <c r="H25" i="4"/>
  <c r="I25" i="4"/>
  <c r="A24" i="4"/>
  <c r="B24" i="4"/>
  <c r="C24" i="4"/>
  <c r="D24" i="4"/>
  <c r="E24" i="4"/>
  <c r="F24" i="4"/>
  <c r="G24" i="4"/>
  <c r="H24" i="4"/>
  <c r="I24" i="4"/>
  <c r="A23" i="4"/>
  <c r="B23" i="4"/>
  <c r="C23" i="4"/>
  <c r="D23" i="4"/>
  <c r="E23" i="4"/>
  <c r="F23" i="4"/>
  <c r="G23" i="4"/>
  <c r="H23" i="4"/>
  <c r="I23" i="4"/>
  <c r="A22" i="4"/>
  <c r="B22" i="4"/>
  <c r="C22" i="4"/>
  <c r="D22" i="4"/>
  <c r="E22" i="4"/>
  <c r="F22" i="4"/>
  <c r="G22" i="4"/>
  <c r="H22" i="4"/>
  <c r="I22" i="4"/>
  <c r="A21" i="4"/>
  <c r="B21" i="4"/>
  <c r="C21" i="4"/>
  <c r="D21" i="4"/>
  <c r="E21" i="4"/>
  <c r="F21" i="4"/>
  <c r="G21" i="4"/>
  <c r="H21" i="4"/>
  <c r="I21" i="4"/>
  <c r="A20" i="4"/>
  <c r="B20" i="4"/>
  <c r="C20" i="4"/>
  <c r="D20" i="4"/>
  <c r="E20" i="4"/>
  <c r="F20" i="4"/>
  <c r="G20" i="4"/>
  <c r="H20" i="4"/>
  <c r="I20" i="4"/>
  <c r="A19" i="4"/>
  <c r="B19" i="4"/>
  <c r="C19" i="4"/>
  <c r="D19" i="4"/>
  <c r="E19" i="4"/>
  <c r="F19" i="4"/>
  <c r="G19" i="4"/>
  <c r="H19" i="4"/>
  <c r="I19" i="4"/>
  <c r="A18" i="4"/>
  <c r="B18" i="4"/>
  <c r="C18" i="4"/>
  <c r="D18" i="4"/>
  <c r="E18" i="4"/>
  <c r="F18" i="4"/>
  <c r="G18" i="4"/>
  <c r="H18" i="4"/>
  <c r="I18" i="4"/>
  <c r="A17" i="4"/>
  <c r="B17" i="4"/>
  <c r="C17" i="4"/>
  <c r="D17" i="4"/>
  <c r="E17" i="4"/>
  <c r="F17" i="4"/>
  <c r="G17" i="4"/>
  <c r="H17" i="4"/>
  <c r="I17" i="4"/>
  <c r="A16" i="4"/>
  <c r="B16" i="4"/>
  <c r="C16" i="4"/>
  <c r="D16" i="4"/>
  <c r="E16" i="4"/>
  <c r="F16" i="4"/>
  <c r="G16" i="4"/>
  <c r="H16" i="4"/>
  <c r="I16" i="4"/>
  <c r="A15" i="4"/>
  <c r="B15" i="4"/>
  <c r="C15" i="4"/>
  <c r="D15" i="4"/>
  <c r="E15" i="4"/>
  <c r="F15" i="4"/>
  <c r="G15" i="4"/>
  <c r="H15" i="4"/>
  <c r="I15" i="4"/>
  <c r="A14" i="4"/>
  <c r="B14" i="4"/>
  <c r="C14" i="4"/>
  <c r="D14" i="4"/>
  <c r="E14" i="4"/>
  <c r="F14" i="4"/>
  <c r="G14" i="4"/>
  <c r="H14" i="4"/>
  <c r="I14" i="4"/>
  <c r="A13" i="4"/>
  <c r="B13" i="4"/>
  <c r="C13" i="4"/>
  <c r="D13" i="4"/>
  <c r="E13" i="4"/>
  <c r="F13" i="4"/>
  <c r="G13" i="4"/>
  <c r="H13" i="4"/>
  <c r="I13" i="4"/>
  <c r="A12" i="4"/>
  <c r="B12" i="4"/>
  <c r="D12" i="4"/>
  <c r="A11" i="4"/>
  <c r="B11" i="4"/>
  <c r="C11" i="4"/>
  <c r="D11" i="4"/>
  <c r="E11" i="4"/>
  <c r="F11" i="4"/>
  <c r="G11" i="4"/>
  <c r="I11" i="4"/>
  <c r="A10" i="4"/>
  <c r="B10" i="4"/>
  <c r="G10" i="4"/>
  <c r="I10" i="4"/>
  <c r="A109" i="3"/>
  <c r="B109" i="3"/>
  <c r="C109" i="3"/>
  <c r="D109" i="3"/>
  <c r="E109" i="3"/>
  <c r="F109" i="3"/>
  <c r="G109" i="3"/>
  <c r="H109" i="3"/>
  <c r="I109" i="3"/>
  <c r="A108" i="3"/>
  <c r="B108" i="3"/>
  <c r="C108" i="3"/>
  <c r="D108" i="3"/>
  <c r="E108" i="3"/>
  <c r="F108" i="3"/>
  <c r="G108" i="3"/>
  <c r="H108" i="3"/>
  <c r="I108" i="3"/>
  <c r="A107" i="3"/>
  <c r="B107" i="3"/>
  <c r="C107" i="3"/>
  <c r="D107" i="3"/>
  <c r="E107" i="3"/>
  <c r="F107" i="3"/>
  <c r="G107" i="3"/>
  <c r="H107" i="3"/>
  <c r="I107" i="3"/>
  <c r="A106" i="3"/>
  <c r="B106" i="3"/>
  <c r="C106" i="3"/>
  <c r="D106" i="3"/>
  <c r="E106" i="3"/>
  <c r="F106" i="3"/>
  <c r="G106" i="3"/>
  <c r="H106" i="3"/>
  <c r="I106" i="3"/>
  <c r="A105" i="3"/>
  <c r="B105" i="3"/>
  <c r="C105" i="3"/>
  <c r="D105" i="3"/>
  <c r="E105" i="3"/>
  <c r="F105" i="3"/>
  <c r="G105" i="3"/>
  <c r="H105" i="3"/>
  <c r="I105" i="3"/>
  <c r="A104" i="3"/>
  <c r="B104" i="3"/>
  <c r="C104" i="3"/>
  <c r="D104" i="3"/>
  <c r="E104" i="3"/>
  <c r="F104" i="3"/>
  <c r="G104" i="3"/>
  <c r="H104" i="3"/>
  <c r="I104" i="3"/>
  <c r="A103" i="3"/>
  <c r="B103" i="3"/>
  <c r="C103" i="3"/>
  <c r="D103" i="3"/>
  <c r="E103" i="3"/>
  <c r="F103" i="3"/>
  <c r="G103" i="3"/>
  <c r="H103" i="3"/>
  <c r="I103" i="3"/>
  <c r="A102" i="3"/>
  <c r="B102" i="3"/>
  <c r="C102" i="3"/>
  <c r="D102" i="3"/>
  <c r="E102" i="3"/>
  <c r="F102" i="3"/>
  <c r="G102" i="3"/>
  <c r="H102" i="3"/>
  <c r="I102" i="3"/>
  <c r="A101" i="3"/>
  <c r="B101" i="3"/>
  <c r="C101" i="3"/>
  <c r="D101" i="3"/>
  <c r="E101" i="3"/>
  <c r="F101" i="3"/>
  <c r="G101" i="3"/>
  <c r="H101" i="3"/>
  <c r="I101" i="3"/>
  <c r="A100" i="3"/>
  <c r="B100" i="3"/>
  <c r="C100" i="3"/>
  <c r="D100" i="3"/>
  <c r="E100" i="3"/>
  <c r="F100" i="3"/>
  <c r="G100" i="3"/>
  <c r="H100" i="3"/>
  <c r="I100" i="3"/>
  <c r="A99" i="3"/>
  <c r="B99" i="3"/>
  <c r="C99" i="3"/>
  <c r="D99" i="3"/>
  <c r="E99" i="3"/>
  <c r="F99" i="3"/>
  <c r="G99" i="3"/>
  <c r="H99" i="3"/>
  <c r="I99" i="3"/>
  <c r="A98" i="3"/>
  <c r="B98" i="3"/>
  <c r="C98" i="3"/>
  <c r="D98" i="3"/>
  <c r="E98" i="3"/>
  <c r="F98" i="3"/>
  <c r="G98" i="3"/>
  <c r="H98" i="3"/>
  <c r="I98" i="3"/>
  <c r="A97" i="3"/>
  <c r="B97" i="3"/>
  <c r="C97" i="3"/>
  <c r="D97" i="3"/>
  <c r="E97" i="3"/>
  <c r="F97" i="3"/>
  <c r="G97" i="3"/>
  <c r="H97" i="3"/>
  <c r="I97" i="3"/>
  <c r="A96" i="3"/>
  <c r="B96" i="3"/>
  <c r="C96" i="3"/>
  <c r="D96" i="3"/>
  <c r="E96" i="3"/>
  <c r="F96" i="3"/>
  <c r="G96" i="3"/>
  <c r="H96" i="3"/>
  <c r="I96" i="3"/>
  <c r="A95" i="3"/>
  <c r="B95" i="3"/>
  <c r="C95" i="3"/>
  <c r="D95" i="3"/>
  <c r="E95" i="3"/>
  <c r="F95" i="3"/>
  <c r="G95" i="3"/>
  <c r="H95" i="3"/>
  <c r="I95" i="3"/>
  <c r="A94" i="3"/>
  <c r="B94" i="3"/>
  <c r="C94" i="3"/>
  <c r="D94" i="3"/>
  <c r="E94" i="3"/>
  <c r="F94" i="3"/>
  <c r="G94" i="3"/>
  <c r="H94" i="3"/>
  <c r="I94" i="3"/>
  <c r="A93" i="3"/>
  <c r="B93" i="3"/>
  <c r="C93" i="3"/>
  <c r="D93" i="3"/>
  <c r="E93" i="3"/>
  <c r="F93" i="3"/>
  <c r="G93" i="3"/>
  <c r="H93" i="3"/>
  <c r="I93" i="3"/>
  <c r="A92" i="3"/>
  <c r="B92" i="3"/>
  <c r="C92" i="3"/>
  <c r="D92" i="3"/>
  <c r="E92" i="3"/>
  <c r="F92" i="3"/>
  <c r="G92" i="3"/>
  <c r="H92" i="3"/>
  <c r="I92" i="3"/>
  <c r="A91" i="3"/>
  <c r="B91" i="3"/>
  <c r="C91" i="3"/>
  <c r="D91" i="3"/>
  <c r="E91" i="3"/>
  <c r="F91" i="3"/>
  <c r="G91" i="3"/>
  <c r="H91" i="3"/>
  <c r="I91" i="3"/>
  <c r="A90" i="3"/>
  <c r="B90" i="3"/>
  <c r="C90" i="3"/>
  <c r="D90" i="3"/>
  <c r="E90" i="3"/>
  <c r="F90" i="3"/>
  <c r="G90" i="3"/>
  <c r="H90" i="3"/>
  <c r="I90" i="3"/>
  <c r="A89" i="3"/>
  <c r="B89" i="3"/>
  <c r="C89" i="3"/>
  <c r="D89" i="3"/>
  <c r="E89" i="3"/>
  <c r="F89" i="3"/>
  <c r="G89" i="3"/>
  <c r="H89" i="3"/>
  <c r="I89" i="3"/>
  <c r="A88" i="3"/>
  <c r="B88" i="3"/>
  <c r="C88" i="3"/>
  <c r="D88" i="3"/>
  <c r="E88" i="3"/>
  <c r="F88" i="3"/>
  <c r="G88" i="3"/>
  <c r="H88" i="3"/>
  <c r="I88" i="3"/>
  <c r="A87" i="3"/>
  <c r="B87" i="3"/>
  <c r="C87" i="3"/>
  <c r="D87" i="3"/>
  <c r="E87" i="3"/>
  <c r="F87" i="3"/>
  <c r="G87" i="3"/>
  <c r="H87" i="3"/>
  <c r="I87" i="3"/>
  <c r="A86" i="3"/>
  <c r="B86" i="3"/>
  <c r="C86" i="3"/>
  <c r="D86" i="3"/>
  <c r="E86" i="3"/>
  <c r="F86" i="3"/>
  <c r="G86" i="3"/>
  <c r="H86" i="3"/>
  <c r="I86" i="3"/>
  <c r="A85" i="3"/>
  <c r="B85" i="3"/>
  <c r="C85" i="3"/>
  <c r="D85" i="3"/>
  <c r="E85" i="3"/>
  <c r="F85" i="3"/>
  <c r="G85" i="3"/>
  <c r="H85" i="3"/>
  <c r="I85" i="3"/>
  <c r="A84" i="3"/>
  <c r="B84" i="3"/>
  <c r="C84" i="3"/>
  <c r="D84" i="3"/>
  <c r="E84" i="3"/>
  <c r="F84" i="3"/>
  <c r="G84" i="3"/>
  <c r="H84" i="3"/>
  <c r="I84" i="3"/>
  <c r="A83" i="3"/>
  <c r="B83" i="3"/>
  <c r="C83" i="3"/>
  <c r="D83" i="3"/>
  <c r="E83" i="3"/>
  <c r="F83" i="3"/>
  <c r="G83" i="3"/>
  <c r="H83" i="3"/>
  <c r="I83" i="3"/>
  <c r="A82" i="3"/>
  <c r="B82" i="3"/>
  <c r="C82" i="3"/>
  <c r="D82" i="3"/>
  <c r="E82" i="3"/>
  <c r="F82" i="3"/>
  <c r="G82" i="3"/>
  <c r="H82" i="3"/>
  <c r="I82" i="3"/>
  <c r="A81" i="3"/>
  <c r="B81" i="3"/>
  <c r="C81" i="3"/>
  <c r="D81" i="3"/>
  <c r="E81" i="3"/>
  <c r="F81" i="3"/>
  <c r="G81" i="3"/>
  <c r="H81" i="3"/>
  <c r="I81" i="3"/>
  <c r="A80" i="3"/>
  <c r="B80" i="3"/>
  <c r="C80" i="3"/>
  <c r="D80" i="3"/>
  <c r="E80" i="3"/>
  <c r="F80" i="3"/>
  <c r="G80" i="3"/>
  <c r="H80" i="3"/>
  <c r="I80" i="3"/>
  <c r="A79" i="3"/>
  <c r="B79" i="3"/>
  <c r="C79" i="3"/>
  <c r="D79" i="3"/>
  <c r="E79" i="3"/>
  <c r="F79" i="3"/>
  <c r="G79" i="3"/>
  <c r="H79" i="3"/>
  <c r="I79" i="3"/>
  <c r="A78" i="3"/>
  <c r="B78" i="3"/>
  <c r="C78" i="3"/>
  <c r="D78" i="3"/>
  <c r="E78" i="3"/>
  <c r="F78" i="3"/>
  <c r="G78" i="3"/>
  <c r="H78" i="3"/>
  <c r="I78" i="3"/>
  <c r="A77" i="3"/>
  <c r="B77" i="3"/>
  <c r="C77" i="3"/>
  <c r="D77" i="3"/>
  <c r="E77" i="3"/>
  <c r="F77" i="3"/>
  <c r="G77" i="3"/>
  <c r="H77" i="3"/>
  <c r="I77" i="3"/>
  <c r="A76" i="3"/>
  <c r="B76" i="3"/>
  <c r="C76" i="3"/>
  <c r="D76" i="3"/>
  <c r="E76" i="3"/>
  <c r="F76" i="3"/>
  <c r="G76" i="3"/>
  <c r="H76" i="3"/>
  <c r="I76" i="3"/>
  <c r="A75" i="3"/>
  <c r="B75" i="3"/>
  <c r="C75" i="3"/>
  <c r="D75" i="3"/>
  <c r="E75" i="3"/>
  <c r="F75" i="3"/>
  <c r="G75" i="3"/>
  <c r="H75" i="3"/>
  <c r="I75" i="3"/>
  <c r="A74" i="3"/>
  <c r="B74" i="3"/>
  <c r="C74" i="3"/>
  <c r="D74" i="3"/>
  <c r="E74" i="3"/>
  <c r="F74" i="3"/>
  <c r="G74" i="3"/>
  <c r="H74" i="3"/>
  <c r="I74" i="3"/>
  <c r="A73" i="3"/>
  <c r="B73" i="3"/>
  <c r="C73" i="3"/>
  <c r="D73" i="3"/>
  <c r="E73" i="3"/>
  <c r="F73" i="3"/>
  <c r="G73" i="3"/>
  <c r="H73" i="3"/>
  <c r="I73" i="3"/>
  <c r="A72" i="3"/>
  <c r="B72" i="3"/>
  <c r="C72" i="3"/>
  <c r="D72" i="3"/>
  <c r="E72" i="3"/>
  <c r="F72" i="3"/>
  <c r="G72" i="3"/>
  <c r="H72" i="3"/>
  <c r="I72" i="3"/>
  <c r="A71" i="3"/>
  <c r="B71" i="3"/>
  <c r="C71" i="3"/>
  <c r="D71" i="3"/>
  <c r="E71" i="3"/>
  <c r="F71" i="3"/>
  <c r="G71" i="3"/>
  <c r="H71" i="3"/>
  <c r="I71" i="3"/>
  <c r="A70" i="3"/>
  <c r="B70" i="3"/>
  <c r="C70" i="3"/>
  <c r="D70" i="3"/>
  <c r="E70" i="3"/>
  <c r="F70" i="3"/>
  <c r="G70" i="3"/>
  <c r="H70" i="3"/>
  <c r="I70" i="3"/>
  <c r="A69" i="3"/>
  <c r="B69" i="3"/>
  <c r="C69" i="3"/>
  <c r="D69" i="3"/>
  <c r="E69" i="3"/>
  <c r="F69" i="3"/>
  <c r="G69" i="3"/>
  <c r="H69" i="3"/>
  <c r="I69" i="3"/>
  <c r="A68" i="3"/>
  <c r="B68" i="3"/>
  <c r="C68" i="3"/>
  <c r="D68" i="3"/>
  <c r="E68" i="3"/>
  <c r="F68" i="3"/>
  <c r="G68" i="3"/>
  <c r="H68" i="3"/>
  <c r="I68" i="3"/>
  <c r="A67" i="3"/>
  <c r="B67" i="3"/>
  <c r="C67" i="3"/>
  <c r="D67" i="3"/>
  <c r="E67" i="3"/>
  <c r="F67" i="3"/>
  <c r="G67" i="3"/>
  <c r="H67" i="3"/>
  <c r="I67" i="3"/>
  <c r="A66" i="3"/>
  <c r="B66" i="3"/>
  <c r="C66" i="3"/>
  <c r="D66" i="3"/>
  <c r="E66" i="3"/>
  <c r="F66" i="3"/>
  <c r="G66" i="3"/>
  <c r="H66" i="3"/>
  <c r="I66" i="3"/>
  <c r="A93" i="6"/>
  <c r="B93" i="6"/>
  <c r="C93" i="6"/>
  <c r="D93" i="6"/>
  <c r="E93" i="6"/>
  <c r="F93" i="6"/>
  <c r="G93" i="6"/>
  <c r="H93" i="6"/>
  <c r="I93" i="6"/>
  <c r="A64" i="3"/>
  <c r="B64" i="3"/>
  <c r="C64" i="3"/>
  <c r="D64" i="3"/>
  <c r="E64" i="3"/>
  <c r="F64" i="3"/>
  <c r="G64" i="3"/>
  <c r="H64" i="3"/>
  <c r="I64" i="3"/>
  <c r="A63" i="3"/>
  <c r="B63" i="3"/>
  <c r="C63" i="3"/>
  <c r="D63" i="3"/>
  <c r="E63" i="3"/>
  <c r="F63" i="3"/>
  <c r="G63" i="3"/>
  <c r="H63" i="3"/>
  <c r="I63" i="3"/>
  <c r="A62" i="3"/>
  <c r="B62" i="3"/>
  <c r="C62" i="3"/>
  <c r="D62" i="3"/>
  <c r="E62" i="3"/>
  <c r="F62" i="3"/>
  <c r="G62" i="3"/>
  <c r="H62" i="3"/>
  <c r="I62" i="3"/>
  <c r="A61" i="3"/>
  <c r="B61" i="3"/>
  <c r="C61" i="3"/>
  <c r="D61" i="3"/>
  <c r="E61" i="3"/>
  <c r="F61" i="3"/>
  <c r="G61" i="3"/>
  <c r="H61" i="3"/>
  <c r="I61" i="3"/>
  <c r="A60" i="3"/>
  <c r="B60" i="3"/>
  <c r="C60" i="3"/>
  <c r="D60" i="3"/>
  <c r="E60" i="3"/>
  <c r="F60" i="3"/>
  <c r="G60" i="3"/>
  <c r="H60" i="3"/>
  <c r="I60" i="3"/>
  <c r="A59" i="3"/>
  <c r="B59" i="3"/>
  <c r="C59" i="3"/>
  <c r="D59" i="3"/>
  <c r="E59" i="3"/>
  <c r="F59" i="3"/>
  <c r="G59" i="3"/>
  <c r="H59" i="3"/>
  <c r="I59" i="3"/>
  <c r="A58" i="3"/>
  <c r="B58" i="3"/>
  <c r="C58" i="3"/>
  <c r="D58" i="3"/>
  <c r="E58" i="3"/>
  <c r="F58" i="3"/>
  <c r="G58" i="3"/>
  <c r="H58" i="3"/>
  <c r="I58" i="3"/>
  <c r="A57" i="3"/>
  <c r="B57" i="3"/>
  <c r="C57" i="3"/>
  <c r="D57" i="3"/>
  <c r="E57" i="3"/>
  <c r="F57" i="3"/>
  <c r="G57" i="3"/>
  <c r="H57" i="3"/>
  <c r="I57" i="3"/>
  <c r="A56" i="3"/>
  <c r="B56" i="3"/>
  <c r="C56" i="3"/>
  <c r="D56" i="3"/>
  <c r="E56" i="3"/>
  <c r="F56" i="3"/>
  <c r="G56" i="3"/>
  <c r="H56" i="3"/>
  <c r="I56" i="3"/>
  <c r="A55" i="3"/>
  <c r="B55" i="3"/>
  <c r="C55" i="3"/>
  <c r="D55" i="3"/>
  <c r="E55" i="3"/>
  <c r="F55" i="3"/>
  <c r="G55" i="3"/>
  <c r="H55" i="3"/>
  <c r="I55" i="3"/>
  <c r="A54" i="3"/>
  <c r="B54" i="3"/>
  <c r="C54" i="3"/>
  <c r="D54" i="3"/>
  <c r="E54" i="3"/>
  <c r="F54" i="3"/>
  <c r="G54" i="3"/>
  <c r="H54" i="3"/>
  <c r="I54" i="3"/>
  <c r="A53" i="3"/>
  <c r="B53" i="3"/>
  <c r="C53" i="3"/>
  <c r="D53" i="3"/>
  <c r="E53" i="3"/>
  <c r="F53" i="3"/>
  <c r="G53" i="3"/>
  <c r="H53" i="3"/>
  <c r="I53" i="3"/>
  <c r="A52" i="3"/>
  <c r="B52" i="3"/>
  <c r="C52" i="3"/>
  <c r="D52" i="3"/>
  <c r="E52" i="3"/>
  <c r="F52" i="3"/>
  <c r="G52" i="3"/>
  <c r="H52" i="3"/>
  <c r="I52" i="3"/>
  <c r="A51" i="3"/>
  <c r="B51" i="3"/>
  <c r="C51" i="3"/>
  <c r="D51" i="3"/>
  <c r="E51" i="3"/>
  <c r="F51" i="3"/>
  <c r="G51" i="3"/>
  <c r="H51" i="3"/>
  <c r="I51" i="3"/>
  <c r="A50" i="3"/>
  <c r="B50" i="3"/>
  <c r="C50" i="3"/>
  <c r="D50" i="3"/>
  <c r="E50" i="3"/>
  <c r="F50" i="3"/>
  <c r="G50" i="3"/>
  <c r="H50" i="3"/>
  <c r="I50" i="3"/>
  <c r="A49" i="3"/>
  <c r="B49" i="3"/>
  <c r="C49" i="3"/>
  <c r="D49" i="3"/>
  <c r="E49" i="3"/>
  <c r="F49" i="3"/>
  <c r="G49" i="3"/>
  <c r="H49" i="3"/>
  <c r="I49" i="3"/>
  <c r="A48" i="3"/>
  <c r="B48" i="3"/>
  <c r="C48" i="3"/>
  <c r="D48" i="3"/>
  <c r="E48" i="3"/>
  <c r="F48" i="3"/>
  <c r="G48" i="3"/>
  <c r="H48" i="3"/>
  <c r="I48" i="3"/>
  <c r="A47" i="3"/>
  <c r="B47" i="3"/>
  <c r="C47" i="3"/>
  <c r="D47" i="3"/>
  <c r="E47" i="3"/>
  <c r="F47" i="3"/>
  <c r="G47" i="3"/>
  <c r="H47" i="3"/>
  <c r="I47" i="3"/>
  <c r="A46" i="3"/>
  <c r="B46" i="3"/>
  <c r="C46" i="3"/>
  <c r="D46" i="3"/>
  <c r="E46" i="3"/>
  <c r="F46" i="3"/>
  <c r="G46" i="3"/>
  <c r="H46" i="3"/>
  <c r="I46" i="3"/>
  <c r="A45" i="3"/>
  <c r="B45" i="3"/>
  <c r="C45" i="3"/>
  <c r="D45" i="3"/>
  <c r="E45" i="3"/>
  <c r="F45" i="3"/>
  <c r="G45" i="3"/>
  <c r="H45" i="3"/>
  <c r="I45" i="3"/>
  <c r="A44" i="3"/>
  <c r="B44" i="3"/>
  <c r="C44" i="3"/>
  <c r="D44" i="3"/>
  <c r="E44" i="3"/>
  <c r="F44" i="3"/>
  <c r="G44" i="3"/>
  <c r="H44" i="3"/>
  <c r="I44" i="3"/>
  <c r="A43" i="3"/>
  <c r="B43" i="3"/>
  <c r="C43" i="3"/>
  <c r="D43" i="3"/>
  <c r="E43" i="3"/>
  <c r="F43" i="3"/>
  <c r="G43" i="3"/>
  <c r="H43" i="3"/>
  <c r="I43" i="3"/>
  <c r="A42" i="3"/>
  <c r="B42" i="3"/>
  <c r="C42" i="3"/>
  <c r="D42" i="3"/>
  <c r="E42" i="3"/>
  <c r="F42" i="3"/>
  <c r="G42" i="3"/>
  <c r="H42" i="3"/>
  <c r="I42" i="3"/>
  <c r="A41" i="3"/>
  <c r="B41" i="3"/>
  <c r="C41" i="3"/>
  <c r="D41" i="3"/>
  <c r="E41" i="3"/>
  <c r="F41" i="3"/>
  <c r="G41" i="3"/>
  <c r="H41" i="3"/>
  <c r="I41" i="3"/>
  <c r="A40" i="3"/>
  <c r="B40" i="3"/>
  <c r="C40" i="3"/>
  <c r="D40" i="3"/>
  <c r="E40" i="3"/>
  <c r="F40" i="3"/>
  <c r="G40" i="3"/>
  <c r="H40" i="3"/>
  <c r="I40" i="3"/>
  <c r="A39" i="3"/>
  <c r="B39" i="3"/>
  <c r="C39" i="3"/>
  <c r="D39" i="3"/>
  <c r="E39" i="3"/>
  <c r="F39" i="3"/>
  <c r="G39" i="3"/>
  <c r="H39" i="3"/>
  <c r="I39" i="3"/>
  <c r="A38" i="3"/>
  <c r="B38" i="3"/>
  <c r="C38" i="3"/>
  <c r="D38" i="3"/>
  <c r="E38" i="3"/>
  <c r="F38" i="3"/>
  <c r="G38" i="3"/>
  <c r="H38" i="3"/>
  <c r="I38" i="3"/>
  <c r="A37" i="3"/>
  <c r="B37" i="3"/>
  <c r="C37" i="3"/>
  <c r="D37" i="3"/>
  <c r="E37" i="3"/>
  <c r="F37" i="3"/>
  <c r="G37" i="3"/>
  <c r="H37" i="3"/>
  <c r="I37" i="3"/>
  <c r="A36" i="3"/>
  <c r="B36" i="3"/>
  <c r="C36" i="3"/>
  <c r="D36" i="3"/>
  <c r="E36" i="3"/>
  <c r="F36" i="3"/>
  <c r="G36" i="3"/>
  <c r="H36" i="3"/>
  <c r="I36" i="3"/>
  <c r="A35" i="3"/>
  <c r="B35" i="3"/>
  <c r="C35" i="3"/>
  <c r="D35" i="3"/>
  <c r="E35" i="3"/>
  <c r="F35" i="3"/>
  <c r="G35" i="3"/>
  <c r="H35" i="3"/>
  <c r="I35" i="3"/>
  <c r="A34" i="3"/>
  <c r="B34" i="3"/>
  <c r="C34" i="3"/>
  <c r="D34" i="3"/>
  <c r="E34" i="3"/>
  <c r="F34" i="3"/>
  <c r="G34" i="3"/>
  <c r="H34" i="3"/>
  <c r="I34" i="3"/>
  <c r="A33" i="3"/>
  <c r="B33" i="3"/>
  <c r="C33" i="3"/>
  <c r="D33" i="3"/>
  <c r="E33" i="3"/>
  <c r="F33" i="3"/>
  <c r="G33" i="3"/>
  <c r="H33" i="3"/>
  <c r="I33" i="3"/>
  <c r="A32" i="3"/>
  <c r="B32" i="3"/>
  <c r="C32" i="3"/>
  <c r="D32" i="3"/>
  <c r="E32" i="3"/>
  <c r="F32" i="3"/>
  <c r="G32" i="3"/>
  <c r="H32" i="3"/>
  <c r="I32" i="3"/>
  <c r="A31" i="3"/>
  <c r="B31" i="3"/>
  <c r="C31" i="3"/>
  <c r="D31" i="3"/>
  <c r="E31" i="3"/>
  <c r="F31" i="3"/>
  <c r="G31" i="3"/>
  <c r="H31" i="3"/>
  <c r="I31" i="3"/>
  <c r="A30" i="3"/>
  <c r="B30" i="3"/>
  <c r="C30" i="3"/>
  <c r="D30" i="3"/>
  <c r="E30" i="3"/>
  <c r="F30" i="3"/>
  <c r="G30" i="3"/>
  <c r="H30" i="3"/>
  <c r="I30" i="3"/>
  <c r="A29" i="3"/>
  <c r="B29" i="3"/>
  <c r="C29" i="3"/>
  <c r="D29" i="3"/>
  <c r="E29" i="3"/>
  <c r="F29" i="3"/>
  <c r="G29" i="3"/>
  <c r="H29" i="3"/>
  <c r="I29" i="3"/>
  <c r="A28" i="3"/>
  <c r="B28" i="3"/>
  <c r="C28" i="3"/>
  <c r="D28" i="3"/>
  <c r="E28" i="3"/>
  <c r="F28" i="3"/>
  <c r="G28" i="3"/>
  <c r="H28" i="3"/>
  <c r="I28" i="3"/>
  <c r="A27" i="3"/>
  <c r="B27" i="3"/>
  <c r="C27" i="3"/>
  <c r="D27" i="3"/>
  <c r="E27" i="3"/>
  <c r="F27" i="3"/>
  <c r="G27" i="3"/>
  <c r="H27" i="3"/>
  <c r="I27" i="3"/>
  <c r="A26" i="3"/>
  <c r="B26" i="3"/>
  <c r="C26" i="3"/>
  <c r="D26" i="3"/>
  <c r="E26" i="3"/>
  <c r="F26" i="3"/>
  <c r="G26" i="3"/>
  <c r="H26" i="3"/>
  <c r="I26" i="3"/>
  <c r="A25" i="3"/>
  <c r="B25" i="3"/>
  <c r="C25" i="3"/>
  <c r="D25" i="3"/>
  <c r="E25" i="3"/>
  <c r="F25" i="3"/>
  <c r="G25" i="3"/>
  <c r="H25" i="3"/>
  <c r="I25" i="3"/>
  <c r="A24" i="3"/>
  <c r="B24" i="3"/>
  <c r="C24" i="3"/>
  <c r="D24" i="3"/>
  <c r="E24" i="3"/>
  <c r="F24" i="3"/>
  <c r="G24" i="3"/>
  <c r="H24" i="3"/>
  <c r="I24" i="3"/>
  <c r="A23" i="3"/>
  <c r="B23" i="3"/>
  <c r="C23" i="3"/>
  <c r="D23" i="3"/>
  <c r="E23" i="3"/>
  <c r="F23" i="3"/>
  <c r="G23" i="3"/>
  <c r="H23" i="3"/>
  <c r="I23" i="3"/>
  <c r="A22" i="3"/>
  <c r="B22" i="3"/>
  <c r="C22" i="3"/>
  <c r="D22" i="3"/>
  <c r="E22" i="3"/>
  <c r="F22" i="3"/>
  <c r="G22" i="3"/>
  <c r="H22" i="3"/>
  <c r="I22" i="3"/>
  <c r="A21" i="3"/>
  <c r="B21" i="3"/>
  <c r="C21" i="3"/>
  <c r="D21" i="3"/>
  <c r="E21" i="3"/>
  <c r="F21" i="3"/>
  <c r="G21" i="3"/>
  <c r="H21" i="3"/>
  <c r="I21" i="3"/>
  <c r="A20" i="3"/>
  <c r="B20" i="3"/>
  <c r="C20" i="3"/>
  <c r="D20" i="3"/>
  <c r="E20" i="3"/>
  <c r="F20" i="3"/>
  <c r="G20" i="3"/>
  <c r="H20" i="3"/>
  <c r="I20" i="3"/>
  <c r="A19" i="3"/>
  <c r="B19" i="3"/>
  <c r="C19" i="3"/>
  <c r="D19" i="3"/>
  <c r="E19" i="3"/>
  <c r="F19" i="3"/>
  <c r="G19" i="3"/>
  <c r="H19" i="3"/>
  <c r="I19" i="3"/>
  <c r="A18" i="3"/>
  <c r="B18" i="3"/>
  <c r="C18" i="3"/>
  <c r="D18" i="3"/>
  <c r="E18" i="3"/>
  <c r="F18" i="3"/>
  <c r="G18" i="3"/>
  <c r="H18" i="3"/>
  <c r="I18" i="3"/>
  <c r="A17" i="3"/>
  <c r="B17" i="3"/>
  <c r="C17" i="3"/>
  <c r="D17" i="3"/>
  <c r="E17" i="3"/>
  <c r="F17" i="3"/>
  <c r="G17" i="3"/>
  <c r="H17" i="3"/>
  <c r="I17" i="3"/>
  <c r="A16" i="3"/>
  <c r="B16" i="3"/>
  <c r="C16" i="3"/>
  <c r="D16" i="3"/>
  <c r="E16" i="3"/>
  <c r="F16" i="3"/>
  <c r="G16" i="3"/>
  <c r="H16" i="3"/>
  <c r="I16" i="3"/>
  <c r="A15" i="3"/>
  <c r="B15" i="3"/>
  <c r="C15" i="3"/>
  <c r="D15" i="3"/>
  <c r="E15" i="3"/>
  <c r="F15" i="3"/>
  <c r="G15" i="3"/>
  <c r="H15" i="3"/>
  <c r="I15" i="3"/>
  <c r="A14" i="3"/>
  <c r="B14" i="3"/>
  <c r="C14" i="3"/>
  <c r="D14" i="3"/>
  <c r="E14" i="3"/>
  <c r="F14" i="3"/>
  <c r="G14" i="3"/>
  <c r="H14" i="3"/>
  <c r="I14" i="3"/>
  <c r="A13" i="3"/>
  <c r="B13" i="3"/>
  <c r="C13" i="3"/>
  <c r="D13" i="3"/>
  <c r="E13" i="3"/>
  <c r="F13" i="3"/>
  <c r="G13" i="3"/>
  <c r="H13" i="3"/>
  <c r="I13" i="3"/>
  <c r="A12" i="3"/>
  <c r="B12" i="3"/>
  <c r="C12" i="3"/>
  <c r="D12" i="3"/>
  <c r="E12" i="3"/>
  <c r="F12" i="3"/>
  <c r="G12" i="3"/>
  <c r="H12" i="3"/>
  <c r="I12" i="3"/>
  <c r="A11" i="3"/>
  <c r="B11" i="3"/>
  <c r="C11" i="3"/>
  <c r="D11" i="3"/>
  <c r="F11" i="3"/>
  <c r="G11" i="3"/>
  <c r="H11" i="3"/>
  <c r="I11" i="3"/>
  <c r="A10" i="3"/>
  <c r="B10" i="3"/>
  <c r="C10" i="3"/>
  <c r="D10" i="3"/>
  <c r="E10" i="3"/>
  <c r="F10" i="3"/>
  <c r="G10" i="3"/>
  <c r="H10" i="3"/>
  <c r="I10" i="3"/>
  <c r="A95" i="6"/>
  <c r="B95" i="6"/>
  <c r="C95" i="6"/>
  <c r="D95" i="6"/>
  <c r="E95" i="6"/>
  <c r="F95" i="6"/>
  <c r="G95" i="6"/>
  <c r="H95" i="6"/>
  <c r="I95" i="6"/>
  <c r="A96" i="6"/>
  <c r="B96" i="6"/>
  <c r="C96" i="6"/>
  <c r="D96" i="6"/>
  <c r="E96" i="6"/>
  <c r="F96" i="6"/>
  <c r="G96" i="6"/>
  <c r="H96" i="6"/>
  <c r="I96" i="6"/>
  <c r="A97" i="6"/>
  <c r="B97" i="6"/>
  <c r="C97" i="6"/>
  <c r="D97" i="6"/>
  <c r="E97" i="6"/>
  <c r="F97" i="6"/>
  <c r="G97" i="6"/>
  <c r="H97" i="6"/>
  <c r="I97" i="6"/>
  <c r="A98" i="6"/>
  <c r="B98" i="6"/>
  <c r="C98" i="6"/>
  <c r="D98" i="6"/>
  <c r="E98" i="6"/>
  <c r="F98" i="6"/>
  <c r="G98" i="6"/>
  <c r="H98" i="6"/>
  <c r="I98" i="6"/>
  <c r="A99" i="6"/>
  <c r="B99" i="6"/>
  <c r="C99" i="6"/>
  <c r="D99" i="6"/>
  <c r="E99" i="6"/>
  <c r="F99" i="6"/>
  <c r="G99" i="6"/>
  <c r="H99" i="6"/>
  <c r="I99" i="6"/>
  <c r="A100" i="6"/>
  <c r="B100" i="6"/>
  <c r="C100" i="6"/>
  <c r="D100" i="6"/>
  <c r="E100" i="6"/>
  <c r="F100" i="6"/>
  <c r="G100" i="6"/>
  <c r="H100" i="6"/>
  <c r="I100" i="6"/>
  <c r="A101" i="6"/>
  <c r="B101" i="6"/>
  <c r="C101" i="6"/>
  <c r="D101" i="6"/>
  <c r="E101" i="6"/>
  <c r="F101" i="6"/>
  <c r="G101" i="6"/>
  <c r="H101" i="6"/>
  <c r="I101" i="6"/>
  <c r="A102" i="6"/>
  <c r="B102" i="6"/>
  <c r="C102" i="6"/>
  <c r="D102" i="6"/>
  <c r="E102" i="6"/>
  <c r="F102" i="6"/>
  <c r="G102" i="6"/>
  <c r="H102" i="6"/>
  <c r="I102" i="6"/>
  <c r="A103" i="6"/>
  <c r="B103" i="6"/>
  <c r="C103" i="6"/>
  <c r="D103" i="6"/>
  <c r="E103" i="6"/>
  <c r="F103" i="6"/>
  <c r="G103" i="6"/>
  <c r="H103" i="6"/>
  <c r="I103" i="6"/>
  <c r="A104" i="6"/>
  <c r="B104" i="6"/>
  <c r="C104" i="6"/>
  <c r="D104" i="6"/>
  <c r="E104" i="6"/>
  <c r="F104" i="6"/>
  <c r="G104" i="6"/>
  <c r="H104" i="6"/>
  <c r="I104" i="6"/>
  <c r="A105" i="6"/>
  <c r="B105" i="6"/>
  <c r="C105" i="6"/>
  <c r="D105" i="6"/>
  <c r="E105" i="6"/>
  <c r="F105" i="6"/>
  <c r="G105" i="6"/>
  <c r="H105" i="6"/>
  <c r="I105" i="6"/>
  <c r="A106" i="6"/>
  <c r="B106" i="6"/>
  <c r="C106" i="6"/>
  <c r="D106" i="6"/>
  <c r="E106" i="6"/>
  <c r="F106" i="6"/>
  <c r="G106" i="6"/>
  <c r="H106" i="6"/>
  <c r="I106" i="6"/>
  <c r="A107" i="6"/>
  <c r="B107" i="6"/>
  <c r="C107" i="6"/>
  <c r="D107" i="6"/>
  <c r="E107" i="6"/>
  <c r="F107" i="6"/>
  <c r="G107" i="6"/>
  <c r="H107" i="6"/>
  <c r="I107" i="6"/>
  <c r="A108" i="6"/>
  <c r="B108" i="6"/>
  <c r="C108" i="6"/>
  <c r="D108" i="6"/>
  <c r="E108" i="6"/>
  <c r="F108" i="6"/>
  <c r="G108" i="6"/>
  <c r="H108" i="6"/>
  <c r="I108" i="6"/>
  <c r="A109" i="6"/>
  <c r="B109" i="6"/>
  <c r="C109" i="6"/>
  <c r="D109" i="6"/>
  <c r="E109" i="6"/>
  <c r="F109" i="6"/>
  <c r="G109" i="6"/>
  <c r="H109" i="6"/>
  <c r="I109" i="6"/>
  <c r="A29" i="7"/>
  <c r="B29" i="7"/>
  <c r="C29" i="7"/>
  <c r="D29" i="7"/>
  <c r="E29" i="7"/>
  <c r="F29" i="7"/>
  <c r="G29" i="7"/>
  <c r="H29" i="7"/>
  <c r="I29" i="7"/>
  <c r="A30" i="7"/>
  <c r="B30" i="7"/>
  <c r="C30" i="7"/>
  <c r="D30" i="7"/>
  <c r="E30" i="7"/>
  <c r="F30" i="7"/>
  <c r="G30" i="7"/>
  <c r="H30" i="7"/>
  <c r="I30" i="7"/>
  <c r="A31" i="7"/>
  <c r="B31" i="7"/>
  <c r="C31" i="7"/>
  <c r="D31" i="7"/>
  <c r="E31" i="7"/>
  <c r="F31" i="7"/>
  <c r="G31" i="7"/>
  <c r="H31" i="7"/>
  <c r="I31" i="7"/>
  <c r="A32" i="7"/>
  <c r="B32" i="7"/>
  <c r="C32" i="7"/>
  <c r="D32" i="7"/>
  <c r="E32" i="7"/>
  <c r="F32" i="7"/>
  <c r="G32" i="7"/>
  <c r="H32" i="7"/>
  <c r="I32" i="7"/>
  <c r="A33" i="7"/>
  <c r="B33" i="7"/>
  <c r="C33" i="7"/>
  <c r="D33" i="7"/>
  <c r="E33" i="7"/>
  <c r="F33" i="7"/>
  <c r="G33" i="7"/>
  <c r="H33" i="7"/>
  <c r="I33" i="7"/>
  <c r="A34" i="7"/>
  <c r="B34" i="7"/>
  <c r="C34" i="7"/>
  <c r="D34" i="7"/>
  <c r="E34" i="7"/>
  <c r="F34" i="7"/>
  <c r="G34" i="7"/>
  <c r="H34" i="7"/>
  <c r="I34" i="7"/>
  <c r="A35" i="7"/>
  <c r="B35" i="7"/>
  <c r="C35" i="7"/>
  <c r="D35" i="7"/>
  <c r="E35" i="7"/>
  <c r="F35" i="7"/>
  <c r="G35" i="7"/>
  <c r="H35" i="7"/>
  <c r="I35" i="7"/>
  <c r="A36" i="7"/>
  <c r="B36" i="7"/>
  <c r="C36" i="7"/>
  <c r="D36" i="7"/>
  <c r="E36" i="7"/>
  <c r="F36" i="7"/>
  <c r="G36" i="7"/>
  <c r="H36" i="7"/>
  <c r="I36" i="7"/>
  <c r="A37" i="7"/>
  <c r="B37" i="7"/>
  <c r="C37" i="7"/>
  <c r="D37" i="7"/>
  <c r="E37" i="7"/>
  <c r="F37" i="7"/>
  <c r="G37" i="7"/>
  <c r="H37" i="7"/>
  <c r="I37" i="7"/>
  <c r="A38" i="7"/>
  <c r="B38" i="7"/>
  <c r="C38" i="7"/>
  <c r="D38" i="7"/>
  <c r="E38" i="7"/>
  <c r="F38" i="7"/>
  <c r="G38" i="7"/>
  <c r="H38" i="7"/>
  <c r="I38" i="7"/>
  <c r="A39" i="7"/>
  <c r="B39" i="7"/>
  <c r="C39" i="7"/>
  <c r="D39" i="7"/>
  <c r="E39" i="7"/>
  <c r="F39" i="7"/>
  <c r="G39" i="7"/>
  <c r="H39" i="7"/>
  <c r="I39" i="7"/>
  <c r="A40" i="7"/>
  <c r="B40" i="7"/>
  <c r="C40" i="7"/>
  <c r="D40" i="7"/>
  <c r="E40" i="7"/>
  <c r="F40" i="7"/>
  <c r="G40" i="7"/>
  <c r="H40" i="7"/>
  <c r="I40" i="7"/>
  <c r="A41" i="7"/>
  <c r="B41" i="7"/>
  <c r="C41" i="7"/>
  <c r="D41" i="7"/>
  <c r="E41" i="7"/>
  <c r="F41" i="7"/>
  <c r="G41" i="7"/>
  <c r="H41" i="7"/>
  <c r="I41" i="7"/>
  <c r="A42" i="7"/>
  <c r="B42" i="7"/>
  <c r="C42" i="7"/>
  <c r="D42" i="7"/>
  <c r="E42" i="7"/>
  <c r="F42" i="7"/>
  <c r="G42" i="7"/>
  <c r="H42" i="7"/>
  <c r="I42" i="7"/>
  <c r="A43" i="7"/>
  <c r="B43" i="7"/>
  <c r="C43" i="7"/>
  <c r="D43" i="7"/>
  <c r="E43" i="7"/>
  <c r="F43" i="7"/>
  <c r="G43" i="7"/>
  <c r="H43" i="7"/>
  <c r="I43" i="7"/>
  <c r="A44" i="7"/>
  <c r="B44" i="7"/>
  <c r="C44" i="7"/>
  <c r="D44" i="7"/>
  <c r="E44" i="7"/>
  <c r="F44" i="7"/>
  <c r="G44" i="7"/>
  <c r="H44" i="7"/>
  <c r="I44" i="7"/>
  <c r="A45" i="7"/>
  <c r="B45" i="7"/>
  <c r="C45" i="7"/>
  <c r="D45" i="7"/>
  <c r="E45" i="7"/>
  <c r="F45" i="7"/>
  <c r="G45" i="7"/>
  <c r="H45" i="7"/>
  <c r="I45" i="7"/>
  <c r="A46" i="7"/>
  <c r="B46" i="7"/>
  <c r="C46" i="7"/>
  <c r="D46" i="7"/>
  <c r="E46" i="7"/>
  <c r="F46" i="7"/>
  <c r="G46" i="7"/>
  <c r="H46" i="7"/>
  <c r="I46" i="7"/>
  <c r="A47" i="7"/>
  <c r="B47" i="7"/>
  <c r="C47" i="7"/>
  <c r="D47" i="7"/>
  <c r="E47" i="7"/>
  <c r="F47" i="7"/>
  <c r="G47" i="7"/>
  <c r="H47" i="7"/>
  <c r="I47" i="7"/>
  <c r="A48" i="7"/>
  <c r="B48" i="7"/>
  <c r="C48" i="7"/>
  <c r="D48" i="7"/>
  <c r="E48" i="7"/>
  <c r="F48" i="7"/>
  <c r="G48" i="7"/>
  <c r="H48" i="7"/>
  <c r="I48" i="7"/>
  <c r="A49" i="7"/>
  <c r="B49" i="7"/>
  <c r="C49" i="7"/>
  <c r="D49" i="7"/>
  <c r="E49" i="7"/>
  <c r="F49" i="7"/>
  <c r="G49" i="7"/>
  <c r="H49" i="7"/>
  <c r="I49" i="7"/>
  <c r="A50" i="7"/>
  <c r="B50" i="7"/>
  <c r="C50" i="7"/>
  <c r="D50" i="7"/>
  <c r="E50" i="7"/>
  <c r="F50" i="7"/>
  <c r="G50" i="7"/>
  <c r="H50" i="7"/>
  <c r="I50" i="7"/>
  <c r="A51" i="7"/>
  <c r="B51" i="7"/>
  <c r="C51" i="7"/>
  <c r="D51" i="7"/>
  <c r="E51" i="7"/>
  <c r="F51" i="7"/>
  <c r="G51" i="7"/>
  <c r="H51" i="7"/>
  <c r="I51" i="7"/>
  <c r="A52" i="7"/>
  <c r="B52" i="7"/>
  <c r="C52" i="7"/>
  <c r="D52" i="7"/>
  <c r="E52" i="7"/>
  <c r="F52" i="7"/>
  <c r="G52" i="7"/>
  <c r="H52" i="7"/>
  <c r="I52" i="7"/>
  <c r="A53" i="7"/>
  <c r="B53" i="7"/>
  <c r="C53" i="7"/>
  <c r="D53" i="7"/>
  <c r="E53" i="7"/>
  <c r="F53" i="7"/>
  <c r="G53" i="7"/>
  <c r="H53" i="7"/>
  <c r="I53" i="7"/>
  <c r="A54" i="7"/>
  <c r="B54" i="7"/>
  <c r="C54" i="7"/>
  <c r="D54" i="7"/>
  <c r="E54" i="7"/>
  <c r="F54" i="7"/>
  <c r="G54" i="7"/>
  <c r="H54" i="7"/>
  <c r="I54" i="7"/>
  <c r="A55" i="7"/>
  <c r="B55" i="7"/>
  <c r="C55" i="7"/>
  <c r="D55" i="7"/>
  <c r="E55" i="7"/>
  <c r="F55" i="7"/>
  <c r="G55" i="7"/>
  <c r="H55" i="7"/>
  <c r="I55" i="7"/>
  <c r="A56" i="7"/>
  <c r="B56" i="7"/>
  <c r="C56" i="7"/>
  <c r="D56" i="7"/>
  <c r="E56" i="7"/>
  <c r="F56" i="7"/>
  <c r="G56" i="7"/>
  <c r="H56" i="7"/>
  <c r="I56" i="7"/>
  <c r="A57" i="7"/>
  <c r="B57" i="7"/>
  <c r="C57" i="7"/>
  <c r="D57" i="7"/>
  <c r="E57" i="7"/>
  <c r="F57" i="7"/>
  <c r="G57" i="7"/>
  <c r="H57" i="7"/>
  <c r="I57" i="7"/>
  <c r="A58" i="7"/>
  <c r="B58" i="7"/>
  <c r="C58" i="7"/>
  <c r="D58" i="7"/>
  <c r="E58" i="7"/>
  <c r="F58" i="7"/>
  <c r="G58" i="7"/>
  <c r="H58" i="7"/>
  <c r="I58" i="7"/>
  <c r="A59" i="7"/>
  <c r="B59" i="7"/>
  <c r="C59" i="7"/>
  <c r="D59" i="7"/>
  <c r="E59" i="7"/>
  <c r="F59" i="7"/>
  <c r="G59" i="7"/>
  <c r="H59" i="7"/>
  <c r="I59" i="7"/>
  <c r="A60" i="7"/>
  <c r="B60" i="7"/>
  <c r="C60" i="7"/>
  <c r="D60" i="7"/>
  <c r="E60" i="7"/>
  <c r="F60" i="7"/>
  <c r="G60" i="7"/>
  <c r="H60" i="7"/>
  <c r="I60" i="7"/>
  <c r="A61" i="7"/>
  <c r="B61" i="7"/>
  <c r="C61" i="7"/>
  <c r="D61" i="7"/>
  <c r="E61" i="7"/>
  <c r="F61" i="7"/>
  <c r="G61" i="7"/>
  <c r="H61" i="7"/>
  <c r="I61" i="7"/>
  <c r="A62" i="7"/>
  <c r="B62" i="7"/>
  <c r="C62" i="7"/>
  <c r="D62" i="7"/>
  <c r="E62" i="7"/>
  <c r="F62" i="7"/>
  <c r="G62" i="7"/>
  <c r="H62" i="7"/>
  <c r="I62" i="7"/>
  <c r="A63" i="7"/>
  <c r="B63" i="7"/>
  <c r="C63" i="7"/>
  <c r="D63" i="7"/>
  <c r="E63" i="7"/>
  <c r="F63" i="7"/>
  <c r="G63" i="7"/>
  <c r="H63" i="7"/>
  <c r="I63" i="7"/>
  <c r="A64" i="7"/>
  <c r="B64" i="7"/>
  <c r="C64" i="7"/>
  <c r="D64" i="7"/>
  <c r="E64" i="7"/>
  <c r="F64" i="7"/>
  <c r="G64" i="7"/>
  <c r="H64" i="7"/>
  <c r="I64" i="7"/>
  <c r="A65" i="7"/>
  <c r="B65" i="7"/>
  <c r="C65" i="7"/>
  <c r="D65" i="7"/>
  <c r="E65" i="7"/>
  <c r="F65" i="7"/>
  <c r="G65" i="7"/>
  <c r="H65" i="7"/>
  <c r="I65" i="7"/>
  <c r="A66" i="7"/>
  <c r="B66" i="7"/>
  <c r="C66" i="7"/>
  <c r="D66" i="7"/>
  <c r="E66" i="7"/>
  <c r="F66" i="7"/>
  <c r="G66" i="7"/>
  <c r="H66" i="7"/>
  <c r="I66" i="7"/>
  <c r="A67" i="7"/>
  <c r="B67" i="7"/>
  <c r="C67" i="7"/>
  <c r="D67" i="7"/>
  <c r="E67" i="7"/>
  <c r="F67" i="7"/>
  <c r="G67" i="7"/>
  <c r="H67" i="7"/>
  <c r="I67" i="7"/>
  <c r="A68" i="7"/>
  <c r="B68" i="7"/>
  <c r="C68" i="7"/>
  <c r="D68" i="7"/>
  <c r="E68" i="7"/>
  <c r="F68" i="7"/>
  <c r="G68" i="7"/>
  <c r="H68" i="7"/>
  <c r="I68" i="7"/>
  <c r="A69" i="7"/>
  <c r="B69" i="7"/>
  <c r="C69" i="7"/>
  <c r="D69" i="7"/>
  <c r="E69" i="7"/>
  <c r="F69" i="7"/>
  <c r="G69" i="7"/>
  <c r="H69" i="7"/>
  <c r="I69" i="7"/>
  <c r="A70" i="7"/>
  <c r="B70" i="7"/>
  <c r="C70" i="7"/>
  <c r="D70" i="7"/>
  <c r="E70" i="7"/>
  <c r="F70" i="7"/>
  <c r="G70" i="7"/>
  <c r="H70" i="7"/>
  <c r="I70" i="7"/>
  <c r="A71" i="7"/>
  <c r="B71" i="7"/>
  <c r="C71" i="7"/>
  <c r="D71" i="7"/>
  <c r="E71" i="7"/>
  <c r="F71" i="7"/>
  <c r="G71" i="7"/>
  <c r="H71" i="7"/>
  <c r="I71" i="7"/>
  <c r="A72" i="7"/>
  <c r="B72" i="7"/>
  <c r="C72" i="7"/>
  <c r="D72" i="7"/>
  <c r="E72" i="7"/>
  <c r="F72" i="7"/>
  <c r="G72" i="7"/>
  <c r="H72" i="7"/>
  <c r="I72" i="7"/>
  <c r="A73" i="7"/>
  <c r="B73" i="7"/>
  <c r="C73" i="7"/>
  <c r="D73" i="7"/>
  <c r="E73" i="7"/>
  <c r="F73" i="7"/>
  <c r="G73" i="7"/>
  <c r="H73" i="7"/>
  <c r="I73" i="7"/>
  <c r="A74" i="7"/>
  <c r="B74" i="7"/>
  <c r="C74" i="7"/>
  <c r="D74" i="7"/>
  <c r="E74" i="7"/>
  <c r="F74" i="7"/>
  <c r="G74" i="7"/>
  <c r="H74" i="7"/>
  <c r="I74" i="7"/>
  <c r="A75" i="7"/>
  <c r="B75" i="7"/>
  <c r="C75" i="7"/>
  <c r="D75" i="7"/>
  <c r="E75" i="7"/>
  <c r="F75" i="7"/>
  <c r="G75" i="7"/>
  <c r="H75" i="7"/>
  <c r="I75" i="7"/>
  <c r="A76" i="7"/>
  <c r="B76" i="7"/>
  <c r="C76" i="7"/>
  <c r="D76" i="7"/>
  <c r="E76" i="7"/>
  <c r="F76" i="7"/>
  <c r="G76" i="7"/>
  <c r="H76" i="7"/>
  <c r="I76" i="7"/>
  <c r="A77" i="7"/>
  <c r="B77" i="7"/>
  <c r="C77" i="7"/>
  <c r="D77" i="7"/>
  <c r="E77" i="7"/>
  <c r="F77" i="7"/>
  <c r="G77" i="7"/>
  <c r="H77" i="7"/>
  <c r="I77" i="7"/>
  <c r="A78" i="7"/>
  <c r="B78" i="7"/>
  <c r="C78" i="7"/>
  <c r="D78" i="7"/>
  <c r="E78" i="7"/>
  <c r="F78" i="7"/>
  <c r="G78" i="7"/>
  <c r="H78" i="7"/>
  <c r="I78" i="7"/>
  <c r="A79" i="7"/>
  <c r="B79" i="7"/>
  <c r="C79" i="7"/>
  <c r="D79" i="7"/>
  <c r="E79" i="7"/>
  <c r="F79" i="7"/>
  <c r="G79" i="7"/>
  <c r="H79" i="7"/>
  <c r="I79" i="7"/>
  <c r="A80" i="7"/>
  <c r="B80" i="7"/>
  <c r="C80" i="7"/>
  <c r="D80" i="7"/>
  <c r="E80" i="7"/>
  <c r="F80" i="7"/>
  <c r="G80" i="7"/>
  <c r="H80" i="7"/>
  <c r="I80" i="7"/>
  <c r="A81" i="7"/>
  <c r="B81" i="7"/>
  <c r="C81" i="7"/>
  <c r="D81" i="7"/>
  <c r="E81" i="7"/>
  <c r="F81" i="7"/>
  <c r="G81" i="7"/>
  <c r="H81" i="7"/>
  <c r="I81" i="7"/>
  <c r="A82" i="7"/>
  <c r="B82" i="7"/>
  <c r="C82" i="7"/>
  <c r="D82" i="7"/>
  <c r="E82" i="7"/>
  <c r="F82" i="7"/>
  <c r="G82" i="7"/>
  <c r="H82" i="7"/>
  <c r="I82" i="7"/>
  <c r="A83" i="7"/>
  <c r="B83" i="7"/>
  <c r="C83" i="7"/>
  <c r="D83" i="7"/>
  <c r="E83" i="7"/>
  <c r="F83" i="7"/>
  <c r="G83" i="7"/>
  <c r="H83" i="7"/>
  <c r="I83" i="7"/>
  <c r="A84" i="7"/>
  <c r="B84" i="7"/>
  <c r="C84" i="7"/>
  <c r="D84" i="7"/>
  <c r="E84" i="7"/>
  <c r="F84" i="7"/>
  <c r="G84" i="7"/>
  <c r="H84" i="7"/>
  <c r="I84" i="7"/>
  <c r="A85" i="7"/>
  <c r="B85" i="7"/>
  <c r="C85" i="7"/>
  <c r="D85" i="7"/>
  <c r="E85" i="7"/>
  <c r="F85" i="7"/>
  <c r="G85" i="7"/>
  <c r="H85" i="7"/>
  <c r="I85" i="7"/>
  <c r="A86" i="7"/>
  <c r="B86" i="7"/>
  <c r="C86" i="7"/>
  <c r="D86" i="7"/>
  <c r="E86" i="7"/>
  <c r="F86" i="7"/>
  <c r="G86" i="7"/>
  <c r="H86" i="7"/>
  <c r="I86" i="7"/>
  <c r="A87" i="7"/>
  <c r="B87" i="7"/>
  <c r="C87" i="7"/>
  <c r="D87" i="7"/>
  <c r="E87" i="7"/>
  <c r="F87" i="7"/>
  <c r="G87" i="7"/>
  <c r="H87" i="7"/>
  <c r="I87" i="7"/>
  <c r="A88" i="7"/>
  <c r="B88" i="7"/>
  <c r="C88" i="7"/>
  <c r="D88" i="7"/>
  <c r="E88" i="7"/>
  <c r="F88" i="7"/>
  <c r="G88" i="7"/>
  <c r="H88" i="7"/>
  <c r="I88" i="7"/>
  <c r="A89" i="7"/>
  <c r="B89" i="7"/>
  <c r="C89" i="7"/>
  <c r="D89" i="7"/>
  <c r="E89" i="7"/>
  <c r="F89" i="7"/>
  <c r="G89" i="7"/>
  <c r="H89" i="7"/>
  <c r="I89" i="7"/>
  <c r="A90" i="7"/>
  <c r="B90" i="7"/>
  <c r="C90" i="7"/>
  <c r="D90" i="7"/>
  <c r="E90" i="7"/>
  <c r="F90" i="7"/>
  <c r="G90" i="7"/>
  <c r="H90" i="7"/>
  <c r="I90" i="7"/>
  <c r="A91" i="7"/>
  <c r="B91" i="7"/>
  <c r="C91" i="7"/>
  <c r="D91" i="7"/>
  <c r="E91" i="7"/>
  <c r="F91" i="7"/>
  <c r="G91" i="7"/>
  <c r="H91" i="7"/>
  <c r="I91" i="7"/>
  <c r="A92" i="7"/>
  <c r="B92" i="7"/>
  <c r="C92" i="7"/>
  <c r="D92" i="7"/>
  <c r="E92" i="7"/>
  <c r="F92" i="7"/>
  <c r="G92" i="7"/>
  <c r="H92" i="7"/>
  <c r="I92" i="7"/>
  <c r="A93" i="7"/>
  <c r="B93" i="7"/>
  <c r="C93" i="7"/>
  <c r="D93" i="7"/>
  <c r="E93" i="7"/>
  <c r="F93" i="7"/>
  <c r="G93" i="7"/>
  <c r="H93" i="7"/>
  <c r="I93" i="7"/>
  <c r="A94" i="7"/>
  <c r="B94" i="7"/>
  <c r="C94" i="7"/>
  <c r="D94" i="7"/>
  <c r="E94" i="7"/>
  <c r="F94" i="7"/>
  <c r="G94" i="7"/>
  <c r="H94" i="7"/>
  <c r="I94" i="7"/>
  <c r="A95" i="7"/>
  <c r="B95" i="7"/>
  <c r="C95" i="7"/>
  <c r="D95" i="7"/>
  <c r="E95" i="7"/>
  <c r="F95" i="7"/>
  <c r="G95" i="7"/>
  <c r="H95" i="7"/>
  <c r="I95" i="7"/>
  <c r="A96" i="7"/>
  <c r="B96" i="7"/>
  <c r="C96" i="7"/>
  <c r="D96" i="7"/>
  <c r="E96" i="7"/>
  <c r="F96" i="7"/>
  <c r="G96" i="7"/>
  <c r="H96" i="7"/>
  <c r="I96" i="7"/>
  <c r="A97" i="7"/>
  <c r="B97" i="7"/>
  <c r="C97" i="7"/>
  <c r="D97" i="7"/>
  <c r="E97" i="7"/>
  <c r="F97" i="7"/>
  <c r="G97" i="7"/>
  <c r="H97" i="7"/>
  <c r="I97" i="7"/>
  <c r="A98" i="7"/>
  <c r="B98" i="7"/>
  <c r="C98" i="7"/>
  <c r="D98" i="7"/>
  <c r="E98" i="7"/>
  <c r="F98" i="7"/>
  <c r="G98" i="7"/>
  <c r="H98" i="7"/>
  <c r="I98" i="7"/>
  <c r="A99" i="7"/>
  <c r="B99" i="7"/>
  <c r="C99" i="7"/>
  <c r="D99" i="7"/>
  <c r="E99" i="7"/>
  <c r="F99" i="7"/>
  <c r="G99" i="7"/>
  <c r="H99" i="7"/>
  <c r="I99" i="7"/>
  <c r="A100" i="7"/>
  <c r="B100" i="7"/>
  <c r="C100" i="7"/>
  <c r="D100" i="7"/>
  <c r="E100" i="7"/>
  <c r="F100" i="7"/>
  <c r="G100" i="7"/>
  <c r="H100" i="7"/>
  <c r="I100" i="7"/>
  <c r="A101" i="7"/>
  <c r="B101" i="7"/>
  <c r="C101" i="7"/>
  <c r="D101" i="7"/>
  <c r="E101" i="7"/>
  <c r="F101" i="7"/>
  <c r="G101" i="7"/>
  <c r="H101" i="7"/>
  <c r="I101" i="7"/>
  <c r="A102" i="7"/>
  <c r="B102" i="7"/>
  <c r="C102" i="7"/>
  <c r="D102" i="7"/>
  <c r="E102" i="7"/>
  <c r="F102" i="7"/>
  <c r="G102" i="7"/>
  <c r="H102" i="7"/>
  <c r="I102" i="7"/>
  <c r="A103" i="7"/>
  <c r="B103" i="7"/>
  <c r="C103" i="7"/>
  <c r="D103" i="7"/>
  <c r="E103" i="7"/>
  <c r="F103" i="7"/>
  <c r="G103" i="7"/>
  <c r="H103" i="7"/>
  <c r="I103" i="7"/>
  <c r="A104" i="7"/>
  <c r="B104" i="7"/>
  <c r="C104" i="7"/>
  <c r="D104" i="7"/>
  <c r="E104" i="7"/>
  <c r="F104" i="7"/>
  <c r="G104" i="7"/>
  <c r="H104" i="7"/>
  <c r="I104" i="7"/>
  <c r="A105" i="7"/>
  <c r="B105" i="7"/>
  <c r="C105" i="7"/>
  <c r="D105" i="7"/>
  <c r="E105" i="7"/>
  <c r="F105" i="7"/>
  <c r="G105" i="7"/>
  <c r="H105" i="7"/>
  <c r="I105" i="7"/>
  <c r="A106" i="7"/>
  <c r="B106" i="7"/>
  <c r="C106" i="7"/>
  <c r="D106" i="7"/>
  <c r="E106" i="7"/>
  <c r="F106" i="7"/>
  <c r="G106" i="7"/>
  <c r="H106" i="7"/>
  <c r="I106" i="7"/>
  <c r="A107" i="7"/>
  <c r="B107" i="7"/>
  <c r="C107" i="7"/>
  <c r="D107" i="7"/>
  <c r="E107" i="7"/>
  <c r="F107" i="7"/>
  <c r="G107" i="7"/>
  <c r="H107" i="7"/>
  <c r="I107" i="7"/>
  <c r="A108" i="7"/>
  <c r="B108" i="7"/>
  <c r="C108" i="7"/>
  <c r="D108" i="7"/>
  <c r="E108" i="7"/>
  <c r="F108" i="7"/>
  <c r="G108" i="7"/>
  <c r="H108" i="7"/>
  <c r="I108" i="7"/>
  <c r="A109" i="7"/>
  <c r="B109" i="7"/>
  <c r="C109" i="7"/>
  <c r="D109" i="7"/>
  <c r="E109" i="7"/>
  <c r="F109" i="7"/>
  <c r="G109" i="7"/>
  <c r="H109" i="7"/>
  <c r="I109" i="7"/>
  <c r="A10" i="8"/>
  <c r="B10" i="8"/>
  <c r="C10" i="8"/>
  <c r="D10" i="8"/>
  <c r="E10" i="8"/>
  <c r="F10" i="8"/>
  <c r="G10" i="8"/>
  <c r="H10" i="8"/>
  <c r="I10" i="8"/>
  <c r="A11" i="8"/>
  <c r="B11" i="8"/>
  <c r="C11" i="8"/>
  <c r="D11" i="8"/>
  <c r="E11" i="8"/>
  <c r="F11" i="8"/>
  <c r="G11" i="8"/>
  <c r="H11" i="8"/>
  <c r="I11" i="8"/>
  <c r="A12" i="8"/>
  <c r="B12" i="8"/>
  <c r="C12" i="8"/>
  <c r="D12" i="8"/>
  <c r="E12" i="8"/>
  <c r="F12" i="8"/>
  <c r="G12" i="8"/>
  <c r="H12" i="8"/>
  <c r="I12" i="8"/>
  <c r="A13" i="8"/>
  <c r="B13" i="8"/>
  <c r="C13" i="8"/>
  <c r="D13" i="8"/>
  <c r="E13" i="8"/>
  <c r="F13" i="8"/>
  <c r="G13" i="8"/>
  <c r="H13" i="8"/>
  <c r="I13" i="8"/>
  <c r="A14" i="8"/>
  <c r="B14" i="8"/>
  <c r="C14" i="8"/>
  <c r="D14" i="8"/>
  <c r="E14" i="8"/>
  <c r="F14" i="8"/>
  <c r="G14" i="8"/>
  <c r="H14" i="8"/>
  <c r="I14" i="8"/>
  <c r="A15" i="8"/>
  <c r="B15" i="8"/>
  <c r="C15" i="8"/>
  <c r="D15" i="8"/>
  <c r="E15" i="8"/>
  <c r="F15" i="8"/>
  <c r="G15" i="8"/>
  <c r="H15" i="8"/>
  <c r="I15" i="8"/>
  <c r="A16" i="8"/>
  <c r="B16" i="8"/>
  <c r="C16" i="8"/>
  <c r="D16" i="8"/>
  <c r="E16" i="8"/>
  <c r="F16" i="8"/>
  <c r="G16" i="8"/>
  <c r="H16" i="8"/>
  <c r="I16" i="8"/>
  <c r="A17" i="8"/>
  <c r="B17" i="8"/>
  <c r="C17" i="8"/>
  <c r="D17" i="8"/>
  <c r="E17" i="8"/>
  <c r="F17" i="8"/>
  <c r="G17" i="8"/>
  <c r="H17" i="8"/>
  <c r="I17" i="8"/>
  <c r="A18" i="8"/>
  <c r="B18" i="8"/>
  <c r="C18" i="8"/>
  <c r="D18" i="8"/>
  <c r="E18" i="8"/>
  <c r="F18" i="8"/>
  <c r="G18" i="8"/>
  <c r="H18" i="8"/>
  <c r="I18" i="8"/>
  <c r="A58" i="4"/>
  <c r="B58" i="4"/>
  <c r="C58" i="4"/>
  <c r="D58" i="4"/>
  <c r="E58" i="4"/>
  <c r="F58" i="4"/>
  <c r="G58" i="4"/>
  <c r="H58" i="4"/>
  <c r="I58" i="4"/>
  <c r="A60" i="4"/>
  <c r="B60" i="4"/>
  <c r="C60" i="4"/>
  <c r="D60" i="4"/>
  <c r="E60" i="4"/>
  <c r="F60" i="4"/>
  <c r="G60" i="4"/>
  <c r="H60" i="4"/>
  <c r="I60" i="4"/>
  <c r="A61" i="4"/>
  <c r="C61" i="4"/>
  <c r="D61" i="4"/>
  <c r="E61" i="4"/>
  <c r="F61" i="4"/>
  <c r="G61" i="4"/>
  <c r="H61" i="4"/>
  <c r="I61" i="4"/>
  <c r="B61" i="4"/>
  <c r="A63" i="4"/>
  <c r="C63" i="4"/>
  <c r="D63" i="4"/>
  <c r="E63" i="4"/>
  <c r="F63" i="4"/>
  <c r="G63" i="4"/>
  <c r="H63" i="4"/>
  <c r="I63" i="4"/>
  <c r="B63" i="4"/>
  <c r="B64" i="4"/>
  <c r="D64" i="4"/>
  <c r="F64" i="4"/>
  <c r="A64" i="4"/>
  <c r="C64" i="4"/>
  <c r="E64" i="4"/>
  <c r="G64" i="4"/>
  <c r="H64" i="4"/>
  <c r="I64" i="4"/>
  <c r="A65" i="4"/>
  <c r="B65" i="4"/>
  <c r="C65" i="4"/>
  <c r="D65" i="4"/>
  <c r="E65" i="4"/>
  <c r="F65" i="4"/>
  <c r="G65" i="4"/>
  <c r="H65" i="4"/>
  <c r="I65" i="4"/>
  <c r="A66" i="4"/>
  <c r="B66" i="4"/>
  <c r="C66" i="4"/>
  <c r="D66" i="4"/>
  <c r="E66" i="4"/>
  <c r="F66" i="4"/>
  <c r="G66" i="4"/>
  <c r="H66" i="4"/>
  <c r="I66" i="4"/>
  <c r="A67" i="4"/>
  <c r="B67" i="4"/>
  <c r="C67" i="4"/>
  <c r="D67" i="4"/>
  <c r="E67" i="4"/>
  <c r="F67" i="4"/>
  <c r="G67" i="4"/>
  <c r="H67" i="4"/>
  <c r="I67" i="4"/>
  <c r="B68" i="4"/>
  <c r="C68" i="4"/>
  <c r="D68" i="4"/>
  <c r="E68" i="4"/>
  <c r="F68" i="4"/>
  <c r="G68" i="4"/>
  <c r="H68" i="4"/>
  <c r="I68" i="4"/>
  <c r="A68" i="4"/>
  <c r="C70" i="4"/>
  <c r="E70" i="4"/>
  <c r="F70" i="4"/>
  <c r="G70" i="4"/>
  <c r="H70" i="4"/>
  <c r="I70" i="4"/>
  <c r="A70" i="4"/>
  <c r="B70" i="4"/>
  <c r="D70" i="4"/>
  <c r="A72" i="4"/>
  <c r="B72" i="4"/>
  <c r="C72" i="4"/>
  <c r="D72" i="4"/>
  <c r="E72" i="4"/>
  <c r="F72" i="4"/>
  <c r="G72" i="4"/>
  <c r="H72" i="4"/>
  <c r="I72" i="4"/>
  <c r="B73" i="4"/>
  <c r="D73" i="4"/>
  <c r="E73" i="4"/>
  <c r="F73" i="4"/>
  <c r="G73" i="4"/>
  <c r="H73" i="4"/>
  <c r="I73" i="4"/>
  <c r="A73" i="4"/>
  <c r="C73" i="4"/>
  <c r="B75" i="4"/>
  <c r="D75" i="4"/>
  <c r="F75" i="4"/>
  <c r="G75" i="4"/>
  <c r="H75" i="4"/>
  <c r="I75" i="4"/>
  <c r="A75" i="4"/>
  <c r="C75" i="4"/>
  <c r="E75" i="4"/>
  <c r="A76" i="4"/>
  <c r="C76" i="4"/>
  <c r="D76" i="4"/>
  <c r="E76" i="4"/>
  <c r="F76" i="4"/>
  <c r="G76" i="4"/>
  <c r="H76" i="4"/>
  <c r="I76" i="4"/>
  <c r="B76" i="4"/>
  <c r="B79" i="4"/>
  <c r="C79" i="4"/>
  <c r="D79" i="4"/>
  <c r="E79" i="4"/>
  <c r="F79" i="4"/>
  <c r="G79" i="4"/>
  <c r="H79" i="4"/>
  <c r="I79" i="4"/>
  <c r="A79" i="4"/>
  <c r="A81" i="4"/>
  <c r="B81" i="4"/>
  <c r="C81" i="4"/>
  <c r="D81" i="4"/>
  <c r="E81" i="4"/>
  <c r="F81" i="4"/>
  <c r="G81" i="4"/>
  <c r="H81" i="4"/>
  <c r="I81" i="4"/>
  <c r="A83" i="4"/>
  <c r="B83" i="4"/>
  <c r="C83" i="4"/>
  <c r="D83" i="4"/>
  <c r="E83" i="4"/>
  <c r="F83" i="4"/>
  <c r="G83" i="4"/>
  <c r="H83" i="4"/>
  <c r="I83" i="4"/>
  <c r="A84" i="4"/>
  <c r="B84" i="4"/>
  <c r="C84" i="4"/>
  <c r="D84" i="4"/>
  <c r="E84" i="4"/>
  <c r="F84" i="4"/>
  <c r="G84" i="4"/>
  <c r="H84" i="4"/>
  <c r="I84" i="4"/>
  <c r="A85" i="4"/>
  <c r="C85" i="4"/>
  <c r="D85" i="4"/>
  <c r="E85" i="4"/>
  <c r="F85" i="4"/>
  <c r="G85" i="4"/>
  <c r="H85" i="4"/>
  <c r="I85" i="4"/>
  <c r="B85" i="4"/>
  <c r="B88" i="4"/>
  <c r="C88" i="4"/>
  <c r="D88" i="4"/>
  <c r="F88" i="4"/>
  <c r="G88" i="4"/>
  <c r="H88" i="4"/>
  <c r="I88" i="4"/>
  <c r="E88" i="4"/>
  <c r="A88" i="4"/>
  <c r="B89" i="4"/>
  <c r="C89" i="4"/>
  <c r="D89" i="4"/>
  <c r="E89" i="4"/>
  <c r="F89" i="4"/>
  <c r="G89" i="4"/>
  <c r="H89" i="4"/>
  <c r="I89" i="4"/>
  <c r="A89" i="4"/>
  <c r="C90" i="4"/>
  <c r="E90" i="4"/>
  <c r="F90" i="4"/>
  <c r="G90" i="4"/>
  <c r="H90" i="4"/>
  <c r="I90" i="4"/>
  <c r="A90" i="4"/>
  <c r="B90" i="4"/>
  <c r="D90" i="4"/>
  <c r="A93" i="4"/>
  <c r="B93" i="4"/>
  <c r="C93" i="4"/>
  <c r="E93" i="4"/>
  <c r="G93" i="4"/>
  <c r="H93" i="4"/>
  <c r="I93" i="4"/>
  <c r="F93" i="4"/>
  <c r="D93" i="4"/>
  <c r="B94" i="4"/>
  <c r="C94" i="4"/>
  <c r="D94" i="4"/>
  <c r="E94" i="4"/>
  <c r="F94" i="4"/>
  <c r="G94" i="4"/>
  <c r="H94" i="4"/>
  <c r="I94" i="4"/>
  <c r="A94" i="4"/>
  <c r="A98" i="4"/>
  <c r="B98" i="4"/>
  <c r="C98" i="4"/>
  <c r="D98" i="4"/>
  <c r="E98" i="4"/>
  <c r="F98" i="4"/>
  <c r="G98" i="4"/>
  <c r="H98" i="4"/>
  <c r="I98" i="4"/>
  <c r="B101" i="4"/>
  <c r="E101" i="4"/>
  <c r="G101" i="4"/>
  <c r="H101" i="4"/>
  <c r="C101" i="4"/>
  <c r="F101" i="4"/>
  <c r="I101" i="4"/>
  <c r="A101" i="4"/>
  <c r="D101" i="4"/>
  <c r="A102" i="4"/>
  <c r="C102" i="4"/>
  <c r="E102" i="4"/>
  <c r="F102" i="4"/>
  <c r="G102" i="4"/>
  <c r="I102" i="4"/>
  <c r="D102" i="4"/>
  <c r="H102" i="4"/>
  <c r="B102" i="4"/>
  <c r="A103" i="4"/>
  <c r="C103" i="4"/>
  <c r="E103" i="4"/>
  <c r="G103" i="4"/>
  <c r="H103" i="4"/>
  <c r="B103" i="4"/>
  <c r="F103" i="4"/>
  <c r="I103" i="4"/>
  <c r="D103" i="4"/>
  <c r="A104" i="4"/>
  <c r="E104" i="4"/>
  <c r="F104" i="4"/>
  <c r="H104" i="4"/>
  <c r="I104" i="4"/>
  <c r="D104" i="4"/>
  <c r="G104" i="4"/>
  <c r="B104" i="4"/>
  <c r="C104" i="4"/>
  <c r="C105" i="4"/>
  <c r="F105" i="4"/>
  <c r="H105" i="4"/>
  <c r="I105" i="4"/>
  <c r="A105" i="4"/>
  <c r="E105" i="4"/>
  <c r="G105" i="4"/>
  <c r="B105" i="4"/>
  <c r="D105" i="4"/>
  <c r="A48" i="5"/>
  <c r="B48" i="5"/>
  <c r="C48" i="5"/>
  <c r="D48" i="5"/>
  <c r="E48" i="5"/>
  <c r="F48" i="5"/>
  <c r="H48" i="5"/>
  <c r="I48" i="5"/>
  <c r="G48" i="5"/>
  <c r="A50" i="5"/>
  <c r="B50" i="5"/>
  <c r="C50" i="5"/>
  <c r="D50" i="5"/>
  <c r="E50" i="5"/>
  <c r="F50" i="5"/>
  <c r="G50" i="5"/>
  <c r="H50" i="5"/>
  <c r="I50" i="5"/>
  <c r="A53" i="5"/>
  <c r="B53" i="5"/>
  <c r="C53" i="5"/>
  <c r="D53" i="5"/>
  <c r="E53" i="5"/>
  <c r="F53" i="5"/>
  <c r="G53" i="5"/>
  <c r="H53" i="5"/>
  <c r="I53" i="5"/>
  <c r="A54" i="5"/>
  <c r="B54" i="5"/>
  <c r="C54" i="5"/>
  <c r="D54" i="5"/>
  <c r="E54" i="5"/>
  <c r="F54" i="5"/>
  <c r="G54" i="5"/>
  <c r="H54" i="5"/>
  <c r="I54" i="5"/>
  <c r="A59" i="5"/>
  <c r="B59" i="5"/>
  <c r="C59" i="5"/>
  <c r="D59" i="5"/>
  <c r="E59" i="5"/>
  <c r="F59" i="5"/>
  <c r="G59" i="5"/>
  <c r="H59" i="5"/>
  <c r="I59" i="5"/>
  <c r="A60" i="5"/>
  <c r="B60" i="5"/>
  <c r="C60" i="5"/>
  <c r="D60" i="5"/>
  <c r="E60" i="5"/>
  <c r="F60" i="5"/>
  <c r="G60" i="5"/>
  <c r="H60" i="5"/>
  <c r="I60" i="5"/>
  <c r="B63" i="5"/>
  <c r="E63" i="5"/>
  <c r="F63" i="5"/>
  <c r="G63" i="5"/>
  <c r="H63" i="5"/>
  <c r="A63" i="5"/>
  <c r="D63" i="5"/>
  <c r="I63" i="5"/>
  <c r="C63" i="5"/>
  <c r="A64" i="5"/>
  <c r="D64" i="5"/>
  <c r="F64" i="5"/>
  <c r="G64" i="5"/>
  <c r="I64" i="5"/>
  <c r="C64" i="5"/>
  <c r="H64" i="5"/>
  <c r="B64" i="5"/>
  <c r="E64" i="5"/>
  <c r="B65" i="5"/>
  <c r="D65" i="5"/>
  <c r="F65" i="5"/>
  <c r="H65" i="5"/>
  <c r="I65" i="5"/>
  <c r="C65" i="5"/>
  <c r="G65" i="5"/>
  <c r="A65" i="5"/>
  <c r="E65" i="5"/>
  <c r="B67" i="5"/>
  <c r="D67" i="5"/>
  <c r="E67" i="5"/>
  <c r="F67" i="5"/>
  <c r="G67" i="5"/>
  <c r="H67" i="5"/>
  <c r="C67" i="5"/>
  <c r="I67" i="5"/>
  <c r="A67" i="5"/>
  <c r="A69" i="5"/>
  <c r="B69" i="5"/>
  <c r="C69" i="5"/>
  <c r="D69" i="5"/>
  <c r="E69" i="5"/>
  <c r="F69" i="5"/>
  <c r="G69" i="5"/>
  <c r="H69" i="5"/>
  <c r="I69" i="5"/>
  <c r="B71" i="5"/>
  <c r="D71" i="5"/>
  <c r="F71" i="5"/>
  <c r="G71" i="5"/>
  <c r="I71" i="5"/>
  <c r="E71" i="5"/>
  <c r="H71" i="5"/>
  <c r="A71" i="5"/>
  <c r="C71" i="5"/>
  <c r="B72" i="5"/>
  <c r="E72" i="5"/>
  <c r="G72" i="5"/>
  <c r="H72" i="5"/>
  <c r="A72" i="5"/>
  <c r="D72" i="5"/>
  <c r="F72" i="5"/>
  <c r="I72" i="5"/>
  <c r="C72" i="5"/>
  <c r="D74" i="5"/>
  <c r="B74" i="5"/>
  <c r="F74" i="5"/>
  <c r="H74" i="5"/>
  <c r="I74" i="5"/>
  <c r="A74" i="5"/>
  <c r="C74" i="5"/>
  <c r="E74" i="5"/>
  <c r="G74" i="5"/>
  <c r="F75" i="5"/>
  <c r="G75" i="5"/>
  <c r="H75" i="5"/>
  <c r="B75" i="5"/>
  <c r="D75" i="5"/>
  <c r="E75" i="5"/>
  <c r="I75" i="5"/>
  <c r="A75" i="5"/>
  <c r="C75" i="5"/>
  <c r="B76" i="5"/>
  <c r="C76" i="5"/>
  <c r="D76" i="5"/>
  <c r="E76" i="5"/>
  <c r="F76" i="5"/>
  <c r="G76" i="5"/>
  <c r="H76" i="5"/>
  <c r="I76" i="5"/>
  <c r="A76" i="5"/>
  <c r="B80" i="5"/>
  <c r="D80" i="5"/>
  <c r="F80" i="5"/>
  <c r="G80" i="5"/>
  <c r="H80" i="5"/>
  <c r="I80" i="5"/>
  <c r="E80" i="5"/>
  <c r="A80" i="5"/>
  <c r="C80" i="5"/>
  <c r="A85" i="5"/>
  <c r="B85" i="5"/>
  <c r="C85" i="5"/>
  <c r="D85" i="5"/>
  <c r="E85" i="5"/>
  <c r="F85" i="5"/>
  <c r="H85" i="5"/>
  <c r="I85" i="5"/>
  <c r="G85" i="5"/>
  <c r="A19" i="8"/>
  <c r="B19" i="8"/>
  <c r="C19" i="8"/>
  <c r="D19" i="8"/>
  <c r="E19" i="8"/>
  <c r="F19" i="8"/>
  <c r="G19" i="8"/>
  <c r="H19" i="8"/>
  <c r="I19" i="8"/>
  <c r="A20" i="8"/>
  <c r="B20" i="8"/>
  <c r="C20" i="8"/>
  <c r="D20" i="8"/>
  <c r="E20" i="8"/>
  <c r="F20" i="8"/>
  <c r="G20" i="8"/>
  <c r="H20" i="8"/>
  <c r="I20" i="8"/>
  <c r="A21" i="8"/>
  <c r="B21" i="8"/>
  <c r="C21" i="8"/>
  <c r="D21" i="8"/>
  <c r="E21" i="8"/>
  <c r="F21" i="8"/>
  <c r="G21" i="8"/>
  <c r="H21" i="8"/>
  <c r="I21" i="8"/>
  <c r="A22" i="8"/>
  <c r="B22" i="8"/>
  <c r="C22" i="8"/>
  <c r="D22" i="8"/>
  <c r="E22" i="8"/>
  <c r="F22" i="8"/>
  <c r="G22" i="8"/>
  <c r="H22" i="8"/>
  <c r="I22" i="8"/>
  <c r="A23" i="8"/>
  <c r="B23" i="8"/>
  <c r="C23" i="8"/>
  <c r="D23" i="8"/>
  <c r="E23" i="8"/>
  <c r="F23" i="8"/>
  <c r="G23" i="8"/>
  <c r="H23" i="8"/>
  <c r="I23" i="8"/>
  <c r="A24" i="8"/>
  <c r="B24" i="8"/>
  <c r="C24" i="8"/>
  <c r="D24" i="8"/>
  <c r="E24" i="8"/>
  <c r="F24" i="8"/>
  <c r="G24" i="8"/>
  <c r="H24" i="8"/>
  <c r="I24" i="8"/>
  <c r="A25" i="8"/>
  <c r="B25" i="8"/>
  <c r="C25" i="8"/>
  <c r="D25" i="8"/>
  <c r="E25" i="8"/>
  <c r="F25" i="8"/>
  <c r="G25" i="8"/>
  <c r="H25" i="8"/>
  <c r="I25" i="8"/>
  <c r="A26" i="8"/>
  <c r="B26" i="8"/>
  <c r="C26" i="8"/>
  <c r="D26" i="8"/>
  <c r="E26" i="8"/>
  <c r="F26" i="8"/>
  <c r="G26" i="8"/>
  <c r="H26" i="8"/>
  <c r="I26" i="8"/>
  <c r="A27" i="8"/>
  <c r="B27" i="8"/>
  <c r="C27" i="8"/>
  <c r="D27" i="8"/>
  <c r="E27" i="8"/>
  <c r="F27" i="8"/>
  <c r="G27" i="8"/>
  <c r="H27" i="8"/>
  <c r="I27" i="8"/>
  <c r="A28" i="8"/>
  <c r="B28" i="8"/>
  <c r="C28" i="8"/>
  <c r="D28" i="8"/>
  <c r="E28" i="8"/>
  <c r="F28" i="8"/>
  <c r="G28" i="8"/>
  <c r="H28" i="8"/>
  <c r="I28" i="8"/>
  <c r="A29" i="8"/>
  <c r="B29" i="8"/>
  <c r="C29" i="8"/>
  <c r="D29" i="8"/>
  <c r="E29" i="8"/>
  <c r="F29" i="8"/>
  <c r="G29" i="8"/>
  <c r="H29" i="8"/>
  <c r="I29" i="8"/>
  <c r="A30" i="8"/>
  <c r="B30" i="8"/>
  <c r="C30" i="8"/>
  <c r="D30" i="8"/>
  <c r="E30" i="8"/>
  <c r="F30" i="8"/>
  <c r="G30" i="8"/>
  <c r="H30" i="8"/>
  <c r="I30" i="8"/>
  <c r="A31" i="8"/>
  <c r="B31" i="8"/>
  <c r="C31" i="8"/>
  <c r="D31" i="8"/>
  <c r="E31" i="8"/>
  <c r="F31" i="8"/>
  <c r="G31" i="8"/>
  <c r="H31" i="8"/>
  <c r="I31" i="8"/>
  <c r="A32" i="8"/>
  <c r="B32" i="8"/>
  <c r="C32" i="8"/>
  <c r="D32" i="8"/>
  <c r="E32" i="8"/>
  <c r="F32" i="8"/>
  <c r="G32" i="8"/>
  <c r="H32" i="8"/>
  <c r="I32" i="8"/>
  <c r="A33" i="8"/>
  <c r="B33" i="8"/>
  <c r="C33" i="8"/>
  <c r="D33" i="8"/>
  <c r="E33" i="8"/>
  <c r="F33" i="8"/>
  <c r="G33" i="8"/>
  <c r="H33" i="8"/>
  <c r="I33" i="8"/>
  <c r="A34" i="8"/>
  <c r="B34" i="8"/>
  <c r="C34" i="8"/>
  <c r="D34" i="8"/>
  <c r="E34" i="8"/>
  <c r="F34" i="8"/>
  <c r="G34" i="8"/>
  <c r="H34" i="8"/>
  <c r="I34" i="8"/>
  <c r="A35" i="8"/>
  <c r="B35" i="8"/>
  <c r="C35" i="8"/>
  <c r="D35" i="8"/>
  <c r="E35" i="8"/>
  <c r="F35" i="8"/>
  <c r="G35" i="8"/>
  <c r="H35" i="8"/>
  <c r="I35" i="8"/>
  <c r="A36" i="8"/>
  <c r="B36" i="8"/>
  <c r="C36" i="8"/>
  <c r="D36" i="8"/>
  <c r="E36" i="8"/>
  <c r="F36" i="8"/>
  <c r="G36" i="8"/>
  <c r="H36" i="8"/>
  <c r="I36" i="8"/>
  <c r="A37" i="8"/>
  <c r="B37" i="8"/>
  <c r="C37" i="8"/>
  <c r="D37" i="8"/>
  <c r="E37" i="8"/>
  <c r="F37" i="8"/>
  <c r="G37" i="8"/>
  <c r="H37" i="8"/>
  <c r="I37" i="8"/>
  <c r="A38" i="8"/>
  <c r="B38" i="8"/>
  <c r="C38" i="8"/>
  <c r="D38" i="8"/>
  <c r="E38" i="8"/>
  <c r="F38" i="8"/>
  <c r="G38" i="8"/>
  <c r="H38" i="8"/>
  <c r="I38" i="8"/>
  <c r="A39" i="8"/>
  <c r="B39" i="8"/>
  <c r="C39" i="8"/>
  <c r="D39" i="8"/>
  <c r="E39" i="8"/>
  <c r="F39" i="8"/>
  <c r="G39" i="8"/>
  <c r="H39" i="8"/>
  <c r="I39" i="8"/>
  <c r="A40" i="8"/>
  <c r="B40" i="8"/>
  <c r="C40" i="8"/>
  <c r="D40" i="8"/>
  <c r="E40" i="8"/>
  <c r="F40" i="8"/>
  <c r="G40" i="8"/>
  <c r="H40" i="8"/>
  <c r="I40" i="8"/>
  <c r="A41" i="8"/>
  <c r="B41" i="8"/>
  <c r="C41" i="8"/>
  <c r="D41" i="8"/>
  <c r="E41" i="8"/>
  <c r="F41" i="8"/>
  <c r="G41" i="8"/>
  <c r="H41" i="8"/>
  <c r="I41" i="8"/>
  <c r="A42" i="8"/>
  <c r="B42" i="8"/>
  <c r="C42" i="8"/>
  <c r="D42" i="8"/>
  <c r="E42" i="8"/>
  <c r="F42" i="8"/>
  <c r="G42" i="8"/>
  <c r="H42" i="8"/>
  <c r="I42" i="8"/>
  <c r="A43" i="8"/>
  <c r="B43" i="8"/>
  <c r="C43" i="8"/>
  <c r="D43" i="8"/>
  <c r="E43" i="8"/>
  <c r="F43" i="8"/>
  <c r="G43" i="8"/>
  <c r="H43" i="8"/>
  <c r="I43" i="8"/>
  <c r="A44" i="8"/>
  <c r="B44" i="8"/>
  <c r="C44" i="8"/>
  <c r="D44" i="8"/>
  <c r="E44" i="8"/>
  <c r="F44" i="8"/>
  <c r="G44" i="8"/>
  <c r="H44" i="8"/>
  <c r="I44" i="8"/>
  <c r="A45" i="8"/>
  <c r="B45" i="8"/>
  <c r="C45" i="8"/>
  <c r="D45" i="8"/>
  <c r="E45" i="8"/>
  <c r="F45" i="8"/>
  <c r="G45" i="8"/>
  <c r="H45" i="8"/>
  <c r="I45" i="8"/>
  <c r="A46" i="8"/>
  <c r="B46" i="8"/>
  <c r="C46" i="8"/>
  <c r="D46" i="8"/>
  <c r="E46" i="8"/>
  <c r="F46" i="8"/>
  <c r="G46" i="8"/>
  <c r="H46" i="8"/>
  <c r="I46" i="8"/>
  <c r="A47" i="8"/>
  <c r="B47" i="8"/>
  <c r="C47" i="8"/>
  <c r="D47" i="8"/>
  <c r="E47" i="8"/>
  <c r="F47" i="8"/>
  <c r="G47" i="8"/>
  <c r="H47" i="8"/>
  <c r="I47" i="8"/>
  <c r="A48" i="8"/>
  <c r="B48" i="8"/>
  <c r="C48" i="8"/>
  <c r="D48" i="8"/>
  <c r="E48" i="8"/>
  <c r="F48" i="8"/>
  <c r="G48" i="8"/>
  <c r="H48" i="8"/>
  <c r="I48" i="8"/>
  <c r="A49" i="8"/>
  <c r="B49" i="8"/>
  <c r="C49" i="8"/>
  <c r="D49" i="8"/>
  <c r="E49" i="8"/>
  <c r="F49" i="8"/>
  <c r="G49" i="8"/>
  <c r="H49" i="8"/>
  <c r="I49" i="8"/>
  <c r="A50" i="8"/>
  <c r="B50" i="8"/>
  <c r="C50" i="8"/>
  <c r="D50" i="8"/>
  <c r="E50" i="8"/>
  <c r="F50" i="8"/>
  <c r="G50" i="8"/>
  <c r="H50" i="8"/>
  <c r="I50" i="8"/>
  <c r="A51" i="8"/>
  <c r="B51" i="8"/>
  <c r="C51" i="8"/>
  <c r="D51" i="8"/>
  <c r="E51" i="8"/>
  <c r="F51" i="8"/>
  <c r="G51" i="8"/>
  <c r="H51" i="8"/>
  <c r="I51" i="8"/>
  <c r="A52" i="8"/>
  <c r="B52" i="8"/>
  <c r="C52" i="8"/>
  <c r="D52" i="8"/>
  <c r="E52" i="8"/>
  <c r="F52" i="8"/>
  <c r="G52" i="8"/>
  <c r="H52" i="8"/>
  <c r="I52" i="8"/>
  <c r="A53" i="8"/>
  <c r="B53" i="8"/>
  <c r="C53" i="8"/>
  <c r="D53" i="8"/>
  <c r="E53" i="8"/>
  <c r="F53" i="8"/>
  <c r="G53" i="8"/>
  <c r="H53" i="8"/>
  <c r="I53" i="8"/>
  <c r="A54" i="8"/>
  <c r="B54" i="8"/>
  <c r="C54" i="8"/>
  <c r="D54" i="8"/>
  <c r="E54" i="8"/>
  <c r="F54" i="8"/>
  <c r="G54" i="8"/>
  <c r="H54" i="8"/>
  <c r="I54" i="8"/>
  <c r="A55" i="8"/>
  <c r="B55" i="8"/>
  <c r="C55" i="8"/>
  <c r="D55" i="8"/>
  <c r="E55" i="8"/>
  <c r="F55" i="8"/>
  <c r="G55" i="8"/>
  <c r="H55" i="8"/>
  <c r="I55" i="8"/>
  <c r="A56" i="8"/>
  <c r="B56" i="8"/>
  <c r="C56" i="8"/>
  <c r="D56" i="8"/>
  <c r="E56" i="8"/>
  <c r="F56" i="8"/>
  <c r="G56" i="8"/>
  <c r="H56" i="8"/>
  <c r="I56" i="8"/>
  <c r="A57" i="8"/>
  <c r="B57" i="8"/>
  <c r="C57" i="8"/>
  <c r="D57" i="8"/>
  <c r="E57" i="8"/>
  <c r="F57" i="8"/>
  <c r="G57" i="8"/>
  <c r="H57" i="8"/>
  <c r="I57" i="8"/>
  <c r="A58" i="8"/>
  <c r="B58" i="8"/>
  <c r="C58" i="8"/>
  <c r="D58" i="8"/>
  <c r="E58" i="8"/>
  <c r="F58" i="8"/>
  <c r="G58" i="8"/>
  <c r="H58" i="8"/>
  <c r="I58" i="8"/>
  <c r="A59" i="8"/>
  <c r="B59" i="8"/>
  <c r="C59" i="8"/>
  <c r="D59" i="8"/>
  <c r="E59" i="8"/>
  <c r="F59" i="8"/>
  <c r="G59" i="8"/>
  <c r="H59" i="8"/>
  <c r="I59" i="8"/>
  <c r="A60" i="8"/>
  <c r="B60" i="8"/>
  <c r="C60" i="8"/>
  <c r="D60" i="8"/>
  <c r="E60" i="8"/>
  <c r="F60" i="8"/>
  <c r="G60" i="8"/>
  <c r="H60" i="8"/>
  <c r="I60" i="8"/>
  <c r="A61" i="8"/>
  <c r="B61" i="8"/>
  <c r="C61" i="8"/>
  <c r="D61" i="8"/>
  <c r="E61" i="8"/>
  <c r="F61" i="8"/>
  <c r="G61" i="8"/>
  <c r="H61" i="8"/>
  <c r="I61" i="8"/>
  <c r="A62" i="8"/>
  <c r="B62" i="8"/>
  <c r="C62" i="8"/>
  <c r="D62" i="8"/>
  <c r="E62" i="8"/>
  <c r="F62" i="8"/>
  <c r="G62" i="8"/>
  <c r="H62" i="8"/>
  <c r="I62" i="8"/>
  <c r="A63" i="8"/>
  <c r="B63" i="8"/>
  <c r="C63" i="8"/>
  <c r="D63" i="8"/>
  <c r="E63" i="8"/>
  <c r="F63" i="8"/>
  <c r="G63" i="8"/>
  <c r="H63" i="8"/>
  <c r="I63" i="8"/>
  <c r="A64" i="8"/>
  <c r="B64" i="8"/>
  <c r="C64" i="8"/>
  <c r="D64" i="8"/>
  <c r="E64" i="8"/>
  <c r="F64" i="8"/>
  <c r="G64" i="8"/>
  <c r="H64" i="8"/>
  <c r="I64" i="8"/>
  <c r="A65" i="8"/>
  <c r="B65" i="8"/>
  <c r="C65" i="8"/>
  <c r="D65" i="8"/>
  <c r="E65" i="8"/>
  <c r="F65" i="8"/>
  <c r="G65" i="8"/>
  <c r="H65" i="8"/>
  <c r="I65" i="8"/>
  <c r="A66" i="8"/>
  <c r="B66" i="8"/>
  <c r="C66" i="8"/>
  <c r="D66" i="8"/>
  <c r="E66" i="8"/>
  <c r="F66" i="8"/>
  <c r="G66" i="8"/>
  <c r="H66" i="8"/>
  <c r="I66" i="8"/>
  <c r="A67" i="8"/>
  <c r="B67" i="8"/>
  <c r="C67" i="8"/>
  <c r="D67" i="8"/>
  <c r="E67" i="8"/>
  <c r="F67" i="8"/>
  <c r="G67" i="8"/>
  <c r="H67" i="8"/>
  <c r="I67" i="8"/>
  <c r="A68" i="8"/>
  <c r="B68" i="8"/>
  <c r="C68" i="8"/>
  <c r="D68" i="8"/>
  <c r="E68" i="8"/>
  <c r="F68" i="8"/>
  <c r="G68" i="8"/>
  <c r="H68" i="8"/>
  <c r="I68" i="8"/>
  <c r="A69" i="8"/>
  <c r="B69" i="8"/>
  <c r="C69" i="8"/>
  <c r="D69" i="8"/>
  <c r="E69" i="8"/>
  <c r="F69" i="8"/>
  <c r="G69" i="8"/>
  <c r="H69" i="8"/>
  <c r="I69" i="8"/>
  <c r="A70" i="8"/>
  <c r="B70" i="8"/>
  <c r="C70" i="8"/>
  <c r="D70" i="8"/>
  <c r="E70" i="8"/>
  <c r="F70" i="8"/>
  <c r="G70" i="8"/>
  <c r="H70" i="8"/>
  <c r="I70" i="8"/>
  <c r="A71" i="8"/>
  <c r="B71" i="8"/>
  <c r="C71" i="8"/>
  <c r="D71" i="8"/>
  <c r="E71" i="8"/>
  <c r="F71" i="8"/>
  <c r="G71" i="8"/>
  <c r="H71" i="8"/>
  <c r="I71" i="8"/>
  <c r="A72" i="8"/>
  <c r="B72" i="8"/>
  <c r="C72" i="8"/>
  <c r="D72" i="8"/>
  <c r="E72" i="8"/>
  <c r="F72" i="8"/>
  <c r="G72" i="8"/>
  <c r="H72" i="8"/>
  <c r="I72" i="8"/>
  <c r="A73" i="8"/>
  <c r="B73" i="8"/>
  <c r="C73" i="8"/>
  <c r="D73" i="8"/>
  <c r="E73" i="8"/>
  <c r="F73" i="8"/>
  <c r="G73" i="8"/>
  <c r="H73" i="8"/>
  <c r="I73" i="8"/>
  <c r="A74" i="8"/>
  <c r="B74" i="8"/>
  <c r="C74" i="8"/>
  <c r="D74" i="8"/>
  <c r="E74" i="8"/>
  <c r="F74" i="8"/>
  <c r="G74" i="8"/>
  <c r="H74" i="8"/>
  <c r="I74" i="8"/>
  <c r="A75" i="8"/>
  <c r="B75" i="8"/>
  <c r="C75" i="8"/>
  <c r="D75" i="8"/>
  <c r="E75" i="8"/>
  <c r="F75" i="8"/>
  <c r="G75" i="8"/>
  <c r="H75" i="8"/>
  <c r="I75" i="8"/>
  <c r="A76" i="8"/>
  <c r="B76" i="8"/>
  <c r="C76" i="8"/>
  <c r="D76" i="8"/>
  <c r="E76" i="8"/>
  <c r="F76" i="8"/>
  <c r="G76" i="8"/>
  <c r="H76" i="8"/>
  <c r="I76" i="8"/>
  <c r="A77" i="8"/>
  <c r="B77" i="8"/>
  <c r="C77" i="8"/>
  <c r="D77" i="8"/>
  <c r="E77" i="8"/>
  <c r="F77" i="8"/>
  <c r="G77" i="8"/>
  <c r="H77" i="8"/>
  <c r="I77" i="8"/>
  <c r="A78" i="8"/>
  <c r="B78" i="8"/>
  <c r="C78" i="8"/>
  <c r="D78" i="8"/>
  <c r="E78" i="8"/>
  <c r="F78" i="8"/>
  <c r="G78" i="8"/>
  <c r="H78" i="8"/>
  <c r="I78" i="8"/>
  <c r="A79" i="8"/>
  <c r="B79" i="8"/>
  <c r="C79" i="8"/>
  <c r="D79" i="8"/>
  <c r="E79" i="8"/>
  <c r="F79" i="8"/>
  <c r="G79" i="8"/>
  <c r="H79" i="8"/>
  <c r="I79" i="8"/>
  <c r="A80" i="8"/>
  <c r="B80" i="8"/>
  <c r="C80" i="8"/>
  <c r="D80" i="8"/>
  <c r="E80" i="8"/>
  <c r="F80" i="8"/>
  <c r="G80" i="8"/>
  <c r="H80" i="8"/>
  <c r="I80" i="8"/>
  <c r="A81" i="8"/>
  <c r="B81" i="8"/>
  <c r="C81" i="8"/>
  <c r="D81" i="8"/>
  <c r="E81" i="8"/>
  <c r="F81" i="8"/>
  <c r="G81" i="8"/>
  <c r="H81" i="8"/>
  <c r="I81" i="8"/>
  <c r="A82" i="8"/>
  <c r="B82" i="8"/>
  <c r="C82" i="8"/>
  <c r="D82" i="8"/>
  <c r="E82" i="8"/>
  <c r="F82" i="8"/>
  <c r="G82" i="8"/>
  <c r="H82" i="8"/>
  <c r="I82" i="8"/>
  <c r="A83" i="8"/>
  <c r="B83" i="8"/>
  <c r="C83" i="8"/>
  <c r="D83" i="8"/>
  <c r="E83" i="8"/>
  <c r="F83" i="8"/>
  <c r="G83" i="8"/>
  <c r="H83" i="8"/>
  <c r="I83" i="8"/>
  <c r="A84" i="8"/>
  <c r="B84" i="8"/>
  <c r="C84" i="8"/>
  <c r="D84" i="8"/>
  <c r="E84" i="8"/>
  <c r="F84" i="8"/>
  <c r="G84" i="8"/>
  <c r="H84" i="8"/>
  <c r="I84" i="8"/>
  <c r="A85" i="8"/>
  <c r="B85" i="8"/>
  <c r="C85" i="8"/>
  <c r="D85" i="8"/>
  <c r="E85" i="8"/>
  <c r="F85" i="8"/>
  <c r="G85" i="8"/>
  <c r="H85" i="8"/>
  <c r="I85" i="8"/>
  <c r="A86" i="8"/>
  <c r="B86" i="8"/>
  <c r="C86" i="8"/>
  <c r="D86" i="8"/>
  <c r="E86" i="8"/>
  <c r="F86" i="8"/>
  <c r="G86" i="8"/>
  <c r="H86" i="8"/>
  <c r="I86" i="8"/>
  <c r="A87" i="8"/>
  <c r="B87" i="8"/>
  <c r="C87" i="8"/>
  <c r="D87" i="8"/>
  <c r="E87" i="8"/>
  <c r="F87" i="8"/>
  <c r="G87" i="8"/>
  <c r="H87" i="8"/>
  <c r="I87" i="8"/>
  <c r="A88" i="8"/>
  <c r="B88" i="8"/>
  <c r="C88" i="8"/>
  <c r="D88" i="8"/>
  <c r="E88" i="8"/>
  <c r="F88" i="8"/>
  <c r="G88" i="8"/>
  <c r="H88" i="8"/>
  <c r="I88" i="8"/>
  <c r="A89" i="8"/>
  <c r="B89" i="8"/>
  <c r="C89" i="8"/>
  <c r="D89" i="8"/>
  <c r="E89" i="8"/>
  <c r="F89" i="8"/>
  <c r="G89" i="8"/>
  <c r="H89" i="8"/>
  <c r="I89" i="8"/>
  <c r="A90" i="8"/>
  <c r="B90" i="8"/>
  <c r="C90" i="8"/>
  <c r="D90" i="8"/>
  <c r="E90" i="8"/>
  <c r="F90" i="8"/>
  <c r="G90" i="8"/>
  <c r="H90" i="8"/>
  <c r="I90" i="8"/>
  <c r="A91" i="8"/>
  <c r="B91" i="8"/>
  <c r="C91" i="8"/>
  <c r="D91" i="8"/>
  <c r="E91" i="8"/>
  <c r="F91" i="8"/>
  <c r="G91" i="8"/>
  <c r="H91" i="8"/>
  <c r="I91" i="8"/>
  <c r="A92" i="8"/>
  <c r="B92" i="8"/>
  <c r="C92" i="8"/>
  <c r="D92" i="8"/>
  <c r="E92" i="8"/>
  <c r="F92" i="8"/>
  <c r="G92" i="8"/>
  <c r="H92" i="8"/>
  <c r="I92" i="8"/>
  <c r="A93" i="8"/>
  <c r="B93" i="8"/>
  <c r="C93" i="8"/>
  <c r="D93" i="8"/>
  <c r="E93" i="8"/>
  <c r="F93" i="8"/>
  <c r="G93" i="8"/>
  <c r="H93" i="8"/>
  <c r="I93" i="8"/>
  <c r="A94" i="8"/>
  <c r="B94" i="8"/>
  <c r="C94" i="8"/>
  <c r="D94" i="8"/>
  <c r="E94" i="8"/>
  <c r="F94" i="8"/>
  <c r="G94" i="8"/>
  <c r="H94" i="8"/>
  <c r="I94" i="8"/>
  <c r="A95" i="8"/>
  <c r="B95" i="8"/>
  <c r="C95" i="8"/>
  <c r="D95" i="8"/>
  <c r="E95" i="8"/>
  <c r="F95" i="8"/>
  <c r="G95" i="8"/>
  <c r="H95" i="8"/>
  <c r="I95" i="8"/>
  <c r="A96" i="8"/>
  <c r="B96" i="8"/>
  <c r="C96" i="8"/>
  <c r="D96" i="8"/>
  <c r="E96" i="8"/>
  <c r="F96" i="8"/>
  <c r="G96" i="8"/>
  <c r="H96" i="8"/>
  <c r="I96" i="8"/>
  <c r="A97" i="8"/>
  <c r="B97" i="8"/>
  <c r="C97" i="8"/>
  <c r="D97" i="8"/>
  <c r="E97" i="8"/>
  <c r="F97" i="8"/>
  <c r="G97" i="8"/>
  <c r="H97" i="8"/>
  <c r="I97" i="8"/>
  <c r="A98" i="8"/>
  <c r="B98" i="8"/>
  <c r="C98" i="8"/>
  <c r="D98" i="8"/>
  <c r="E98" i="8"/>
  <c r="F98" i="8"/>
  <c r="G98" i="8"/>
  <c r="H98" i="8"/>
  <c r="I98" i="8"/>
  <c r="A99" i="8"/>
  <c r="B99" i="8"/>
  <c r="C99" i="8"/>
  <c r="D99" i="8"/>
  <c r="E99" i="8"/>
  <c r="F99" i="8"/>
  <c r="G99" i="8"/>
  <c r="H99" i="8"/>
  <c r="I99" i="8"/>
  <c r="A100" i="8"/>
  <c r="B100" i="8"/>
  <c r="C100" i="8"/>
  <c r="D100" i="8"/>
  <c r="E100" i="8"/>
  <c r="F100" i="8"/>
  <c r="G100" i="8"/>
  <c r="H100" i="8"/>
  <c r="I100" i="8"/>
  <c r="A101" i="8"/>
  <c r="B101" i="8"/>
  <c r="C101" i="8"/>
  <c r="D101" i="8"/>
  <c r="E101" i="8"/>
  <c r="F101" i="8"/>
  <c r="G101" i="8"/>
  <c r="H101" i="8"/>
  <c r="I101" i="8"/>
  <c r="A102" i="8"/>
  <c r="B102" i="8"/>
  <c r="C102" i="8"/>
  <c r="D102" i="8"/>
  <c r="E102" i="8"/>
  <c r="F102" i="8"/>
  <c r="G102" i="8"/>
  <c r="H102" i="8"/>
  <c r="I102" i="8"/>
  <c r="A103" i="8"/>
  <c r="B103" i="8"/>
  <c r="C103" i="8"/>
  <c r="D103" i="8"/>
  <c r="E103" i="8"/>
  <c r="F103" i="8"/>
  <c r="G103" i="8"/>
  <c r="H103" i="8"/>
  <c r="I103" i="8"/>
  <c r="A104" i="8"/>
  <c r="B104" i="8"/>
  <c r="C104" i="8"/>
  <c r="D104" i="8"/>
  <c r="E104" i="8"/>
  <c r="F104" i="8"/>
  <c r="G104" i="8"/>
  <c r="H104" i="8"/>
  <c r="I104" i="8"/>
  <c r="A105" i="8"/>
  <c r="B105" i="8"/>
  <c r="C105" i="8"/>
  <c r="D105" i="8"/>
  <c r="E105" i="8"/>
  <c r="F105" i="8"/>
  <c r="G105" i="8"/>
  <c r="H105" i="8"/>
  <c r="I105" i="8"/>
  <c r="A106" i="8"/>
  <c r="B106" i="8"/>
  <c r="C106" i="8"/>
  <c r="D106" i="8"/>
  <c r="E106" i="8"/>
  <c r="F106" i="8"/>
  <c r="G106" i="8"/>
  <c r="H106" i="8"/>
  <c r="I106" i="8"/>
  <c r="A38" i="5"/>
  <c r="B38" i="5"/>
  <c r="C38" i="5"/>
  <c r="D38" i="5"/>
  <c r="E38" i="5"/>
  <c r="F38" i="5"/>
  <c r="G38" i="5"/>
  <c r="H38" i="5"/>
  <c r="I38" i="5"/>
  <c r="A40" i="5"/>
  <c r="B40" i="5"/>
  <c r="C40" i="5"/>
  <c r="D40" i="5"/>
  <c r="E40" i="5"/>
  <c r="F40" i="5"/>
  <c r="G40" i="5"/>
  <c r="H40" i="5"/>
  <c r="I40" i="5"/>
  <c r="A65" i="3"/>
  <c r="B65" i="3"/>
  <c r="C65" i="3"/>
  <c r="D65" i="3"/>
  <c r="E65" i="3"/>
  <c r="F65" i="3"/>
  <c r="G65" i="3"/>
  <c r="H65" i="3"/>
  <c r="I65" i="3"/>
  <c r="B113" i="2" l="1"/>
  <c r="D113" i="2"/>
  <c r="A114" i="2"/>
  <c r="C113" i="2"/>
  <c r="D114" i="2" l="1"/>
  <c r="B114" i="2"/>
  <c r="A115" i="2"/>
  <c r="C114" i="2"/>
  <c r="B115" i="2" l="1"/>
  <c r="D115" i="2"/>
  <c r="C115" i="2"/>
  <c r="A116" i="2" l="1"/>
  <c r="B116" i="2" l="1"/>
  <c r="C116" i="2"/>
  <c r="D116" i="2"/>
  <c r="A117" i="2"/>
  <c r="B117" i="2" l="1"/>
  <c r="C117" i="2"/>
  <c r="D117" i="2"/>
  <c r="A118" i="2"/>
  <c r="B118" i="2" l="1"/>
  <c r="C118" i="2"/>
  <c r="D118" i="2"/>
  <c r="A119" i="2"/>
  <c r="B119" i="2" l="1"/>
  <c r="C119" i="2"/>
  <c r="D119" i="2"/>
</calcChain>
</file>

<file path=xl/sharedStrings.xml><?xml version="1.0" encoding="utf-8"?>
<sst xmlns="http://schemas.openxmlformats.org/spreadsheetml/2006/main" count="211" uniqueCount="70">
  <si>
    <t>Product Backlog</t>
  </si>
  <si>
    <t>Task #</t>
  </si>
  <si>
    <t>Sprint #</t>
  </si>
  <si>
    <t>Task description</t>
  </si>
  <si>
    <t>Status</t>
  </si>
  <si>
    <t>Maintainer</t>
  </si>
  <si>
    <t>Date added</t>
  </si>
  <si>
    <t>Date completed</t>
  </si>
  <si>
    <t>Hours to complete</t>
  </si>
  <si>
    <t>Work points assigned</t>
  </si>
  <si>
    <t>Sprint view key</t>
  </si>
  <si>
    <t>Basic webpage and repo setup</t>
  </si>
  <si>
    <t>Done</t>
  </si>
  <si>
    <t>chropic</t>
  </si>
  <si>
    <t>Actual web interface and demo features</t>
  </si>
  <si>
    <t>Find client and update README</t>
  </si>
  <si>
    <t>Updated Search Feature (Frontend)</t>
  </si>
  <si>
    <t>Completed</t>
  </si>
  <si>
    <t>oogwaysprophecy732</t>
  </si>
  <si>
    <t>Project Burndown | Sprints 1–6</t>
  </si>
  <si>
    <t>Remaining work units are calculated from Product Backlog completion dates and work points. The chart stops at the latest qualifying completion date.</t>
  </si>
  <si>
    <t>Sprint</t>
  </si>
  <si>
    <t>Start date</t>
  </si>
  <si>
    <t>End date</t>
  </si>
  <si>
    <t>Starting work units</t>
  </si>
  <si>
    <t>All work points assigned</t>
  </si>
  <si>
    <t>Completed points recorded</t>
  </si>
  <si>
    <t>Remaining work units now</t>
  </si>
  <si>
    <t>Chart through</t>
  </si>
  <si>
    <t>Date</t>
  </si>
  <si>
    <t>Sprint or completion label</t>
  </si>
  <si>
    <t>Remaining work units</t>
  </si>
  <si>
    <t>Completed work points</t>
  </si>
  <si>
    <t>Sprint 1</t>
  </si>
  <si>
    <t>Sprint 1 records and backlog view. Edit task details on the Product Backlog sheet; this view updates from the Sprint #.</t>
  </si>
  <si>
    <t>Historical note: Sprint 1 records Task #4’s RSS demo as implemented on 9/16/2026. The Product Backlog keeps the remaining RSS work assigned to Sprint 2, so Task #4 is not duplicated in this sprint’s automatic backlog view.</t>
  </si>
  <si>
    <t>Sprint goal</t>
  </si>
  <si>
    <t>Create a basic webserver and WebUI to serve over domain (esof423.csit.help)
Wire up RSS implementation
Find client</t>
  </si>
  <si>
    <t>Tasks</t>
  </si>
  <si>
    <t>Hours logged</t>
  </si>
  <si>
    <t>Work points</t>
  </si>
  <si>
    <t>Auto-generated view. Do not enter tasks here; add or change them on Product Backlog.</t>
  </si>
  <si>
    <t>Sprint 2</t>
  </si>
  <si>
    <t>Sprint 2 records and backlog view. Edit task details on the Product Backlog sheet; this view updates from the Sprint #.</t>
  </si>
  <si>
    <t>Build the German-language toggle and a country-aware filing-search prototype for U.S. and German companies.</t>
  </si>
  <si>
    <t>Sprint 3</t>
  </si>
  <si>
    <t>Sprint 3 records and backlog view. Edit task details on the Product Backlog sheet; this view updates from the Sprint #.</t>
  </si>
  <si>
    <t>Goal to be defined.</t>
  </si>
  <si>
    <t>Sprint 4</t>
  </si>
  <si>
    <t>Sprint 4 records and backlog view. Edit task details on the Product Backlog sheet; this view updates from the Sprint #.</t>
  </si>
  <si>
    <t>Sprint 5</t>
  </si>
  <si>
    <t>Sprint 5 records and backlog view. Edit task details on the Product Backlog sheet; this view updates from the Sprint #.</t>
  </si>
  <si>
    <t>Sprint 6</t>
  </si>
  <si>
    <t>Sprint 6 records and backlog view. Edit task details on the Product Backlog sheet; this view updates from the Sprint #.</t>
  </si>
  <si>
    <t>Sprint / completed date</t>
  </si>
  <si>
    <t>Ideal remaining work units</t>
  </si>
  <si>
    <t>German language toggle</t>
  </si>
  <si>
    <t>Backlog</t>
  </si>
  <si>
    <t>Prototype bias detection model</t>
  </si>
  <si>
    <t>Define bias detection-what does bias look like (research included)</t>
  </si>
  <si>
    <t>Better UX with distinct language (close to/final sprint)</t>
  </si>
  <si>
    <t>Fine tune Docker container performance options, resource limits, security hardenings.</t>
  </si>
  <si>
    <t>Server-side optimizations and hardenings</t>
  </si>
  <si>
    <t>Website name and branding(?)</t>
  </si>
  <si>
    <t>Stable increment of bias detection model</t>
  </si>
  <si>
    <t xml:space="preserve">Server-side RSS Feed </t>
  </si>
  <si>
    <t>RSS Filtering</t>
  </si>
  <si>
    <t xml:space="preserve">Updated UI </t>
  </si>
  <si>
    <t>chropic &amp; oogwaysprophecy732</t>
  </si>
  <si>
    <t>Implement bias detection model into search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</si>
</sst>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yy"/>
    <numFmt numFmtId="165" formatCode="0.0"/>
    <numFmt numFmtId="166" formatCode="#,##0.0"/>
    <numFmt numFmtId="167" formatCode="m/d/yyyy;;@"/>
    <numFmt numFmtId="168" formatCode="#,##0.0;\-#,##0.0;;@"/>
  </numFmts>
  <fonts count="1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8"/>
      <color rgb="FFFFFFFF"/>
      <name val="Aptos"/>
    </font>
    <font>
      <b/>
      <sz val="10"/>
      <color rgb="FFFFFFFF"/>
      <name val="Aptos"/>
    </font>
    <font>
      <sz val="11"/>
      <color rgb="FF203047"/>
      <name val="Aptos"/>
    </font>
    <font>
      <sz val="11"/>
      <name val="Arial"/>
      <family val="2"/>
    </font>
    <font>
      <sz val="10"/>
      <color rgb="FF64748B"/>
      <name val="Aptos"/>
    </font>
    <font>
      <sz val="10"/>
      <color rgb="FF203047"/>
      <name val="Aptos"/>
    </font>
    <font>
      <sz val="10"/>
      <color rgb="FFFFFFFF"/>
      <name val="Aptos"/>
    </font>
    <font>
      <b/>
      <sz val="10"/>
      <color rgb="FF17365D"/>
      <name val="Aptos"/>
    </font>
    <font>
      <sz val="9"/>
      <color rgb="FF7C5B16"/>
      <name val="Aptos"/>
    </font>
    <font>
      <b/>
      <sz val="9"/>
      <color rgb="FF203047"/>
      <name val="Aptos"/>
    </font>
    <font>
      <sz val="9"/>
      <color rgb="FF203047"/>
      <name val="Aptos"/>
    </font>
    <font>
      <sz val="10"/>
      <color rgb="FF7C5B16"/>
      <name val="Aptos"/>
    </font>
    <font>
      <i/>
      <sz val="9"/>
      <color rgb="FF64748B"/>
      <name val="Aptos"/>
    </font>
    <font>
      <sz val="9"/>
      <color rgb="FF203047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0"/>
      </patternFill>
    </fill>
    <fill>
      <patternFill patternType="solid">
        <fgColor rgb="FFEEF5FB"/>
      </patternFill>
    </fill>
    <fill>
      <patternFill patternType="solid">
        <fgColor rgb="FFF8FAFC"/>
      </patternFill>
    </fill>
    <fill>
      <patternFill patternType="solid">
        <fgColor rgb="FFD9EAF7"/>
      </patternFill>
    </fill>
    <fill>
      <patternFill patternType="solid">
        <fgColor rgb="FFFFF8E1"/>
      </patternFill>
    </fill>
    <fill>
      <patternFill patternType="solid">
        <fgColor rgb="FFEAF2F8"/>
      </patternFill>
    </fill>
    <fill>
      <patternFill patternType="solid">
        <fgColor rgb="FF173B66"/>
      </patternFill>
    </fill>
  </fills>
  <borders count="7">
    <border>
      <left/>
      <right/>
      <top/>
      <bottom/>
      <diagonal/>
    </border>
    <border>
      <left/>
      <right/>
      <top/>
      <bottom style="thin">
        <color rgb="FFD5DEE8"/>
      </bottom>
      <diagonal/>
    </border>
    <border>
      <left/>
      <right/>
      <top style="thin">
        <color rgb="FFD5DEE8"/>
      </top>
      <bottom style="thin">
        <color rgb="FFD5DEE8"/>
      </bottom>
      <diagonal/>
    </border>
    <border>
      <left/>
      <right/>
      <top/>
      <bottom style="thin">
        <color theme="3" tint="0.49989318521683401"/>
      </bottom>
      <diagonal/>
    </border>
    <border>
      <left/>
      <right/>
      <top style="thin">
        <color rgb="FFD5DEE8"/>
      </top>
      <bottom/>
      <diagonal/>
    </border>
    <border>
      <left/>
      <right/>
      <top/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</borders>
  <cellStyleXfs count="9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2" fillId="0" borderId="0"/>
    <xf numFmtId="0" fontId="3" fillId="0" borderId="0"/>
    <xf numFmtId="0" fontId="2" fillId="0" borderId="0"/>
  </cellStyleXfs>
  <cellXfs count="65">
    <xf numFmtId="0" fontId="0" fillId="0" borderId="0" xfId="0"/>
    <xf numFmtId="0" fontId="5" fillId="2" borderId="0" xfId="7" applyFont="1" applyFill="1" applyAlignment="1">
      <alignment horizontal="center" vertical="center" wrapText="1"/>
    </xf>
    <xf numFmtId="0" fontId="5" fillId="2" borderId="0" xfId="7" applyFont="1" applyFill="1" applyAlignment="1">
      <alignment vertical="center" wrapText="1"/>
    </xf>
    <xf numFmtId="1" fontId="6" fillId="3" borderId="1" xfId="7" applyNumberFormat="1" applyFont="1" applyFill="1" applyBorder="1" applyAlignment="1">
      <alignment horizontal="center" vertical="center" wrapText="1"/>
    </xf>
    <xf numFmtId="0" fontId="6" fillId="3" borderId="1" xfId="7" applyFont="1" applyFill="1" applyBorder="1" applyAlignment="1">
      <alignment vertical="center" wrapText="1"/>
    </xf>
    <xf numFmtId="164" fontId="6" fillId="3" borderId="1" xfId="7" applyNumberFormat="1" applyFont="1" applyFill="1" applyBorder="1" applyAlignment="1">
      <alignment vertical="center" wrapText="1"/>
    </xf>
    <xf numFmtId="165" fontId="6" fillId="3" borderId="1" xfId="7" applyNumberFormat="1" applyFont="1" applyFill="1" applyBorder="1" applyAlignment="1">
      <alignment vertical="center" wrapText="1"/>
    </xf>
    <xf numFmtId="3" fontId="6" fillId="3" borderId="1" xfId="7" applyNumberFormat="1" applyFont="1" applyFill="1" applyBorder="1" applyAlignment="1">
      <alignment vertical="center" wrapText="1"/>
    </xf>
    <xf numFmtId="1" fontId="6" fillId="3" borderId="2" xfId="7" applyNumberFormat="1" applyFont="1" applyFill="1" applyBorder="1" applyAlignment="1">
      <alignment horizontal="center" vertical="center" wrapText="1"/>
    </xf>
    <xf numFmtId="0" fontId="6" fillId="3" borderId="2" xfId="7" applyFont="1" applyFill="1" applyBorder="1" applyAlignment="1">
      <alignment vertical="center" wrapText="1"/>
    </xf>
    <xf numFmtId="164" fontId="6" fillId="3" borderId="2" xfId="7" applyNumberFormat="1" applyFont="1" applyFill="1" applyBorder="1" applyAlignment="1">
      <alignment vertical="center" wrapText="1"/>
    </xf>
    <xf numFmtId="165" fontId="6" fillId="3" borderId="2" xfId="7" applyNumberFormat="1" applyFont="1" applyFill="1" applyBorder="1" applyAlignment="1">
      <alignment vertical="center" wrapText="1"/>
    </xf>
    <xf numFmtId="3" fontId="6" fillId="3" borderId="2" xfId="7" applyNumberFormat="1" applyFont="1" applyFill="1" applyBorder="1" applyAlignment="1">
      <alignment vertical="center" wrapText="1"/>
    </xf>
    <xf numFmtId="0" fontId="2" fillId="0" borderId="3" xfId="6" applyBorder="1"/>
    <xf numFmtId="1" fontId="6" fillId="3" borderId="2" xfId="7" applyNumberFormat="1" applyFont="1" applyFill="1" applyBorder="1" applyAlignment="1">
      <alignment vertical="center" wrapText="1"/>
    </xf>
    <xf numFmtId="1" fontId="6" fillId="3" borderId="4" xfId="7" applyNumberFormat="1" applyFont="1" applyFill="1" applyBorder="1" applyAlignment="1">
      <alignment vertical="center" wrapText="1"/>
    </xf>
    <xf numFmtId="0" fontId="6" fillId="3" borderId="4" xfId="7" applyFont="1" applyFill="1" applyBorder="1" applyAlignment="1">
      <alignment vertical="center" wrapText="1"/>
    </xf>
    <xf numFmtId="164" fontId="6" fillId="3" borderId="4" xfId="7" applyNumberFormat="1" applyFont="1" applyFill="1" applyBorder="1" applyAlignment="1">
      <alignment vertical="center" wrapText="1"/>
    </xf>
    <xf numFmtId="165" fontId="6" fillId="3" borderId="4" xfId="7" applyNumberFormat="1" applyFont="1" applyFill="1" applyBorder="1" applyAlignment="1">
      <alignment vertical="center" wrapText="1"/>
    </xf>
    <xf numFmtId="3" fontId="6" fillId="3" borderId="4" xfId="7" applyNumberFormat="1" applyFont="1" applyFill="1" applyBorder="1" applyAlignment="1">
      <alignment vertical="center" wrapText="1"/>
    </xf>
    <xf numFmtId="0" fontId="7" fillId="3" borderId="0" xfId="6" applyFont="1" applyFill="1"/>
    <xf numFmtId="0" fontId="2" fillId="3" borderId="0" xfId="6" applyFill="1"/>
    <xf numFmtId="0" fontId="5" fillId="3" borderId="0" xfId="7" applyFont="1" applyFill="1" applyAlignment="1">
      <alignment vertical="center" wrapText="1"/>
    </xf>
    <xf numFmtId="0" fontId="9" fillId="5" borderId="1" xfId="7" applyFont="1" applyFill="1" applyBorder="1"/>
    <xf numFmtId="164" fontId="9" fillId="5" borderId="1" xfId="7" applyNumberFormat="1" applyFont="1" applyFill="1" applyBorder="1"/>
    <xf numFmtId="166" fontId="10" fillId="3" borderId="1" xfId="7" applyNumberFormat="1" applyFont="1" applyFill="1" applyBorder="1"/>
    <xf numFmtId="0" fontId="9" fillId="5" borderId="2" xfId="7" applyFont="1" applyFill="1" applyBorder="1"/>
    <xf numFmtId="164" fontId="9" fillId="5" borderId="2" xfId="7" applyNumberFormat="1" applyFont="1" applyFill="1" applyBorder="1"/>
    <xf numFmtId="166" fontId="10" fillId="3" borderId="2" xfId="7" applyNumberFormat="1" applyFont="1" applyFill="1" applyBorder="1"/>
    <xf numFmtId="0" fontId="9" fillId="5" borderId="4" xfId="7" applyFont="1" applyFill="1" applyBorder="1"/>
    <xf numFmtId="164" fontId="9" fillId="5" borderId="4" xfId="7" applyNumberFormat="1" applyFont="1" applyFill="1" applyBorder="1"/>
    <xf numFmtId="166" fontId="10" fillId="3" borderId="4" xfId="7" applyNumberFormat="1" applyFont="1" applyFill="1" applyBorder="1"/>
    <xf numFmtId="0" fontId="11" fillId="6" borderId="1" xfId="7" applyFont="1" applyFill="1" applyBorder="1" applyAlignment="1">
      <alignment wrapText="1"/>
    </xf>
    <xf numFmtId="0" fontId="9" fillId="0" borderId="1" xfId="7" applyFont="1" applyBorder="1"/>
    <xf numFmtId="0" fontId="11" fillId="6" borderId="2" xfId="7" applyFont="1" applyFill="1" applyBorder="1" applyAlignment="1">
      <alignment wrapText="1"/>
    </xf>
    <xf numFmtId="0" fontId="9" fillId="0" borderId="2" xfId="7" applyFont="1" applyBorder="1"/>
    <xf numFmtId="0" fontId="11" fillId="6" borderId="4" xfId="7" applyFont="1" applyFill="1" applyBorder="1" applyAlignment="1">
      <alignment wrapText="1"/>
    </xf>
    <xf numFmtId="164" fontId="9" fillId="0" borderId="4" xfId="7" applyNumberFormat="1" applyFont="1" applyBorder="1"/>
    <xf numFmtId="0" fontId="13" fillId="2" borderId="5" xfId="7" applyFont="1" applyFill="1" applyBorder="1" applyAlignment="1">
      <alignment vertical="center" wrapText="1"/>
    </xf>
    <xf numFmtId="0" fontId="5" fillId="2" borderId="5" xfId="7" applyFont="1" applyFill="1" applyBorder="1" applyAlignment="1">
      <alignment vertical="center" wrapText="1"/>
    </xf>
    <xf numFmtId="164" fontId="14" fillId="0" borderId="6" xfId="7" applyNumberFormat="1" applyFont="1" applyBorder="1"/>
    <xf numFmtId="166" fontId="14" fillId="0" borderId="6" xfId="7" applyNumberFormat="1" applyFont="1" applyBorder="1"/>
    <xf numFmtId="0" fontId="11" fillId="6" borderId="0" xfId="7" applyFont="1" applyFill="1" applyAlignment="1">
      <alignment vertical="center"/>
    </xf>
    <xf numFmtId="164" fontId="11" fillId="6" borderId="0" xfId="7" applyNumberFormat="1" applyFont="1" applyFill="1" applyAlignment="1">
      <alignment vertical="center"/>
    </xf>
    <xf numFmtId="0" fontId="11" fillId="8" borderId="0" xfId="7" applyFont="1" applyFill="1" applyAlignment="1">
      <alignment vertical="center"/>
    </xf>
    <xf numFmtId="0" fontId="5" fillId="2" borderId="1" xfId="7" applyFont="1" applyFill="1" applyBorder="1" applyAlignment="1">
      <alignment vertical="center" wrapText="1"/>
    </xf>
    <xf numFmtId="0" fontId="3" fillId="0" borderId="2" xfId="7" applyBorder="1" applyAlignment="1">
      <alignment wrapText="1"/>
    </xf>
    <xf numFmtId="167" fontId="3" fillId="0" borderId="2" xfId="7" applyNumberFormat="1" applyBorder="1" applyAlignment="1">
      <alignment wrapText="1"/>
    </xf>
    <xf numFmtId="168" fontId="3" fillId="0" borderId="2" xfId="7" applyNumberFormat="1" applyBorder="1" applyAlignment="1">
      <alignment wrapText="1"/>
    </xf>
    <xf numFmtId="0" fontId="3" fillId="0" borderId="4" xfId="7" applyBorder="1" applyAlignment="1">
      <alignment wrapText="1"/>
    </xf>
    <xf numFmtId="167" fontId="3" fillId="0" borderId="4" xfId="7" applyNumberFormat="1" applyBorder="1" applyAlignment="1">
      <alignment wrapText="1"/>
    </xf>
    <xf numFmtId="168" fontId="3" fillId="0" borderId="4" xfId="7" applyNumberFormat="1" applyBorder="1" applyAlignment="1">
      <alignment wrapText="1"/>
    </xf>
    <xf numFmtId="164" fontId="17" fillId="0" borderId="6" xfId="0" applyNumberFormat="1" applyFont="1" applyBorder="1"/>
    <xf numFmtId="166" fontId="17" fillId="0" borderId="6" xfId="0" applyNumberFormat="1" applyFont="1" applyBorder="1"/>
    <xf numFmtId="0" fontId="17" fillId="0" borderId="0" xfId="0" applyFont="1"/>
    <xf numFmtId="166" fontId="17" fillId="0" borderId="0" xfId="0" applyNumberFormat="1" applyFont="1"/>
    <xf numFmtId="166" fontId="0" fillId="0" borderId="0" xfId="0" applyNumberFormat="1"/>
    <xf numFmtId="0" fontId="18" fillId="9" borderId="0" xfId="0" applyFont="1" applyFill="1" applyAlignment="1">
      <alignment wrapText="1"/>
    </xf>
    <xf numFmtId="0" fontId="4" fillId="2" borderId="0" xfId="7" applyFont="1" applyFill="1" applyAlignment="1">
      <alignment vertical="center"/>
    </xf>
    <xf numFmtId="0" fontId="8" fillId="4" borderId="0" xfId="7" applyFont="1" applyFill="1" applyAlignment="1">
      <alignment vertical="center" wrapText="1"/>
    </xf>
    <xf numFmtId="0" fontId="12" fillId="3" borderId="0" xfId="7" applyFont="1" applyFill="1" applyAlignment="1">
      <alignment vertical="center" wrapText="1"/>
    </xf>
    <xf numFmtId="0" fontId="15" fillId="7" borderId="0" xfId="7" applyFont="1" applyFill="1" applyAlignment="1">
      <alignment vertical="center" wrapText="1"/>
    </xf>
    <xf numFmtId="0" fontId="9" fillId="5" borderId="0" xfId="7" applyFont="1" applyFill="1" applyAlignment="1">
      <alignment vertical="center" wrapText="1"/>
    </xf>
    <xf numFmtId="0" fontId="16" fillId="0" borderId="0" xfId="7" applyFont="1" applyAlignment="1">
      <alignment wrapText="1"/>
    </xf>
    <xf numFmtId="0" fontId="3" fillId="0" borderId="2" xfId="7" applyBorder="1" applyAlignment="1">
      <alignment horizontal="center" wrapText="1"/>
    </xf>
  </cellXfs>
  <cellStyles count="9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Normal 2" xfId="7" xr:uid="{00000000-0005-0000-0000-000007000000}"/>
    <cellStyle name="Normal 3" xfId="8" xr:uid="{00000000-0005-0000-0000-000008000000}"/>
    <cellStyle name="Normal 4" xfId="6" xr:uid="{00000000-0005-0000-0000-000006000000}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C5B16"/>
      <rgbColor rgb="FF800080"/>
      <rgbColor rgb="FF008080"/>
      <rgbColor rgb="FFCCCCCC"/>
      <rgbColor rgb="FF8B8B8B"/>
      <rgbColor rgb="FF9999FF"/>
      <rgbColor rgb="FF993366"/>
      <rgbColor rgb="FFFFF8E1"/>
      <rgbColor rgb="FFD9EAF7"/>
      <rgbColor rgb="FF660066"/>
      <rgbColor rgb="FFFF8080"/>
      <rgbColor rgb="FF1F77B4"/>
      <rgbColor rgb="FFD5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5EAF0"/>
      <rgbColor rgb="FFF8FAFC"/>
      <rgbColor rgb="FFEEF5FB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4748B"/>
      <rgbColor rgb="FFAEAEAE"/>
      <rgbColor rgb="FF17365D"/>
      <rgbColor rgb="FF4E95D9"/>
      <rgbColor rgb="FF003300"/>
      <rgbColor rgb="FF333300"/>
      <rgbColor rgb="FF993300"/>
      <rgbColor rgb="FF993366"/>
      <rgbColor rgb="FF333399"/>
      <rgbColor rgb="FF2030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Project Burndown | Sprints 1–6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Remaining work units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none"/>
          </c:marker>
          <c:cat>
            <c:strRef>
              <c:f>'Burndown Chart'!$P$26:$P$110</c:f>
              <c:strCache>
                <c:ptCount val="85"/>
                <c:pt idx="0">
                  <c:v>Sprint 1 (9/9)</c:v>
                </c:pt>
                <c:pt idx="1">
                  <c:v> </c:v>
                </c:pt>
                <c:pt idx="2">
                  <c:v>9/11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9/16</c:v>
                </c:pt>
                <c:pt idx="8">
                  <c:v> </c:v>
                </c:pt>
                <c:pt idx="9">
                  <c:v>9/18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Sprint 2 (9/23)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9/28</c:v>
                </c:pt>
                <c:pt idx="20">
                  <c:v> </c:v>
                </c:pt>
                <c:pt idx="21">
                  <c:v>9/30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Sprint 3 (10/7)</c:v>
                </c:pt>
                <c:pt idx="29">
                  <c:v> </c:v>
                </c:pt>
                <c:pt idx="30">
                  <c:v>10/9</c:v>
                </c:pt>
                <c:pt idx="31">
                  <c:v> </c:v>
                </c:pt>
                <c:pt idx="32">
                  <c:v> </c:v>
                </c:pt>
                <c:pt idx="33">
                  <c:v> </c:v>
                </c:pt>
                <c:pt idx="34">
                  <c:v> </c:v>
                </c:pt>
                <c:pt idx="35">
                  <c:v>10/14</c:v>
                </c:pt>
                <c:pt idx="36">
                  <c:v> </c:v>
                </c:pt>
                <c:pt idx="37">
                  <c:v> </c:v>
                </c:pt>
                <c:pt idx="38">
                  <c:v> </c:v>
                </c:pt>
                <c:pt idx="39">
                  <c:v> </c:v>
                </c:pt>
                <c:pt idx="40">
                  <c:v> </c:v>
                </c:pt>
                <c:pt idx="41">
                  <c:v> </c:v>
                </c:pt>
                <c:pt idx="42">
                  <c:v>Sprint 4 (10/21)</c:v>
                </c:pt>
                <c:pt idx="43">
                  <c:v> </c:v>
                </c:pt>
                <c:pt idx="44">
                  <c:v> 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Sprint 5 (11/4)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Sprint 6 (11/18)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Sprint 6 end (12/2)</c:v>
                </c:pt>
              </c:strCache>
            </c:strRef>
          </c:cat>
          <c:val>
            <c:numRef>
              <c:f>'Burndown Chart'!$Q$26:$Q$110</c:f>
              <c:numCache>
                <c:formatCode>#,##0.0</c:formatCode>
                <c:ptCount val="85"/>
                <c:pt idx="0">
                  <c:v>1000</c:v>
                </c:pt>
                <c:pt idx="1">
                  <c:v>1000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975</c:v>
                </c:pt>
                <c:pt idx="7">
                  <c:v>920</c:v>
                </c:pt>
                <c:pt idx="8">
                  <c:v>920</c:v>
                </c:pt>
                <c:pt idx="9">
                  <c:v>905</c:v>
                </c:pt>
                <c:pt idx="10">
                  <c:v>905</c:v>
                </c:pt>
                <c:pt idx="11">
                  <c:v>905</c:v>
                </c:pt>
                <c:pt idx="12">
                  <c:v>905</c:v>
                </c:pt>
                <c:pt idx="13">
                  <c:v>905</c:v>
                </c:pt>
                <c:pt idx="14">
                  <c:v>860</c:v>
                </c:pt>
                <c:pt idx="15">
                  <c:v>860</c:v>
                </c:pt>
                <c:pt idx="16">
                  <c:v>860</c:v>
                </c:pt>
                <c:pt idx="17">
                  <c:v>860</c:v>
                </c:pt>
                <c:pt idx="18">
                  <c:v>860</c:v>
                </c:pt>
                <c:pt idx="19">
                  <c:v>815</c:v>
                </c:pt>
                <c:pt idx="20">
                  <c:v>815</c:v>
                </c:pt>
                <c:pt idx="21">
                  <c:v>765</c:v>
                </c:pt>
                <c:pt idx="22">
                  <c:v>765</c:v>
                </c:pt>
                <c:pt idx="23">
                  <c:v>765</c:v>
                </c:pt>
                <c:pt idx="24">
                  <c:v>765</c:v>
                </c:pt>
                <c:pt idx="25">
                  <c:v>765</c:v>
                </c:pt>
                <c:pt idx="26">
                  <c:v>765</c:v>
                </c:pt>
                <c:pt idx="27">
                  <c:v>765</c:v>
                </c:pt>
                <c:pt idx="28">
                  <c:v>765</c:v>
                </c:pt>
                <c:pt idx="29">
                  <c:v>765</c:v>
                </c:pt>
                <c:pt idx="30">
                  <c:v>730</c:v>
                </c:pt>
                <c:pt idx="31">
                  <c:v>730</c:v>
                </c:pt>
                <c:pt idx="32">
                  <c:v>730</c:v>
                </c:pt>
                <c:pt idx="33">
                  <c:v>730</c:v>
                </c:pt>
                <c:pt idx="34">
                  <c:v>730</c:v>
                </c:pt>
                <c:pt idx="35">
                  <c:v>605</c:v>
                </c:pt>
                <c:pt idx="36">
                  <c:v>605</c:v>
                </c:pt>
                <c:pt idx="37">
                  <c:v>605</c:v>
                </c:pt>
                <c:pt idx="38">
                  <c:v>605</c:v>
                </c:pt>
                <c:pt idx="39">
                  <c:v>605</c:v>
                </c:pt>
                <c:pt idx="40">
                  <c:v>605</c:v>
                </c:pt>
                <c:pt idx="41">
                  <c:v>605</c:v>
                </c:pt>
                <c:pt idx="42">
                  <c:v>605</c:v>
                </c:pt>
                <c:pt idx="43">
                  <c:v>605</c:v>
                </c:pt>
                <c:pt idx="44">
                  <c:v>605</c:v>
                </c:pt>
                <c:pt idx="45">
                  <c:v>605</c:v>
                </c:pt>
                <c:pt idx="46">
                  <c:v>605</c:v>
                </c:pt>
                <c:pt idx="47">
                  <c:v>605</c:v>
                </c:pt>
                <c:pt idx="48">
                  <c:v>605</c:v>
                </c:pt>
                <c:pt idx="49">
                  <c:v>605</c:v>
                </c:pt>
                <c:pt idx="50">
                  <c:v>605</c:v>
                </c:pt>
                <c:pt idx="51">
                  <c:v>605</c:v>
                </c:pt>
                <c:pt idx="52">
                  <c:v>605</c:v>
                </c:pt>
                <c:pt idx="53">
                  <c:v>605</c:v>
                </c:pt>
                <c:pt idx="54">
                  <c:v>605</c:v>
                </c:pt>
                <c:pt idx="55">
                  <c:v>605</c:v>
                </c:pt>
                <c:pt idx="56">
                  <c:v>605</c:v>
                </c:pt>
                <c:pt idx="57">
                  <c:v>605</c:v>
                </c:pt>
                <c:pt idx="58">
                  <c:v>605</c:v>
                </c:pt>
                <c:pt idx="59">
                  <c:v>605</c:v>
                </c:pt>
                <c:pt idx="60">
                  <c:v>605</c:v>
                </c:pt>
                <c:pt idx="61">
                  <c:v>605</c:v>
                </c:pt>
                <c:pt idx="62">
                  <c:v>605</c:v>
                </c:pt>
                <c:pt idx="63">
                  <c:v>605</c:v>
                </c:pt>
                <c:pt idx="64">
                  <c:v>605</c:v>
                </c:pt>
                <c:pt idx="65">
                  <c:v>605</c:v>
                </c:pt>
                <c:pt idx="66">
                  <c:v>605</c:v>
                </c:pt>
                <c:pt idx="67">
                  <c:v>605</c:v>
                </c:pt>
                <c:pt idx="68">
                  <c:v>605</c:v>
                </c:pt>
                <c:pt idx="69">
                  <c:v>605</c:v>
                </c:pt>
                <c:pt idx="70">
                  <c:v>605</c:v>
                </c:pt>
                <c:pt idx="71">
                  <c:v>605</c:v>
                </c:pt>
                <c:pt idx="72">
                  <c:v>605</c:v>
                </c:pt>
                <c:pt idx="73">
                  <c:v>605</c:v>
                </c:pt>
                <c:pt idx="74">
                  <c:v>605</c:v>
                </c:pt>
                <c:pt idx="75">
                  <c:v>605</c:v>
                </c:pt>
                <c:pt idx="76">
                  <c:v>605</c:v>
                </c:pt>
                <c:pt idx="77">
                  <c:v>605</c:v>
                </c:pt>
                <c:pt idx="78">
                  <c:v>605</c:v>
                </c:pt>
                <c:pt idx="79">
                  <c:v>605</c:v>
                </c:pt>
                <c:pt idx="80">
                  <c:v>605</c:v>
                </c:pt>
                <c:pt idx="81">
                  <c:v>605</c:v>
                </c:pt>
                <c:pt idx="82">
                  <c:v>605</c:v>
                </c:pt>
                <c:pt idx="83">
                  <c:v>605</c:v>
                </c:pt>
                <c:pt idx="84">
                  <c:v>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AC-6946-8AB4-B31C7AB6409E}"/>
            </c:ext>
          </c:extLst>
        </c:ser>
        <c:ser>
          <c:idx val="1"/>
          <c:order val="1"/>
          <c:tx>
            <c:v>Ideal remaining work units</c:v>
          </c:tx>
          <c:spPr>
            <a:ln w="1905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strRef>
              <c:f>'Burndown Chart'!$P$26:$P$110</c:f>
              <c:strCache>
                <c:ptCount val="85"/>
                <c:pt idx="0">
                  <c:v>Sprint 1 (9/9)</c:v>
                </c:pt>
                <c:pt idx="1">
                  <c:v> </c:v>
                </c:pt>
                <c:pt idx="2">
                  <c:v>9/11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9/16</c:v>
                </c:pt>
                <c:pt idx="8">
                  <c:v> </c:v>
                </c:pt>
                <c:pt idx="9">
                  <c:v>9/18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Sprint 2 (9/23)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9/28</c:v>
                </c:pt>
                <c:pt idx="20">
                  <c:v> </c:v>
                </c:pt>
                <c:pt idx="21">
                  <c:v>9/30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Sprint 3 (10/7)</c:v>
                </c:pt>
                <c:pt idx="29">
                  <c:v> </c:v>
                </c:pt>
                <c:pt idx="30">
                  <c:v>10/9</c:v>
                </c:pt>
                <c:pt idx="31">
                  <c:v> </c:v>
                </c:pt>
                <c:pt idx="32">
                  <c:v> </c:v>
                </c:pt>
                <c:pt idx="33">
                  <c:v> </c:v>
                </c:pt>
                <c:pt idx="34">
                  <c:v> </c:v>
                </c:pt>
                <c:pt idx="35">
                  <c:v>10/14</c:v>
                </c:pt>
                <c:pt idx="36">
                  <c:v> </c:v>
                </c:pt>
                <c:pt idx="37">
                  <c:v> </c:v>
                </c:pt>
                <c:pt idx="38">
                  <c:v> </c:v>
                </c:pt>
                <c:pt idx="39">
                  <c:v> </c:v>
                </c:pt>
                <c:pt idx="40">
                  <c:v> </c:v>
                </c:pt>
                <c:pt idx="41">
                  <c:v> </c:v>
                </c:pt>
                <c:pt idx="42">
                  <c:v>Sprint 4 (10/21)</c:v>
                </c:pt>
                <c:pt idx="43">
                  <c:v> </c:v>
                </c:pt>
                <c:pt idx="44">
                  <c:v> 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Sprint 5 (11/4)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Sprint 6 (11/18)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Sprint 6 end (12/2)</c:v>
                </c:pt>
              </c:strCache>
            </c:strRef>
          </c:cat>
          <c:val>
            <c:numRef>
              <c:f>'Burndown Chart'!$R$26:$R$110</c:f>
              <c:numCache>
                <c:formatCode>#,##0.0</c:formatCode>
                <c:ptCount val="85"/>
                <c:pt idx="0">
                  <c:v>1000</c:v>
                </c:pt>
                <c:pt idx="1">
                  <c:v>988.09523809523807</c:v>
                </c:pt>
                <c:pt idx="2">
                  <c:v>976.19047619047615</c:v>
                </c:pt>
                <c:pt idx="3">
                  <c:v>964.28571428571433</c:v>
                </c:pt>
                <c:pt idx="4">
                  <c:v>952.38095238095241</c:v>
                </c:pt>
                <c:pt idx="5">
                  <c:v>940.47619047619048</c:v>
                </c:pt>
                <c:pt idx="6">
                  <c:v>928.57142857142856</c:v>
                </c:pt>
                <c:pt idx="7">
                  <c:v>916.66666666666663</c:v>
                </c:pt>
                <c:pt idx="8">
                  <c:v>904.76190476190482</c:v>
                </c:pt>
                <c:pt idx="9">
                  <c:v>892.85714285714289</c:v>
                </c:pt>
                <c:pt idx="10">
                  <c:v>880.95238095238096</c:v>
                </c:pt>
                <c:pt idx="11">
                  <c:v>869.04761904761904</c:v>
                </c:pt>
                <c:pt idx="12">
                  <c:v>857.14285714285711</c:v>
                </c:pt>
                <c:pt idx="13">
                  <c:v>845.23809523809518</c:v>
                </c:pt>
                <c:pt idx="14">
                  <c:v>833.33333333333337</c:v>
                </c:pt>
                <c:pt idx="15">
                  <c:v>821.42857142857144</c:v>
                </c:pt>
                <c:pt idx="16">
                  <c:v>809.52380952380952</c:v>
                </c:pt>
                <c:pt idx="17">
                  <c:v>797.61904761904759</c:v>
                </c:pt>
                <c:pt idx="18">
                  <c:v>785.71428571428567</c:v>
                </c:pt>
                <c:pt idx="19">
                  <c:v>773.80952380952385</c:v>
                </c:pt>
                <c:pt idx="20">
                  <c:v>761.90476190476193</c:v>
                </c:pt>
                <c:pt idx="21">
                  <c:v>750</c:v>
                </c:pt>
                <c:pt idx="22">
                  <c:v>738.09523809523807</c:v>
                </c:pt>
                <c:pt idx="23">
                  <c:v>726.19047619047615</c:v>
                </c:pt>
                <c:pt idx="24">
                  <c:v>714.28571428571433</c:v>
                </c:pt>
                <c:pt idx="25">
                  <c:v>702.38095238095241</c:v>
                </c:pt>
                <c:pt idx="26">
                  <c:v>690.47619047619048</c:v>
                </c:pt>
                <c:pt idx="27">
                  <c:v>678.57142857142856</c:v>
                </c:pt>
                <c:pt idx="28">
                  <c:v>666.66666666666663</c:v>
                </c:pt>
                <c:pt idx="29">
                  <c:v>654.76190476190482</c:v>
                </c:pt>
                <c:pt idx="30">
                  <c:v>642.85714285714289</c:v>
                </c:pt>
                <c:pt idx="31">
                  <c:v>630.95238095238096</c:v>
                </c:pt>
                <c:pt idx="32">
                  <c:v>619.04761904761904</c:v>
                </c:pt>
                <c:pt idx="33">
                  <c:v>607.14285714285711</c:v>
                </c:pt>
                <c:pt idx="34">
                  <c:v>595.23809523809518</c:v>
                </c:pt>
                <c:pt idx="35">
                  <c:v>583.33333333333337</c:v>
                </c:pt>
                <c:pt idx="36">
                  <c:v>571.42857142857144</c:v>
                </c:pt>
                <c:pt idx="37">
                  <c:v>559.52380952380952</c:v>
                </c:pt>
                <c:pt idx="38">
                  <c:v>547.61904761904759</c:v>
                </c:pt>
                <c:pt idx="39">
                  <c:v>535.71428571428567</c:v>
                </c:pt>
                <c:pt idx="40">
                  <c:v>523.80952380952385</c:v>
                </c:pt>
                <c:pt idx="41">
                  <c:v>511.90476190476193</c:v>
                </c:pt>
                <c:pt idx="42">
                  <c:v>500</c:v>
                </c:pt>
                <c:pt idx="43">
                  <c:v>488.09523809523807</c:v>
                </c:pt>
                <c:pt idx="44">
                  <c:v>476.1904761904762</c:v>
                </c:pt>
                <c:pt idx="45">
                  <c:v>464.28571428571428</c:v>
                </c:pt>
                <c:pt idx="46">
                  <c:v>452.38095238095241</c:v>
                </c:pt>
                <c:pt idx="47">
                  <c:v>440.47619047619048</c:v>
                </c:pt>
                <c:pt idx="48">
                  <c:v>428.57142857142856</c:v>
                </c:pt>
                <c:pt idx="49">
                  <c:v>416.66666666666669</c:v>
                </c:pt>
                <c:pt idx="50">
                  <c:v>404.76190476190476</c:v>
                </c:pt>
                <c:pt idx="51">
                  <c:v>392.85714285714283</c:v>
                </c:pt>
                <c:pt idx="52">
                  <c:v>380.95238095238096</c:v>
                </c:pt>
                <c:pt idx="53">
                  <c:v>369.04761904761904</c:v>
                </c:pt>
                <c:pt idx="54">
                  <c:v>357.14285714285717</c:v>
                </c:pt>
                <c:pt idx="55">
                  <c:v>345.23809523809524</c:v>
                </c:pt>
                <c:pt idx="56">
                  <c:v>333.33333333333331</c:v>
                </c:pt>
                <c:pt idx="57">
                  <c:v>321.42857142857144</c:v>
                </c:pt>
                <c:pt idx="58">
                  <c:v>309.52380952380952</c:v>
                </c:pt>
                <c:pt idx="59">
                  <c:v>297.61904761904759</c:v>
                </c:pt>
                <c:pt idx="60">
                  <c:v>285.71428571428572</c:v>
                </c:pt>
                <c:pt idx="61">
                  <c:v>273.8095238095238</c:v>
                </c:pt>
                <c:pt idx="62">
                  <c:v>261.90476190476193</c:v>
                </c:pt>
                <c:pt idx="63">
                  <c:v>250</c:v>
                </c:pt>
                <c:pt idx="64">
                  <c:v>238.0952380952381</c:v>
                </c:pt>
                <c:pt idx="65">
                  <c:v>226.1904761904762</c:v>
                </c:pt>
                <c:pt idx="66">
                  <c:v>214.28571428571428</c:v>
                </c:pt>
                <c:pt idx="67">
                  <c:v>202.38095238095238</c:v>
                </c:pt>
                <c:pt idx="68">
                  <c:v>190.47619047619048</c:v>
                </c:pt>
                <c:pt idx="69">
                  <c:v>178.57142857142858</c:v>
                </c:pt>
                <c:pt idx="70">
                  <c:v>166.66666666666666</c:v>
                </c:pt>
                <c:pt idx="71">
                  <c:v>154.76190476190476</c:v>
                </c:pt>
                <c:pt idx="72">
                  <c:v>142.85714285714286</c:v>
                </c:pt>
                <c:pt idx="73">
                  <c:v>130.95238095238096</c:v>
                </c:pt>
                <c:pt idx="74">
                  <c:v>119.04761904761905</c:v>
                </c:pt>
                <c:pt idx="75">
                  <c:v>107.14285714285714</c:v>
                </c:pt>
                <c:pt idx="76">
                  <c:v>95.238095238095241</c:v>
                </c:pt>
                <c:pt idx="77">
                  <c:v>83.333333333333329</c:v>
                </c:pt>
                <c:pt idx="78">
                  <c:v>71.428571428571431</c:v>
                </c:pt>
                <c:pt idx="79">
                  <c:v>59.523809523809526</c:v>
                </c:pt>
                <c:pt idx="80">
                  <c:v>47.61904761904762</c:v>
                </c:pt>
                <c:pt idx="81">
                  <c:v>35.714285714285715</c:v>
                </c:pt>
                <c:pt idx="82">
                  <c:v>23.80952380952381</c:v>
                </c:pt>
                <c:pt idx="83">
                  <c:v>11.904761904761905</c:v>
                </c:pt>
                <c:pt idx="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C-6946-8AB4-B31C7AB64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Sprint / completed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1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Remaining work units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7"/>
  <sheetViews>
    <sheetView showGridLines="0" tabSelected="1" workbookViewId="0">
      <pane ySplit="4" topLeftCell="A5" activePane="bottomLeft" state="frozen"/>
      <selection pane="bottomLeft" activeCell="L19" sqref="L19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60.1640625" customWidth="1"/>
    <col min="4" max="4" width="31" customWidth="1"/>
    <col min="5" max="5" width="28.33203125" customWidth="1"/>
    <col min="6" max="7" width="15" customWidth="1"/>
    <col min="8" max="8" width="18" customWidth="1"/>
    <col min="9" max="9" width="22" customWidth="1"/>
    <col min="10" max="10" width="11.5" hidden="1" customWidth="1"/>
  </cols>
  <sheetData>
    <row r="1" spans="1:12" ht="32" customHeight="1" x14ac:dyDescent="0.15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4" spans="1:12" ht="30" customHeight="1" x14ac:dyDescent="0.15">
      <c r="A4" s="1" t="s">
        <v>1</v>
      </c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t="s">
        <v>10</v>
      </c>
    </row>
    <row r="5" spans="1:12" ht="21" customHeight="1" x14ac:dyDescent="0.15">
      <c r="A5" s="3">
        <v>1</v>
      </c>
      <c r="B5" s="3">
        <v>1</v>
      </c>
      <c r="C5" s="4" t="s">
        <v>11</v>
      </c>
      <c r="D5" s="4" t="s">
        <v>12</v>
      </c>
      <c r="E5" s="4" t="s">
        <v>13</v>
      </c>
      <c r="F5" s="10">
        <v>46274</v>
      </c>
      <c r="G5" s="5">
        <v>46276</v>
      </c>
      <c r="H5" s="6">
        <v>0.5</v>
      </c>
      <c r="I5" s="7">
        <v>25</v>
      </c>
      <c r="J5" t="str">
        <f>IF(OR(B5="",C5=""),"",B5&amp;"-"&amp;COUNTIFS($B$5:B5,B5,$C$5:C5,"&lt;&gt;"))</f>
        <v>1-1</v>
      </c>
    </row>
    <row r="6" spans="1:12" ht="21" customHeight="1" x14ac:dyDescent="0.15">
      <c r="A6" s="8">
        <v>2</v>
      </c>
      <c r="B6" s="8">
        <v>1</v>
      </c>
      <c r="C6" s="9" t="s">
        <v>14</v>
      </c>
      <c r="D6" s="9" t="s">
        <v>12</v>
      </c>
      <c r="E6" s="9" t="s">
        <v>18</v>
      </c>
      <c r="F6" s="10">
        <v>46274</v>
      </c>
      <c r="G6" s="10">
        <v>46281</v>
      </c>
      <c r="H6" s="11">
        <v>2</v>
      </c>
      <c r="I6" s="12">
        <v>55</v>
      </c>
      <c r="J6" t="str">
        <f>IF(OR(B6="",C6=""),"",B6&amp;"-"&amp;COUNTIFS($B$5:B6,B6,$C$5:C6,"&lt;&gt;"))</f>
        <v>1-2</v>
      </c>
    </row>
    <row r="7" spans="1:12" ht="21" customHeight="1" x14ac:dyDescent="0.15">
      <c r="A7" s="8">
        <v>3</v>
      </c>
      <c r="B7" s="8">
        <v>1</v>
      </c>
      <c r="C7" s="9" t="s">
        <v>15</v>
      </c>
      <c r="D7" s="9" t="s">
        <v>12</v>
      </c>
      <c r="E7" s="9" t="s">
        <v>13</v>
      </c>
      <c r="F7" s="10">
        <v>46274</v>
      </c>
      <c r="G7" s="10">
        <v>46283</v>
      </c>
      <c r="H7" s="11">
        <v>1</v>
      </c>
      <c r="I7" s="12">
        <v>15</v>
      </c>
      <c r="J7" t="str">
        <f>IF(OR(B7="",C7=""),"",B7&amp;"-"&amp;COUNTIFS($B$5:B7,B7,$C$5:C7,"&lt;&gt;"))</f>
        <v>1-3</v>
      </c>
    </row>
    <row r="8" spans="1:12" ht="21" customHeight="1" x14ac:dyDescent="0.15">
      <c r="A8" s="8">
        <v>4</v>
      </c>
      <c r="B8" s="8">
        <v>2</v>
      </c>
      <c r="C8" s="9" t="s">
        <v>56</v>
      </c>
      <c r="D8" s="9" t="s">
        <v>17</v>
      </c>
      <c r="E8" s="9" t="s">
        <v>13</v>
      </c>
      <c r="F8" s="10">
        <v>46288</v>
      </c>
      <c r="G8" s="10">
        <v>46293</v>
      </c>
      <c r="H8" s="11">
        <v>2.5</v>
      </c>
      <c r="I8" s="12">
        <v>45</v>
      </c>
      <c r="J8" t="str">
        <f>IF(OR(B8="",C8=""),"",B8&amp;"-"&amp;COUNTIFS($B$5:B8,B8,$C$5:C8,"&lt;&gt;"))</f>
        <v>2-1</v>
      </c>
    </row>
    <row r="9" spans="1:12" ht="21" customHeight="1" x14ac:dyDescent="0.15">
      <c r="A9" s="8">
        <v>5</v>
      </c>
      <c r="B9" s="8">
        <v>2</v>
      </c>
      <c r="C9" s="9" t="s">
        <v>16</v>
      </c>
      <c r="D9" s="9" t="s">
        <v>17</v>
      </c>
      <c r="E9" s="9" t="s">
        <v>18</v>
      </c>
      <c r="F9" s="10">
        <v>46288</v>
      </c>
      <c r="G9" s="10">
        <v>46288</v>
      </c>
      <c r="H9" s="11">
        <v>2</v>
      </c>
      <c r="I9" s="12">
        <v>45</v>
      </c>
      <c r="J9" t="str">
        <f>IF(OR(B9="",C9=""),"",B9&amp;"-"&amp;COUNTIFS($B$5:B9,B9,$C$5:C9,"&lt;&gt;"))</f>
        <v>2-2</v>
      </c>
    </row>
    <row r="10" spans="1:12" ht="21" customHeight="1" x14ac:dyDescent="0.15">
      <c r="A10" s="8">
        <v>6</v>
      </c>
      <c r="B10" s="8">
        <v>2</v>
      </c>
      <c r="C10" s="9" t="s">
        <v>65</v>
      </c>
      <c r="D10" s="9" t="s">
        <v>17</v>
      </c>
      <c r="E10" s="9" t="s">
        <v>13</v>
      </c>
      <c r="F10" s="10">
        <v>46288</v>
      </c>
      <c r="G10" s="10">
        <v>46295</v>
      </c>
      <c r="H10" s="11">
        <v>3</v>
      </c>
      <c r="I10" s="12">
        <v>50</v>
      </c>
      <c r="J10" t="str">
        <f>IF(OR(B10="",C10=""),"",B10&amp;"-"&amp;COUNTIFS($B$5:B10,B10,$C$5:C10,"&lt;&gt;"))</f>
        <v>2-3</v>
      </c>
    </row>
    <row r="11" spans="1:12" ht="21" customHeight="1" x14ac:dyDescent="0.15">
      <c r="A11" s="8">
        <v>7</v>
      </c>
      <c r="B11" s="8">
        <v>3</v>
      </c>
      <c r="C11" s="9" t="s">
        <v>59</v>
      </c>
      <c r="D11" s="9" t="s">
        <v>17</v>
      </c>
      <c r="E11" s="9" t="s">
        <v>68</v>
      </c>
      <c r="F11" s="10">
        <v>46302</v>
      </c>
      <c r="G11" s="10">
        <v>46309</v>
      </c>
      <c r="H11" s="11">
        <v>2</v>
      </c>
      <c r="I11" s="12">
        <v>75</v>
      </c>
      <c r="J11" t="str">
        <f>IF(OR(B11="",C11=""),"",B11&amp;"-"&amp;COUNTIFS($B$5:B11,B11,$C$5:C11,"&lt;&gt;"))</f>
        <v>3-1</v>
      </c>
    </row>
    <row r="12" spans="1:12" ht="21" customHeight="1" x14ac:dyDescent="0.15">
      <c r="A12" s="8">
        <v>8</v>
      </c>
      <c r="B12" s="8">
        <v>3</v>
      </c>
      <c r="C12" s="9" t="s">
        <v>66</v>
      </c>
      <c r="D12" s="9" t="s">
        <v>17</v>
      </c>
      <c r="E12" s="9" t="s">
        <v>18</v>
      </c>
      <c r="F12" s="10">
        <v>46302</v>
      </c>
      <c r="G12" s="10">
        <v>46309</v>
      </c>
      <c r="H12" s="11">
        <v>3</v>
      </c>
      <c r="I12" s="12">
        <v>50</v>
      </c>
      <c r="J12" t="str">
        <f>IF(OR(B12="",C12=""),"",B12&amp;"-"&amp;COUNTIFS($B$5:B12,B12,$C$5:C12,"&lt;&gt;"))</f>
        <v>3-2</v>
      </c>
    </row>
    <row r="13" spans="1:12" ht="21" customHeight="1" x14ac:dyDescent="0.15">
      <c r="A13" s="8">
        <v>9</v>
      </c>
      <c r="B13" s="8">
        <v>3</v>
      </c>
      <c r="C13" s="9" t="s">
        <v>67</v>
      </c>
      <c r="D13" s="9" t="s">
        <v>17</v>
      </c>
      <c r="E13" s="9" t="s">
        <v>13</v>
      </c>
      <c r="F13" s="10">
        <v>46302</v>
      </c>
      <c r="G13" s="10">
        <v>46304</v>
      </c>
      <c r="H13" s="11">
        <v>1.5</v>
      </c>
      <c r="I13" s="12">
        <v>35</v>
      </c>
      <c r="J13" t="str">
        <f>IF(OR(B13="",C13=""),"",B13&amp;"-"&amp;COUNTIFS($B$5:B13,B13,$C$5:C13,"&lt;&gt;"))</f>
        <v>3-3</v>
      </c>
    </row>
    <row r="14" spans="1:12" ht="21" customHeight="1" x14ac:dyDescent="0.15">
      <c r="A14" s="8"/>
      <c r="B14" s="8"/>
      <c r="C14" s="9" t="s">
        <v>58</v>
      </c>
      <c r="D14" s="9" t="s">
        <v>57</v>
      </c>
      <c r="E14" s="9"/>
      <c r="F14" s="10"/>
      <c r="G14" s="10"/>
      <c r="H14" s="11"/>
      <c r="I14" s="12">
        <v>150</v>
      </c>
      <c r="J14" t="str">
        <f>IF(OR(B14="",C14=""),"",B14&amp;"-"&amp;COUNTIFS($B$5:B14,B14,$C$5:C14,"&lt;&gt;"))</f>
        <v/>
      </c>
    </row>
    <row r="15" spans="1:12" ht="21" customHeight="1" x14ac:dyDescent="0.15">
      <c r="A15" s="8"/>
      <c r="B15" s="8"/>
      <c r="C15" s="9" t="s">
        <v>64</v>
      </c>
      <c r="D15" s="9" t="s">
        <v>57</v>
      </c>
      <c r="E15" s="9"/>
      <c r="F15" s="10"/>
      <c r="G15" s="10"/>
      <c r="H15" s="11"/>
      <c r="I15" s="12">
        <v>200</v>
      </c>
      <c r="J15" t="str">
        <f>IF(OR(B15="",C15=""),"",B15&amp;"-"&amp;COUNTIFS($B$5:B15,B15,$C$5:C15,"&lt;&gt;"))</f>
        <v/>
      </c>
    </row>
    <row r="16" spans="1:12" ht="21" customHeight="1" x14ac:dyDescent="0.15">
      <c r="A16" s="8"/>
      <c r="B16" s="8"/>
      <c r="C16" s="9" t="s">
        <v>69</v>
      </c>
      <c r="D16" s="9" t="s">
        <v>57</v>
      </c>
      <c r="E16" s="9"/>
      <c r="F16" s="10"/>
      <c r="G16" s="10"/>
      <c r="H16" s="11"/>
      <c r="I16" s="12">
        <v>150</v>
      </c>
      <c r="J16" t="str">
        <f>IF(OR(B16="",C16=""),"",B16&amp;"-"&amp;COUNTIFS($B$5:B16,B16,$C$5:C16,"&lt;&gt;"))</f>
        <v/>
      </c>
      <c r="L16" s="13"/>
    </row>
    <row r="17" spans="1:10" ht="20" customHeight="1" x14ac:dyDescent="0.15">
      <c r="A17" s="8"/>
      <c r="B17" s="8"/>
      <c r="C17" s="9" t="s">
        <v>60</v>
      </c>
      <c r="D17" s="9" t="s">
        <v>57</v>
      </c>
      <c r="E17" s="9"/>
      <c r="F17" s="10"/>
      <c r="G17" s="10"/>
      <c r="H17" s="11"/>
      <c r="I17" s="12">
        <v>50</v>
      </c>
      <c r="J17" t="str">
        <f>IF(OR(B17="",C17=""),"",B17&amp;"-"&amp;COUNTIFS($B$5:B17,B17,$C$5:C17,"&lt;&gt;"))</f>
        <v/>
      </c>
    </row>
    <row r="18" spans="1:10" ht="33" customHeight="1" x14ac:dyDescent="0.15">
      <c r="A18" s="8"/>
      <c r="B18" s="8"/>
      <c r="C18" s="9" t="s">
        <v>61</v>
      </c>
      <c r="D18" s="9" t="s">
        <v>57</v>
      </c>
      <c r="E18" s="9"/>
      <c r="F18" s="10"/>
      <c r="G18" s="10"/>
      <c r="H18" s="11"/>
      <c r="I18" s="12">
        <v>10</v>
      </c>
      <c r="J18" t="str">
        <f>IF(OR(B18="",C18=""),"",B18&amp;"-"&amp;COUNTIFS($B$5:B18,B18,$C$5:C18,"&lt;&gt;"))</f>
        <v/>
      </c>
    </row>
    <row r="19" spans="1:10" ht="21" customHeight="1" x14ac:dyDescent="0.15">
      <c r="A19" s="8"/>
      <c r="B19" s="8"/>
      <c r="C19" s="9" t="s">
        <v>62</v>
      </c>
      <c r="D19" s="9" t="s">
        <v>57</v>
      </c>
      <c r="E19" s="9"/>
      <c r="F19" s="10"/>
      <c r="G19" s="10"/>
      <c r="H19" s="11"/>
      <c r="I19" s="12">
        <v>35</v>
      </c>
      <c r="J19" t="str">
        <f>IF(OR(B19="",C19=""),"",B19&amp;"-"&amp;COUNTIFS($B$5:B19,B19,$C$5:C19,"&lt;&gt;"))</f>
        <v/>
      </c>
    </row>
    <row r="20" spans="1:10" ht="21" customHeight="1" x14ac:dyDescent="0.15">
      <c r="A20" s="8"/>
      <c r="B20" s="8"/>
      <c r="C20" s="9" t="s">
        <v>63</v>
      </c>
      <c r="D20" s="9" t="s">
        <v>57</v>
      </c>
      <c r="E20" s="9"/>
      <c r="F20" s="10"/>
      <c r="G20" s="10"/>
      <c r="H20" s="11"/>
      <c r="I20" s="12">
        <v>15</v>
      </c>
      <c r="J20" t="str">
        <f>IF(OR(B20="",C20=""),"",B20&amp;"-"&amp;COUNTIFS($B$5:B20,B20,$C$5:C20,"&lt;&gt;"))</f>
        <v/>
      </c>
    </row>
    <row r="21" spans="1:10" ht="21" customHeight="1" x14ac:dyDescent="0.15">
      <c r="A21" s="8"/>
      <c r="B21" s="8"/>
      <c r="C21" s="4"/>
      <c r="D21" s="9"/>
      <c r="E21" s="9"/>
      <c r="F21" s="10"/>
      <c r="G21" s="10"/>
      <c r="H21" s="11"/>
      <c r="I21" s="12"/>
      <c r="J21" t="str">
        <f>IF(OR(B21="",C21=""),"",B21&amp;"-"&amp;COUNTIFS($B$5:B21,B21,$C$5:C21,"&lt;&gt;"))</f>
        <v/>
      </c>
    </row>
    <row r="22" spans="1:10" ht="21" customHeight="1" x14ac:dyDescent="0.15">
      <c r="A22" s="8"/>
      <c r="B22" s="8"/>
      <c r="C22" s="9"/>
      <c r="D22" s="9"/>
      <c r="E22" s="9"/>
      <c r="F22" s="10"/>
      <c r="G22" s="10"/>
      <c r="H22" s="11"/>
      <c r="I22" s="12"/>
      <c r="J22" t="str">
        <f>IF(OR(B22="",C22=""),"",B22&amp;"-"&amp;COUNTIFS($B$5:B22,B22,$C$5:C22,"&lt;&gt;"))</f>
        <v/>
      </c>
    </row>
    <row r="23" spans="1:10" ht="21" customHeight="1" x14ac:dyDescent="0.15">
      <c r="A23" s="8"/>
      <c r="B23" s="8"/>
      <c r="C23" s="9"/>
      <c r="D23" s="9"/>
      <c r="E23" s="9"/>
      <c r="F23" s="10"/>
      <c r="G23" s="10"/>
      <c r="H23" s="11"/>
      <c r="I23" s="12"/>
      <c r="J23" t="str">
        <f>IF(OR(B23="",C23=""),"",B23&amp;"-"&amp;COUNTIFS($B$5:B23,B23,$C$5:C23,"&lt;&gt;"))</f>
        <v/>
      </c>
    </row>
    <row r="24" spans="1:10" ht="21" customHeight="1" x14ac:dyDescent="0.15">
      <c r="A24" s="8"/>
      <c r="B24" s="8"/>
      <c r="C24" s="9"/>
      <c r="D24" s="9"/>
      <c r="E24" s="9"/>
      <c r="F24" s="10"/>
      <c r="G24" s="10"/>
      <c r="H24" s="11"/>
      <c r="I24" s="12"/>
      <c r="J24" t="str">
        <f>IF(OR(B24="",C24=""),"",B24&amp;"-"&amp;COUNTIFS($B$5:B24,B24,$C$5:C24,"&lt;&gt;"))</f>
        <v/>
      </c>
    </row>
    <row r="25" spans="1:10" ht="21" customHeight="1" x14ac:dyDescent="0.15">
      <c r="A25" s="8"/>
      <c r="B25" s="8"/>
      <c r="C25" s="9"/>
      <c r="D25" s="9"/>
      <c r="E25" s="9"/>
      <c r="F25" s="10"/>
      <c r="G25" s="10"/>
      <c r="H25" s="11"/>
      <c r="I25" s="12"/>
      <c r="J25" t="str">
        <f>IF(OR(B25="",C25=""),"",B25&amp;"-"&amp;COUNTIFS($B$5:B25,B25,$C$5:C25,"&lt;&gt;"))</f>
        <v/>
      </c>
    </row>
    <row r="26" spans="1:10" ht="21" customHeight="1" x14ac:dyDescent="0.15">
      <c r="A26" s="8"/>
      <c r="B26" s="8"/>
      <c r="C26" s="9"/>
      <c r="D26" s="9"/>
      <c r="E26" s="9"/>
      <c r="F26" s="10"/>
      <c r="G26" s="10"/>
      <c r="H26" s="11"/>
      <c r="I26" s="12"/>
      <c r="J26" t="str">
        <f>IF(OR(B26="",C26=""),"",B26&amp;"-"&amp;COUNTIFS($B$5:B26,B26,$C$5:C26,"&lt;&gt;"))</f>
        <v/>
      </c>
    </row>
    <row r="27" spans="1:10" ht="21" customHeight="1" x14ac:dyDescent="0.15">
      <c r="A27" s="8"/>
      <c r="B27" s="8"/>
      <c r="C27" s="9"/>
      <c r="D27" s="9"/>
      <c r="E27" s="9"/>
      <c r="F27" s="10"/>
      <c r="G27" s="10"/>
      <c r="H27" s="11"/>
      <c r="I27" s="12"/>
      <c r="J27" t="str">
        <f>IF(OR(B27="",C27=""),"",B27&amp;"-"&amp;COUNTIFS($B$5:B27,B27,$C$5:C27,"&lt;&gt;"))</f>
        <v/>
      </c>
    </row>
    <row r="28" spans="1:10" ht="21" customHeight="1" x14ac:dyDescent="0.15">
      <c r="A28" s="8"/>
      <c r="B28" s="14"/>
      <c r="C28" s="9"/>
      <c r="D28" s="9"/>
      <c r="E28" s="9"/>
      <c r="F28" s="10"/>
      <c r="G28" s="10"/>
      <c r="H28" s="11"/>
      <c r="I28" s="12"/>
      <c r="J28" t="str">
        <f>IF(OR(B28="",C28=""),"",B28&amp;"-"&amp;COUNTIFS($B$5:B28,B28,$C$5:C28,"&lt;&gt;"))</f>
        <v/>
      </c>
    </row>
    <row r="29" spans="1:10" ht="21" customHeight="1" x14ac:dyDescent="0.15">
      <c r="A29" s="8"/>
      <c r="B29" s="14"/>
      <c r="C29" s="9"/>
      <c r="D29" s="9"/>
      <c r="E29" s="9"/>
      <c r="F29" s="10"/>
      <c r="G29" s="10"/>
      <c r="H29" s="11"/>
      <c r="I29" s="12"/>
      <c r="J29" t="str">
        <f>IF(OR(B29="",C29=""),"",B29&amp;"-"&amp;COUNTIFS($B$5:B29,B29,$C$5:C29,"&lt;&gt;"))</f>
        <v/>
      </c>
    </row>
    <row r="30" spans="1:10" ht="21" customHeight="1" x14ac:dyDescent="0.15">
      <c r="A30" s="8"/>
      <c r="B30" s="14"/>
      <c r="C30" s="9"/>
      <c r="D30" s="9"/>
      <c r="E30" s="9"/>
      <c r="F30" s="10"/>
      <c r="G30" s="10"/>
      <c r="H30" s="11"/>
      <c r="I30" s="12"/>
      <c r="J30" t="str">
        <f>IF(OR(B30="",C30=""),"",B30&amp;"-"&amp;COUNTIFS($B$5:B30,B30,$C$5:C30,"&lt;&gt;"))</f>
        <v/>
      </c>
    </row>
    <row r="31" spans="1:10" ht="21" customHeight="1" x14ac:dyDescent="0.15">
      <c r="A31" s="14"/>
      <c r="B31" s="14"/>
      <c r="C31" s="9"/>
      <c r="D31" s="9"/>
      <c r="E31" s="9"/>
      <c r="F31" s="10"/>
      <c r="G31" s="10"/>
      <c r="H31" s="11"/>
      <c r="I31" s="12"/>
      <c r="J31" t="str">
        <f>IF(OR(B31="",C31=""),"",B31&amp;"-"&amp;COUNTIFS($B$5:B31,B31,$C$5:C31,"&lt;&gt;"))</f>
        <v/>
      </c>
    </row>
    <row r="32" spans="1:10" ht="21" customHeight="1" x14ac:dyDescent="0.15">
      <c r="A32" s="14"/>
      <c r="B32" s="14"/>
      <c r="C32" s="9"/>
      <c r="D32" s="9"/>
      <c r="E32" s="9"/>
      <c r="F32" s="10"/>
      <c r="G32" s="10"/>
      <c r="H32" s="11"/>
      <c r="I32" s="12"/>
      <c r="J32" t="str">
        <f>IF(OR(B32="",C32=""),"",B32&amp;"-"&amp;COUNTIFS($B$5:B32,B32,$C$5:C32,"&lt;&gt;"))</f>
        <v/>
      </c>
    </row>
    <row r="33" spans="1:10" ht="21" customHeight="1" x14ac:dyDescent="0.15">
      <c r="A33" s="14"/>
      <c r="B33" s="14"/>
      <c r="C33" s="9"/>
      <c r="D33" s="9"/>
      <c r="E33" s="9"/>
      <c r="F33" s="10"/>
      <c r="G33" s="10"/>
      <c r="H33" s="11"/>
      <c r="I33" s="12"/>
      <c r="J33" t="str">
        <f>IF(OR(B33="",C33=""),"",B33&amp;"-"&amp;COUNTIFS($B$5:B33,B33,$C$5:C33,"&lt;&gt;"))</f>
        <v/>
      </c>
    </row>
    <row r="34" spans="1:10" ht="21" customHeight="1" x14ac:dyDescent="0.15">
      <c r="A34" s="14"/>
      <c r="B34" s="14"/>
      <c r="C34" s="9"/>
      <c r="D34" s="9"/>
      <c r="E34" s="9"/>
      <c r="F34" s="10"/>
      <c r="G34" s="10"/>
      <c r="H34" s="11"/>
      <c r="I34" s="12"/>
      <c r="J34" t="str">
        <f>IF(OR(B34="",C34=""),"",B34&amp;"-"&amp;COUNTIFS($B$5:B34,B34,$C$5:C34,"&lt;&gt;"))</f>
        <v/>
      </c>
    </row>
    <row r="35" spans="1:10" ht="21" customHeight="1" x14ac:dyDescent="0.15">
      <c r="A35" s="14"/>
      <c r="B35" s="14"/>
      <c r="C35" s="9"/>
      <c r="D35" s="9"/>
      <c r="E35" s="9"/>
      <c r="F35" s="10"/>
      <c r="G35" s="10"/>
      <c r="H35" s="11"/>
      <c r="I35" s="12"/>
      <c r="J35" t="str">
        <f>IF(OR(B35="",C35=""),"",B35&amp;"-"&amp;COUNTIFS($B$5:B35,B35,$C$5:C35,"&lt;&gt;"))</f>
        <v/>
      </c>
    </row>
    <row r="36" spans="1:10" ht="21" customHeight="1" x14ac:dyDescent="0.15">
      <c r="A36" s="14"/>
      <c r="B36" s="14"/>
      <c r="C36" s="9"/>
      <c r="D36" s="9"/>
      <c r="E36" s="9"/>
      <c r="F36" s="10"/>
      <c r="G36" s="10"/>
      <c r="H36" s="11"/>
      <c r="I36" s="12"/>
      <c r="J36" t="str">
        <f>IF(OR(B36="",C36=""),"",B36&amp;"-"&amp;COUNTIFS($B$5:B36,B36,$C$5:C36,"&lt;&gt;"))</f>
        <v/>
      </c>
    </row>
    <row r="37" spans="1:10" ht="21" customHeight="1" x14ac:dyDescent="0.15">
      <c r="A37" s="14"/>
      <c r="B37" s="14"/>
      <c r="C37" s="9"/>
      <c r="D37" s="9"/>
      <c r="E37" s="9"/>
      <c r="F37" s="10"/>
      <c r="G37" s="10"/>
      <c r="H37" s="11"/>
      <c r="I37" s="12"/>
      <c r="J37" t="str">
        <f>IF(OR(B37="",C37=""),"",B37&amp;"-"&amp;COUNTIFS($B$5:B37,B37,$C$5:C37,"&lt;&gt;"))</f>
        <v/>
      </c>
    </row>
    <row r="38" spans="1:10" ht="21" customHeight="1" x14ac:dyDescent="0.15">
      <c r="A38" s="14"/>
      <c r="B38" s="14"/>
      <c r="C38" s="9"/>
      <c r="D38" s="9"/>
      <c r="E38" s="9"/>
      <c r="F38" s="10"/>
      <c r="G38" s="10"/>
      <c r="H38" s="11"/>
      <c r="I38" s="12"/>
      <c r="J38" t="str">
        <f>IF(OR(B38="",C38=""),"",B38&amp;"-"&amp;COUNTIFS($B$5:B38,B38,$C$5:C38,"&lt;&gt;"))</f>
        <v/>
      </c>
    </row>
    <row r="39" spans="1:10" ht="21" customHeight="1" x14ac:dyDescent="0.15">
      <c r="A39" s="14"/>
      <c r="B39" s="14"/>
      <c r="C39" s="9"/>
      <c r="D39" s="9"/>
      <c r="E39" s="9"/>
      <c r="F39" s="10"/>
      <c r="G39" s="10"/>
      <c r="H39" s="11"/>
      <c r="I39" s="12"/>
      <c r="J39" t="str">
        <f>IF(OR(B39="",C39=""),"",B39&amp;"-"&amp;COUNTIFS($B$5:B39,B39,$C$5:C39,"&lt;&gt;"))</f>
        <v/>
      </c>
    </row>
    <row r="40" spans="1:10" ht="21" customHeight="1" x14ac:dyDescent="0.15">
      <c r="A40" s="14"/>
      <c r="B40" s="14"/>
      <c r="C40" s="9"/>
      <c r="D40" s="9"/>
      <c r="E40" s="9"/>
      <c r="F40" s="10"/>
      <c r="G40" s="10"/>
      <c r="H40" s="11"/>
      <c r="I40" s="12"/>
      <c r="J40" t="str">
        <f>IF(OR(B40="",C40=""),"",B40&amp;"-"&amp;COUNTIFS($B$5:B40,B40,$C$5:C40,"&lt;&gt;"))</f>
        <v/>
      </c>
    </row>
    <row r="41" spans="1:10" ht="21" customHeight="1" x14ac:dyDescent="0.15">
      <c r="A41" s="14"/>
      <c r="B41" s="14"/>
      <c r="C41" s="9"/>
      <c r="D41" s="9"/>
      <c r="E41" s="9"/>
      <c r="F41" s="10"/>
      <c r="G41" s="10"/>
      <c r="H41" s="11"/>
      <c r="I41" s="12"/>
      <c r="J41" t="str">
        <f>IF(OR(B41="",C41=""),"",B41&amp;"-"&amp;COUNTIFS($B$5:B41,B41,$C$5:C41,"&lt;&gt;"))</f>
        <v/>
      </c>
    </row>
    <row r="42" spans="1:10" ht="21" customHeight="1" x14ac:dyDescent="0.15">
      <c r="A42" s="14"/>
      <c r="B42" s="14"/>
      <c r="C42" s="9"/>
      <c r="D42" s="9"/>
      <c r="E42" s="9"/>
      <c r="F42" s="10"/>
      <c r="G42" s="10"/>
      <c r="H42" s="11"/>
      <c r="I42" s="12"/>
      <c r="J42" t="str">
        <f>IF(OR(B42="",C42=""),"",B42&amp;"-"&amp;COUNTIFS($B$5:B42,B42,$C$5:C42,"&lt;&gt;"))</f>
        <v/>
      </c>
    </row>
    <row r="43" spans="1:10" ht="21" customHeight="1" x14ac:dyDescent="0.15">
      <c r="A43" s="14"/>
      <c r="B43" s="14"/>
      <c r="C43" s="9"/>
      <c r="D43" s="9"/>
      <c r="E43" s="9"/>
      <c r="F43" s="10"/>
      <c r="G43" s="10"/>
      <c r="H43" s="11"/>
      <c r="I43" s="12"/>
      <c r="J43" t="str">
        <f>IF(OR(B43="",C43=""),"",B43&amp;"-"&amp;COUNTIFS($B$5:B43,B43,$C$5:C43,"&lt;&gt;"))</f>
        <v/>
      </c>
    </row>
    <row r="44" spans="1:10" ht="21" customHeight="1" x14ac:dyDescent="0.15">
      <c r="A44" s="14"/>
      <c r="B44" s="14"/>
      <c r="C44" s="9"/>
      <c r="D44" s="9"/>
      <c r="E44" s="9"/>
      <c r="F44" s="10"/>
      <c r="G44" s="10"/>
      <c r="H44" s="11"/>
      <c r="I44" s="12"/>
      <c r="J44" t="str">
        <f>IF(OR(B44="",C44=""),"",B44&amp;"-"&amp;COUNTIFS($B$5:B44,B44,$C$5:C44,"&lt;&gt;"))</f>
        <v/>
      </c>
    </row>
    <row r="45" spans="1:10" ht="21" customHeight="1" x14ac:dyDescent="0.15">
      <c r="A45" s="14"/>
      <c r="B45" s="14"/>
      <c r="C45" s="9"/>
      <c r="D45" s="9"/>
      <c r="E45" s="9"/>
      <c r="F45" s="10"/>
      <c r="G45" s="10"/>
      <c r="H45" s="11"/>
      <c r="I45" s="12"/>
      <c r="J45" t="str">
        <f>IF(OR(B45="",C45=""),"",B45&amp;"-"&amp;COUNTIFS($B$5:B45,B45,$C$5:C45,"&lt;&gt;"))</f>
        <v/>
      </c>
    </row>
    <row r="46" spans="1:10" ht="21" customHeight="1" x14ac:dyDescent="0.15">
      <c r="A46" s="14"/>
      <c r="B46" s="14"/>
      <c r="C46" s="9"/>
      <c r="D46" s="9"/>
      <c r="E46" s="9"/>
      <c r="F46" s="10"/>
      <c r="G46" s="10"/>
      <c r="H46" s="11"/>
      <c r="I46" s="12"/>
      <c r="J46" t="str">
        <f>IF(OR(B46="",C46=""),"",B46&amp;"-"&amp;COUNTIFS($B$5:B46,B46,$C$5:C46,"&lt;&gt;"))</f>
        <v/>
      </c>
    </row>
    <row r="47" spans="1:10" ht="21" customHeight="1" x14ac:dyDescent="0.15">
      <c r="A47" s="14"/>
      <c r="B47" s="14"/>
      <c r="C47" s="9"/>
      <c r="D47" s="9"/>
      <c r="E47" s="9"/>
      <c r="F47" s="10"/>
      <c r="G47" s="10"/>
      <c r="H47" s="11"/>
      <c r="I47" s="12"/>
      <c r="J47" t="str">
        <f>IF(OR(B47="",C47=""),"",B47&amp;"-"&amp;COUNTIFS($B$5:B47,B47,$C$5:C47,"&lt;&gt;"))</f>
        <v/>
      </c>
    </row>
    <row r="48" spans="1:10" ht="21" customHeight="1" x14ac:dyDescent="0.15">
      <c r="A48" s="14"/>
      <c r="B48" s="14"/>
      <c r="C48" s="9"/>
      <c r="D48" s="9"/>
      <c r="E48" s="9"/>
      <c r="F48" s="10"/>
      <c r="G48" s="10"/>
      <c r="H48" s="11"/>
      <c r="I48" s="12"/>
      <c r="J48" t="str">
        <f>IF(OR(B48="",C48=""),"",B48&amp;"-"&amp;COUNTIFS($B$5:B48,B48,$C$5:C48,"&lt;&gt;"))</f>
        <v/>
      </c>
    </row>
    <row r="49" spans="1:10" ht="21" customHeight="1" x14ac:dyDescent="0.15">
      <c r="A49" s="14"/>
      <c r="B49" s="14"/>
      <c r="C49" s="9"/>
      <c r="D49" s="9"/>
      <c r="E49" s="9"/>
      <c r="F49" s="10"/>
      <c r="G49" s="10"/>
      <c r="H49" s="11"/>
      <c r="I49" s="12"/>
      <c r="J49" t="str">
        <f>IF(OR(B49="",C49=""),"",B49&amp;"-"&amp;COUNTIFS($B$5:B49,B49,$C$5:C49,"&lt;&gt;"))</f>
        <v/>
      </c>
    </row>
    <row r="50" spans="1:10" ht="21" customHeight="1" x14ac:dyDescent="0.15">
      <c r="A50" s="14"/>
      <c r="B50" s="14"/>
      <c r="C50" s="9"/>
      <c r="D50" s="9"/>
      <c r="E50" s="9"/>
      <c r="F50" s="10"/>
      <c r="G50" s="10"/>
      <c r="H50" s="11"/>
      <c r="I50" s="12"/>
      <c r="J50" t="str">
        <f>IF(OR(B50="",C50=""),"",B50&amp;"-"&amp;COUNTIFS($B$5:B50,B50,$C$5:C50,"&lt;&gt;"))</f>
        <v/>
      </c>
    </row>
    <row r="51" spans="1:10" ht="21" customHeight="1" x14ac:dyDescent="0.15">
      <c r="A51" s="14"/>
      <c r="B51" s="14"/>
      <c r="C51" s="9"/>
      <c r="D51" s="9"/>
      <c r="E51" s="9"/>
      <c r="F51" s="10"/>
      <c r="G51" s="10"/>
      <c r="H51" s="11"/>
      <c r="I51" s="12"/>
      <c r="J51" t="str">
        <f>IF(OR(B51="",C51=""),"",B51&amp;"-"&amp;COUNTIFS($B$5:B51,B51,$C$5:C51,"&lt;&gt;"))</f>
        <v/>
      </c>
    </row>
    <row r="52" spans="1:10" ht="21" customHeight="1" x14ac:dyDescent="0.15">
      <c r="A52" s="14"/>
      <c r="B52" s="14"/>
      <c r="C52" s="9"/>
      <c r="D52" s="9"/>
      <c r="E52" s="9"/>
      <c r="F52" s="10"/>
      <c r="G52" s="10"/>
      <c r="H52" s="11"/>
      <c r="I52" s="12"/>
      <c r="J52" t="str">
        <f>IF(OR(B52="",C52=""),"",B52&amp;"-"&amp;COUNTIFS($B$5:B52,B52,$C$5:C52,"&lt;&gt;"))</f>
        <v/>
      </c>
    </row>
    <row r="53" spans="1:10" ht="21" customHeight="1" x14ac:dyDescent="0.15">
      <c r="A53" s="14"/>
      <c r="B53" s="14"/>
      <c r="C53" s="9"/>
      <c r="D53" s="9"/>
      <c r="E53" s="9"/>
      <c r="F53" s="10"/>
      <c r="G53" s="10"/>
      <c r="H53" s="11"/>
      <c r="I53" s="12"/>
      <c r="J53" t="str">
        <f>IF(OR(B53="",C53=""),"",B53&amp;"-"&amp;COUNTIFS($B$5:B53,B53,$C$5:C53,"&lt;&gt;"))</f>
        <v/>
      </c>
    </row>
    <row r="54" spans="1:10" ht="21" customHeight="1" x14ac:dyDescent="0.15">
      <c r="A54" s="14"/>
      <c r="B54" s="14"/>
      <c r="C54" s="9"/>
      <c r="D54" s="9"/>
      <c r="E54" s="9"/>
      <c r="F54" s="10"/>
      <c r="G54" s="10"/>
      <c r="H54" s="11"/>
      <c r="I54" s="12"/>
      <c r="J54" t="str">
        <f>IF(OR(B54="",C54=""),"",B54&amp;"-"&amp;COUNTIFS($B$5:B54,B54,$C$5:C54,"&lt;&gt;"))</f>
        <v/>
      </c>
    </row>
    <row r="55" spans="1:10" ht="21" customHeight="1" x14ac:dyDescent="0.15">
      <c r="A55" s="14"/>
      <c r="B55" s="14"/>
      <c r="C55" s="9"/>
      <c r="D55" s="9"/>
      <c r="E55" s="9"/>
      <c r="F55" s="10"/>
      <c r="G55" s="10"/>
      <c r="H55" s="11"/>
      <c r="I55" s="12"/>
      <c r="J55" t="str">
        <f>IF(OR(B55="",C55=""),"",B55&amp;"-"&amp;COUNTIFS($B$5:B55,B55,$C$5:C55,"&lt;&gt;"))</f>
        <v/>
      </c>
    </row>
    <row r="56" spans="1:10" ht="21" customHeight="1" x14ac:dyDescent="0.15">
      <c r="A56" s="14"/>
      <c r="B56" s="14"/>
      <c r="C56" s="9"/>
      <c r="D56" s="9"/>
      <c r="E56" s="9"/>
      <c r="F56" s="10"/>
      <c r="G56" s="10"/>
      <c r="H56" s="11"/>
      <c r="I56" s="12"/>
      <c r="J56" t="str">
        <f>IF(OR(B56="",C56=""),"",B56&amp;"-"&amp;COUNTIFS($B$5:B56,B56,$C$5:C56,"&lt;&gt;"))</f>
        <v/>
      </c>
    </row>
    <row r="57" spans="1:10" ht="21" customHeight="1" x14ac:dyDescent="0.15">
      <c r="A57" s="14"/>
      <c r="B57" s="14"/>
      <c r="C57" s="9"/>
      <c r="D57" s="9"/>
      <c r="E57" s="9"/>
      <c r="F57" s="10"/>
      <c r="G57" s="10"/>
      <c r="H57" s="11"/>
      <c r="I57" s="12"/>
      <c r="J57" t="str">
        <f>IF(OR(B57="",C57=""),"",B57&amp;"-"&amp;COUNTIFS($B$5:B57,B57,$C$5:C57,"&lt;&gt;"))</f>
        <v/>
      </c>
    </row>
    <row r="58" spans="1:10" ht="21" customHeight="1" x14ac:dyDescent="0.15">
      <c r="A58" s="14"/>
      <c r="B58" s="14"/>
      <c r="C58" s="9"/>
      <c r="D58" s="9"/>
      <c r="E58" s="9"/>
      <c r="F58" s="10"/>
      <c r="G58" s="10"/>
      <c r="H58" s="11"/>
      <c r="I58" s="12"/>
      <c r="J58" t="str">
        <f>IF(OR(B58="",C58=""),"",B58&amp;"-"&amp;COUNTIFS($B$5:B58,B58,$C$5:C58,"&lt;&gt;"))</f>
        <v/>
      </c>
    </row>
    <row r="59" spans="1:10" ht="21" customHeight="1" x14ac:dyDescent="0.15">
      <c r="A59" s="14"/>
      <c r="B59" s="14"/>
      <c r="C59" s="9"/>
      <c r="D59" s="9"/>
      <c r="E59" s="9"/>
      <c r="F59" s="10"/>
      <c r="G59" s="10"/>
      <c r="H59" s="11"/>
      <c r="I59" s="12"/>
      <c r="J59" t="str">
        <f>IF(OR(B59="",C59=""),"",B59&amp;"-"&amp;COUNTIFS($B$5:B59,B59,$C$5:C59,"&lt;&gt;"))</f>
        <v/>
      </c>
    </row>
    <row r="60" spans="1:10" ht="21" customHeight="1" x14ac:dyDescent="0.15">
      <c r="A60" s="14"/>
      <c r="B60" s="14"/>
      <c r="C60" s="9"/>
      <c r="D60" s="9"/>
      <c r="E60" s="9"/>
      <c r="F60" s="10"/>
      <c r="G60" s="10"/>
      <c r="H60" s="11"/>
      <c r="I60" s="12"/>
      <c r="J60" t="str">
        <f>IF(OR(B60="",C60=""),"",B60&amp;"-"&amp;COUNTIFS($B$5:B60,B60,$C$5:C60,"&lt;&gt;"))</f>
        <v/>
      </c>
    </row>
    <row r="61" spans="1:10" ht="21" customHeight="1" x14ac:dyDescent="0.15">
      <c r="A61" s="14"/>
      <c r="B61" s="14"/>
      <c r="C61" s="9"/>
      <c r="D61" s="9"/>
      <c r="E61" s="9"/>
      <c r="F61" s="10"/>
      <c r="G61" s="10"/>
      <c r="H61" s="11"/>
      <c r="I61" s="12"/>
      <c r="J61" t="str">
        <f>IF(OR(B61="",C61=""),"",B61&amp;"-"&amp;COUNTIFS($B$5:B61,B61,$C$5:C61,"&lt;&gt;"))</f>
        <v/>
      </c>
    </row>
    <row r="62" spans="1:10" ht="21" customHeight="1" x14ac:dyDescent="0.15">
      <c r="A62" s="14"/>
      <c r="B62" s="14"/>
      <c r="C62" s="9"/>
      <c r="D62" s="9"/>
      <c r="E62" s="9"/>
      <c r="F62" s="10"/>
      <c r="G62" s="10"/>
      <c r="H62" s="11"/>
      <c r="I62" s="12"/>
      <c r="J62" t="str">
        <f>IF(OR(B62="",C62=""),"",B62&amp;"-"&amp;COUNTIFS($B$5:B62,B62,$C$5:C62,"&lt;&gt;"))</f>
        <v/>
      </c>
    </row>
    <row r="63" spans="1:10" ht="21" customHeight="1" x14ac:dyDescent="0.15">
      <c r="A63" s="14"/>
      <c r="B63" s="14"/>
      <c r="C63" s="9"/>
      <c r="D63" s="9"/>
      <c r="E63" s="9"/>
      <c r="F63" s="10"/>
      <c r="G63" s="10"/>
      <c r="H63" s="11"/>
      <c r="I63" s="12"/>
      <c r="J63" t="str">
        <f>IF(OR(B63="",C63=""),"",B63&amp;"-"&amp;COUNTIFS($B$5:B63,B63,$C$5:C63,"&lt;&gt;"))</f>
        <v/>
      </c>
    </row>
    <row r="64" spans="1:10" ht="21" customHeight="1" x14ac:dyDescent="0.15">
      <c r="A64" s="14"/>
      <c r="B64" s="14"/>
      <c r="C64" s="9"/>
      <c r="D64" s="9"/>
      <c r="E64" s="9"/>
      <c r="F64" s="10"/>
      <c r="G64" s="10"/>
      <c r="H64" s="11"/>
      <c r="I64" s="12"/>
      <c r="J64" t="str">
        <f>IF(OR(B64="",C64=""),"",B64&amp;"-"&amp;COUNTIFS($B$5:B64,B64,$C$5:C64,"&lt;&gt;"))</f>
        <v/>
      </c>
    </row>
    <row r="65" spans="1:10" ht="21" customHeight="1" x14ac:dyDescent="0.15">
      <c r="A65" s="14"/>
      <c r="B65" s="14"/>
      <c r="C65" s="9"/>
      <c r="D65" s="9"/>
      <c r="E65" s="9"/>
      <c r="F65" s="10"/>
      <c r="G65" s="10"/>
      <c r="H65" s="11"/>
      <c r="I65" s="12"/>
      <c r="J65" t="str">
        <f>IF(OR(B65="",C65=""),"",B65&amp;"-"&amp;COUNTIFS($B$5:B65,B65,$C$5:C65,"&lt;&gt;"))</f>
        <v/>
      </c>
    </row>
    <row r="66" spans="1:10" ht="21" customHeight="1" x14ac:dyDescent="0.15">
      <c r="A66" s="14"/>
      <c r="B66" s="14"/>
      <c r="C66" s="9"/>
      <c r="D66" s="9"/>
      <c r="E66" s="9"/>
      <c r="F66" s="10"/>
      <c r="G66" s="10"/>
      <c r="H66" s="11"/>
      <c r="I66" s="12"/>
      <c r="J66" t="str">
        <f>IF(OR(B66="",C66=""),"",B66&amp;"-"&amp;COUNTIFS($B$5:B66,B66,$C$5:C66,"&lt;&gt;"))</f>
        <v/>
      </c>
    </row>
    <row r="67" spans="1:10" ht="21" customHeight="1" x14ac:dyDescent="0.15">
      <c r="A67" s="14"/>
      <c r="B67" s="14"/>
      <c r="C67" s="9"/>
      <c r="D67" s="9"/>
      <c r="E67" s="9"/>
      <c r="F67" s="10"/>
      <c r="G67" s="10"/>
      <c r="H67" s="11"/>
      <c r="I67" s="12"/>
      <c r="J67" t="str">
        <f>IF(OR(B67="",C67=""),"",B67&amp;"-"&amp;COUNTIFS($B$5:B67,B67,$C$5:C67,"&lt;&gt;"))</f>
        <v/>
      </c>
    </row>
    <row r="68" spans="1:10" ht="21" customHeight="1" x14ac:dyDescent="0.15">
      <c r="A68" s="14"/>
      <c r="B68" s="14"/>
      <c r="C68" s="9"/>
      <c r="D68" s="9"/>
      <c r="E68" s="9"/>
      <c r="F68" s="10"/>
      <c r="G68" s="10"/>
      <c r="H68" s="11"/>
      <c r="I68" s="12"/>
      <c r="J68" t="str">
        <f>IF(OR(B68="",C68=""),"",B68&amp;"-"&amp;COUNTIFS($B$5:B68,B68,$C$5:C68,"&lt;&gt;"))</f>
        <v/>
      </c>
    </row>
    <row r="69" spans="1:10" ht="21" customHeight="1" x14ac:dyDescent="0.15">
      <c r="A69" s="14"/>
      <c r="B69" s="14"/>
      <c r="C69" s="9"/>
      <c r="D69" s="9"/>
      <c r="E69" s="9"/>
      <c r="F69" s="10"/>
      <c r="G69" s="10"/>
      <c r="H69" s="11"/>
      <c r="I69" s="12"/>
      <c r="J69" t="str">
        <f>IF(OR(B69="",C69=""),"",B69&amp;"-"&amp;COUNTIFS($B$5:B69,B69,$C$5:C69,"&lt;&gt;"))</f>
        <v/>
      </c>
    </row>
    <row r="70" spans="1:10" ht="21" customHeight="1" x14ac:dyDescent="0.15">
      <c r="A70" s="14"/>
      <c r="B70" s="14"/>
      <c r="C70" s="9"/>
      <c r="D70" s="9"/>
      <c r="E70" s="9"/>
      <c r="F70" s="10"/>
      <c r="G70" s="10"/>
      <c r="H70" s="11"/>
      <c r="I70" s="12"/>
      <c r="J70" t="str">
        <f>IF(OR(B70="",C70=""),"",B70&amp;"-"&amp;COUNTIFS($B$5:B70,B70,$C$5:C70,"&lt;&gt;"))</f>
        <v/>
      </c>
    </row>
    <row r="71" spans="1:10" ht="21" customHeight="1" x14ac:dyDescent="0.15">
      <c r="A71" s="14"/>
      <c r="B71" s="14"/>
      <c r="C71" s="9"/>
      <c r="D71" s="9"/>
      <c r="E71" s="9"/>
      <c r="F71" s="10"/>
      <c r="G71" s="10"/>
      <c r="H71" s="11"/>
      <c r="I71" s="12"/>
      <c r="J71" t="str">
        <f>IF(OR(B71="",C71=""),"",B71&amp;"-"&amp;COUNTIFS($B$5:B71,B71,$C$5:C71,"&lt;&gt;"))</f>
        <v/>
      </c>
    </row>
    <row r="72" spans="1:10" ht="21" customHeight="1" x14ac:dyDescent="0.15">
      <c r="A72" s="14"/>
      <c r="B72" s="14"/>
      <c r="C72" s="9"/>
      <c r="D72" s="9"/>
      <c r="E72" s="9"/>
      <c r="F72" s="10"/>
      <c r="G72" s="10"/>
      <c r="H72" s="11"/>
      <c r="I72" s="12"/>
      <c r="J72" t="str">
        <f>IF(OR(B72="",C72=""),"",B72&amp;"-"&amp;COUNTIFS($B$5:B72,B72,$C$5:C72,"&lt;&gt;"))</f>
        <v/>
      </c>
    </row>
    <row r="73" spans="1:10" ht="21" customHeight="1" x14ac:dyDescent="0.15">
      <c r="A73" s="14"/>
      <c r="B73" s="14"/>
      <c r="C73" s="9"/>
      <c r="D73" s="9"/>
      <c r="E73" s="9"/>
      <c r="F73" s="10"/>
      <c r="G73" s="10"/>
      <c r="H73" s="11"/>
      <c r="I73" s="12"/>
      <c r="J73" t="str">
        <f>IF(OR(B73="",C73=""),"",B73&amp;"-"&amp;COUNTIFS($B$5:B73,B73,$C$5:C73,"&lt;&gt;"))</f>
        <v/>
      </c>
    </row>
    <row r="74" spans="1:10" ht="21" customHeight="1" x14ac:dyDescent="0.15">
      <c r="A74" s="14"/>
      <c r="B74" s="14"/>
      <c r="C74" s="9"/>
      <c r="D74" s="9"/>
      <c r="E74" s="9"/>
      <c r="F74" s="10"/>
      <c r="G74" s="10"/>
      <c r="H74" s="11"/>
      <c r="I74" s="12"/>
      <c r="J74" t="str">
        <f>IF(OR(B74="",C74=""),"",B74&amp;"-"&amp;COUNTIFS($B$5:B74,B74,$C$5:C74,"&lt;&gt;"))</f>
        <v/>
      </c>
    </row>
    <row r="75" spans="1:10" ht="21" customHeight="1" x14ac:dyDescent="0.15">
      <c r="A75" s="14"/>
      <c r="B75" s="14"/>
      <c r="C75" s="9"/>
      <c r="D75" s="9"/>
      <c r="E75" s="9"/>
      <c r="F75" s="10"/>
      <c r="G75" s="10"/>
      <c r="H75" s="11"/>
      <c r="I75" s="12"/>
      <c r="J75" t="str">
        <f>IF(OR(B75="",C75=""),"",B75&amp;"-"&amp;COUNTIFS($B$5:B75,B75,$C$5:C75,"&lt;&gt;"))</f>
        <v/>
      </c>
    </row>
    <row r="76" spans="1:10" ht="21" customHeight="1" x14ac:dyDescent="0.15">
      <c r="A76" s="14"/>
      <c r="B76" s="14"/>
      <c r="C76" s="9"/>
      <c r="D76" s="9"/>
      <c r="E76" s="9"/>
      <c r="F76" s="10"/>
      <c r="G76" s="10"/>
      <c r="H76" s="11"/>
      <c r="I76" s="12"/>
      <c r="J76" t="str">
        <f>IF(OR(B76="",C76=""),"",B76&amp;"-"&amp;COUNTIFS($B$5:B76,B76,$C$5:C76,"&lt;&gt;"))</f>
        <v/>
      </c>
    </row>
    <row r="77" spans="1:10" ht="21" customHeight="1" x14ac:dyDescent="0.15">
      <c r="A77" s="14"/>
      <c r="B77" s="14"/>
      <c r="C77" s="9"/>
      <c r="D77" s="9"/>
      <c r="E77" s="9"/>
      <c r="F77" s="10"/>
      <c r="G77" s="10"/>
      <c r="H77" s="11"/>
      <c r="I77" s="12"/>
      <c r="J77" t="str">
        <f>IF(OR(B77="",C77=""),"",B77&amp;"-"&amp;COUNTIFS($B$5:B77,B77,$C$5:C77,"&lt;&gt;"))</f>
        <v/>
      </c>
    </row>
    <row r="78" spans="1:10" ht="21" customHeight="1" x14ac:dyDescent="0.15">
      <c r="A78" s="14"/>
      <c r="B78" s="14"/>
      <c r="C78" s="9"/>
      <c r="D78" s="9"/>
      <c r="E78" s="9"/>
      <c r="F78" s="10"/>
      <c r="G78" s="10"/>
      <c r="H78" s="11"/>
      <c r="I78" s="12"/>
      <c r="J78" t="str">
        <f>IF(OR(B78="",C78=""),"",B78&amp;"-"&amp;COUNTIFS($B$5:B78,B78,$C$5:C78,"&lt;&gt;"))</f>
        <v/>
      </c>
    </row>
    <row r="79" spans="1:10" ht="21" customHeight="1" x14ac:dyDescent="0.15">
      <c r="A79" s="14"/>
      <c r="B79" s="14"/>
      <c r="C79" s="9"/>
      <c r="D79" s="9"/>
      <c r="E79" s="9"/>
      <c r="F79" s="10"/>
      <c r="G79" s="10"/>
      <c r="H79" s="11"/>
      <c r="I79" s="12"/>
      <c r="J79" t="str">
        <f>IF(OR(B79="",C79=""),"",B79&amp;"-"&amp;COUNTIFS($B$5:B79,B79,$C$5:C79,"&lt;&gt;"))</f>
        <v/>
      </c>
    </row>
    <row r="80" spans="1:10" ht="21" customHeight="1" x14ac:dyDescent="0.15">
      <c r="A80" s="14"/>
      <c r="B80" s="14"/>
      <c r="C80" s="9"/>
      <c r="D80" s="9"/>
      <c r="E80" s="9"/>
      <c r="F80" s="10"/>
      <c r="G80" s="10"/>
      <c r="H80" s="11"/>
      <c r="I80" s="12"/>
      <c r="J80" t="str">
        <f>IF(OR(B80="",C80=""),"",B80&amp;"-"&amp;COUNTIFS($B$5:B80,B80,$C$5:C80,"&lt;&gt;"))</f>
        <v/>
      </c>
    </row>
    <row r="81" spans="1:10" ht="21" customHeight="1" x14ac:dyDescent="0.15">
      <c r="A81" s="14"/>
      <c r="B81" s="14"/>
      <c r="C81" s="9"/>
      <c r="D81" s="9"/>
      <c r="E81" s="9"/>
      <c r="F81" s="10"/>
      <c r="G81" s="10"/>
      <c r="H81" s="11"/>
      <c r="I81" s="12"/>
      <c r="J81" t="str">
        <f>IF(OR(B81="",C81=""),"",B81&amp;"-"&amp;COUNTIFS($B$5:B81,B81,$C$5:C81,"&lt;&gt;"))</f>
        <v/>
      </c>
    </row>
    <row r="82" spans="1:10" ht="21" customHeight="1" x14ac:dyDescent="0.15">
      <c r="A82" s="14"/>
      <c r="B82" s="14"/>
      <c r="C82" s="9"/>
      <c r="D82" s="9"/>
      <c r="E82" s="9"/>
      <c r="F82" s="10"/>
      <c r="G82" s="10"/>
      <c r="H82" s="11"/>
      <c r="I82" s="12"/>
      <c r="J82" t="str">
        <f>IF(OR(B82="",C82=""),"",B82&amp;"-"&amp;COUNTIFS($B$5:B82,B82,$C$5:C82,"&lt;&gt;"))</f>
        <v/>
      </c>
    </row>
    <row r="83" spans="1:10" ht="21" customHeight="1" x14ac:dyDescent="0.15">
      <c r="A83" s="14"/>
      <c r="B83" s="14"/>
      <c r="C83" s="9"/>
      <c r="D83" s="9"/>
      <c r="E83" s="9"/>
      <c r="F83" s="10"/>
      <c r="G83" s="10"/>
      <c r="H83" s="11"/>
      <c r="I83" s="12"/>
      <c r="J83" t="str">
        <f>IF(OR(B83="",C83=""),"",B83&amp;"-"&amp;COUNTIFS($B$5:B83,B83,$C$5:C83,"&lt;&gt;"))</f>
        <v/>
      </c>
    </row>
    <row r="84" spans="1:10" ht="21" customHeight="1" x14ac:dyDescent="0.15">
      <c r="A84" s="14"/>
      <c r="B84" s="14"/>
      <c r="C84" s="9"/>
      <c r="D84" s="9"/>
      <c r="E84" s="9"/>
      <c r="F84" s="10"/>
      <c r="G84" s="10"/>
      <c r="H84" s="11"/>
      <c r="I84" s="12"/>
      <c r="J84" t="str">
        <f>IF(OR(B84="",C84=""),"",B84&amp;"-"&amp;COUNTIFS($B$5:B84,B84,$C$5:C84,"&lt;&gt;"))</f>
        <v/>
      </c>
    </row>
    <row r="85" spans="1:10" ht="21" customHeight="1" x14ac:dyDescent="0.15">
      <c r="A85" s="14"/>
      <c r="B85" s="14"/>
      <c r="C85" s="9"/>
      <c r="D85" s="9"/>
      <c r="E85" s="9"/>
      <c r="F85" s="10"/>
      <c r="G85" s="10"/>
      <c r="H85" s="11"/>
      <c r="I85" s="12"/>
      <c r="J85" t="str">
        <f>IF(OR(B85="",C85=""),"",B85&amp;"-"&amp;COUNTIFS($B$5:B85,B85,$C$5:C85,"&lt;&gt;"))</f>
        <v/>
      </c>
    </row>
    <row r="86" spans="1:10" ht="21" customHeight="1" x14ac:dyDescent="0.15">
      <c r="A86" s="14"/>
      <c r="B86" s="14"/>
      <c r="C86" s="9"/>
      <c r="D86" s="9"/>
      <c r="E86" s="9"/>
      <c r="F86" s="10"/>
      <c r="G86" s="10"/>
      <c r="H86" s="11"/>
      <c r="I86" s="12"/>
      <c r="J86" t="str">
        <f>IF(OR(B86="",C86=""),"",B86&amp;"-"&amp;COUNTIFS($B$5:B86,B86,$C$5:C86,"&lt;&gt;"))</f>
        <v/>
      </c>
    </row>
    <row r="87" spans="1:10" ht="21" customHeight="1" x14ac:dyDescent="0.15">
      <c r="A87" s="14"/>
      <c r="B87" s="14"/>
      <c r="C87" s="9"/>
      <c r="D87" s="9"/>
      <c r="E87" s="9"/>
      <c r="F87" s="10"/>
      <c r="G87" s="10"/>
      <c r="H87" s="11"/>
      <c r="I87" s="12"/>
      <c r="J87" t="str">
        <f>IF(OR(B87="",C87=""),"",B87&amp;"-"&amp;COUNTIFS($B$5:B87,B87,$C$5:C87,"&lt;&gt;"))</f>
        <v/>
      </c>
    </row>
    <row r="88" spans="1:10" ht="21" customHeight="1" x14ac:dyDescent="0.15">
      <c r="A88" s="14"/>
      <c r="B88" s="14"/>
      <c r="C88" s="9"/>
      <c r="D88" s="9"/>
      <c r="E88" s="9"/>
      <c r="F88" s="10"/>
      <c r="G88" s="10"/>
      <c r="H88" s="11"/>
      <c r="I88" s="12"/>
      <c r="J88" t="str">
        <f>IF(OR(B88="",C88=""),"",B88&amp;"-"&amp;COUNTIFS($B$5:B88,B88,$C$5:C88,"&lt;&gt;"))</f>
        <v/>
      </c>
    </row>
    <row r="89" spans="1:10" ht="21" customHeight="1" x14ac:dyDescent="0.15">
      <c r="A89" s="14"/>
      <c r="B89" s="14"/>
      <c r="C89" s="9"/>
      <c r="D89" s="9"/>
      <c r="E89" s="9"/>
      <c r="F89" s="10"/>
      <c r="G89" s="10"/>
      <c r="H89" s="11"/>
      <c r="I89" s="12"/>
      <c r="J89" t="str">
        <f>IF(OR(B89="",C89=""),"",B89&amp;"-"&amp;COUNTIFS($B$5:B89,B89,$C$5:C89,"&lt;&gt;"))</f>
        <v/>
      </c>
    </row>
    <row r="90" spans="1:10" ht="21" customHeight="1" x14ac:dyDescent="0.15">
      <c r="A90" s="14"/>
      <c r="B90" s="14"/>
      <c r="C90" s="9"/>
      <c r="D90" s="9"/>
      <c r="E90" s="9"/>
      <c r="F90" s="10"/>
      <c r="G90" s="10"/>
      <c r="H90" s="11"/>
      <c r="I90" s="12"/>
      <c r="J90" t="str">
        <f>IF(OR(B90="",C90=""),"",B90&amp;"-"&amp;COUNTIFS($B$5:B90,B90,$C$5:C90,"&lt;&gt;"))</f>
        <v/>
      </c>
    </row>
    <row r="91" spans="1:10" ht="21" customHeight="1" x14ac:dyDescent="0.15">
      <c r="A91" s="14"/>
      <c r="B91" s="14"/>
      <c r="C91" s="9"/>
      <c r="D91" s="9"/>
      <c r="E91" s="9"/>
      <c r="F91" s="10"/>
      <c r="G91" s="10"/>
      <c r="H91" s="11"/>
      <c r="I91" s="12"/>
      <c r="J91" t="str">
        <f>IF(OR(B91="",C91=""),"",B91&amp;"-"&amp;COUNTIFS($B$5:B91,B91,$C$5:C91,"&lt;&gt;"))</f>
        <v/>
      </c>
    </row>
    <row r="92" spans="1:10" ht="21" customHeight="1" x14ac:dyDescent="0.15">
      <c r="A92" s="14"/>
      <c r="B92" s="14"/>
      <c r="C92" s="9"/>
      <c r="D92" s="9"/>
      <c r="E92" s="9"/>
      <c r="F92" s="10"/>
      <c r="G92" s="10"/>
      <c r="H92" s="11"/>
      <c r="I92" s="12"/>
      <c r="J92" t="str">
        <f>IF(OR(B92="",C92=""),"",B92&amp;"-"&amp;COUNTIFS($B$5:B92,B92,$C$5:C92,"&lt;&gt;"))</f>
        <v/>
      </c>
    </row>
    <row r="93" spans="1:10" ht="21" customHeight="1" x14ac:dyDescent="0.15">
      <c r="A93" s="14"/>
      <c r="B93" s="14"/>
      <c r="C93" s="9"/>
      <c r="D93" s="9"/>
      <c r="E93" s="9"/>
      <c r="F93" s="10"/>
      <c r="G93" s="10"/>
      <c r="H93" s="11"/>
      <c r="I93" s="12"/>
      <c r="J93" t="str">
        <f>IF(OR(B93="",C93=""),"",B93&amp;"-"&amp;COUNTIFS($B$5:B93,B93,$C$5:C93,"&lt;&gt;"))</f>
        <v/>
      </c>
    </row>
    <row r="94" spans="1:10" ht="21" customHeight="1" x14ac:dyDescent="0.15">
      <c r="A94" s="14"/>
      <c r="B94" s="14"/>
      <c r="C94" s="9"/>
      <c r="D94" s="9"/>
      <c r="E94" s="9"/>
      <c r="F94" s="10"/>
      <c r="G94" s="10"/>
      <c r="H94" s="11"/>
      <c r="I94" s="12"/>
      <c r="J94" t="str">
        <f>IF(OR(B94="",C94=""),"",B94&amp;"-"&amp;COUNTIFS($B$5:B94,B94,$C$5:C94,"&lt;&gt;"))</f>
        <v/>
      </c>
    </row>
    <row r="95" spans="1:10" ht="21" customHeight="1" x14ac:dyDescent="0.15">
      <c r="A95" s="14"/>
      <c r="B95" s="14"/>
      <c r="C95" s="9"/>
      <c r="D95" s="9"/>
      <c r="E95" s="9"/>
      <c r="F95" s="10"/>
      <c r="G95" s="10"/>
      <c r="H95" s="11"/>
      <c r="I95" s="12"/>
      <c r="J95" t="str">
        <f>IF(OR(B95="",C95=""),"",B95&amp;"-"&amp;COUNTIFS($B$5:B95,B95,$C$5:C95,"&lt;&gt;"))</f>
        <v/>
      </c>
    </row>
    <row r="96" spans="1:10" ht="21" customHeight="1" x14ac:dyDescent="0.15">
      <c r="A96" s="14"/>
      <c r="B96" s="14"/>
      <c r="C96" s="9"/>
      <c r="D96" s="9"/>
      <c r="E96" s="9"/>
      <c r="F96" s="10"/>
      <c r="G96" s="10"/>
      <c r="H96" s="11"/>
      <c r="I96" s="12"/>
      <c r="J96" t="str">
        <f>IF(OR(B96="",C96=""),"",B96&amp;"-"&amp;COUNTIFS($B$5:B96,B96,$C$5:C96,"&lt;&gt;"))</f>
        <v/>
      </c>
    </row>
    <row r="97" spans="1:10" ht="21" customHeight="1" x14ac:dyDescent="0.15">
      <c r="A97" s="14"/>
      <c r="B97" s="14"/>
      <c r="C97" s="9"/>
      <c r="D97" s="9"/>
      <c r="E97" s="9"/>
      <c r="F97" s="10"/>
      <c r="G97" s="10"/>
      <c r="H97" s="11"/>
      <c r="I97" s="12"/>
      <c r="J97" t="str">
        <f>IF(OR(B97="",C97=""),"",B97&amp;"-"&amp;COUNTIFS($B$5:B97,B97,$C$5:C97,"&lt;&gt;"))</f>
        <v/>
      </c>
    </row>
    <row r="98" spans="1:10" ht="21" customHeight="1" x14ac:dyDescent="0.15">
      <c r="A98" s="14"/>
      <c r="B98" s="14"/>
      <c r="C98" s="9"/>
      <c r="D98" s="9"/>
      <c r="E98" s="9"/>
      <c r="F98" s="10"/>
      <c r="G98" s="10"/>
      <c r="H98" s="11"/>
      <c r="I98" s="12"/>
      <c r="J98" t="str">
        <f>IF(OR(B98="",C98=""),"",B98&amp;"-"&amp;COUNTIFS($B$5:B98,B98,$C$5:C98,"&lt;&gt;"))</f>
        <v/>
      </c>
    </row>
    <row r="99" spans="1:10" ht="21" customHeight="1" x14ac:dyDescent="0.15">
      <c r="A99" s="14"/>
      <c r="B99" s="14"/>
      <c r="C99" s="9"/>
      <c r="D99" s="9"/>
      <c r="E99" s="9"/>
      <c r="F99" s="10"/>
      <c r="G99" s="10"/>
      <c r="H99" s="11"/>
      <c r="I99" s="12"/>
      <c r="J99" t="str">
        <f>IF(OR(B99="",C99=""),"",B99&amp;"-"&amp;COUNTIFS($B$5:B99,B99,$C$5:C99,"&lt;&gt;"))</f>
        <v/>
      </c>
    </row>
    <row r="100" spans="1:10" ht="21" customHeight="1" x14ac:dyDescent="0.15">
      <c r="A100" s="14"/>
      <c r="B100" s="14"/>
      <c r="C100" s="9"/>
      <c r="D100" s="9"/>
      <c r="E100" s="9"/>
      <c r="F100" s="10"/>
      <c r="G100" s="10"/>
      <c r="H100" s="11"/>
      <c r="I100" s="12"/>
      <c r="J100" t="str">
        <f>IF(OR(B100="",C100=""),"",B100&amp;"-"&amp;COUNTIFS($B$5:B100,B100,$C$5:C100,"&lt;&gt;"))</f>
        <v/>
      </c>
    </row>
    <row r="101" spans="1:10" ht="21" customHeight="1" x14ac:dyDescent="0.15">
      <c r="A101" s="14"/>
      <c r="B101" s="14"/>
      <c r="C101" s="9"/>
      <c r="D101" s="9"/>
      <c r="E101" s="9"/>
      <c r="F101" s="10"/>
      <c r="G101" s="10"/>
      <c r="H101" s="11"/>
      <c r="I101" s="12"/>
      <c r="J101" t="str">
        <f>IF(OR(B101="",C101=""),"",B101&amp;"-"&amp;COUNTIFS($B$5:B101,B101,$C$5:C101,"&lt;&gt;"))</f>
        <v/>
      </c>
    </row>
    <row r="102" spans="1:10" ht="21" customHeight="1" x14ac:dyDescent="0.15">
      <c r="A102" s="14"/>
      <c r="B102" s="14"/>
      <c r="C102" s="9"/>
      <c r="D102" s="9"/>
      <c r="E102" s="9"/>
      <c r="F102" s="10"/>
      <c r="G102" s="10"/>
      <c r="H102" s="11"/>
      <c r="I102" s="12"/>
      <c r="J102" t="str">
        <f>IF(OR(B102="",C102=""),"",B102&amp;"-"&amp;COUNTIFS($B$5:B102,B102,$C$5:C102,"&lt;&gt;"))</f>
        <v/>
      </c>
    </row>
    <row r="103" spans="1:10" ht="21" customHeight="1" x14ac:dyDescent="0.15">
      <c r="A103" s="14"/>
      <c r="B103" s="14"/>
      <c r="C103" s="9"/>
      <c r="D103" s="9"/>
      <c r="E103" s="9"/>
      <c r="F103" s="10"/>
      <c r="G103" s="10"/>
      <c r="H103" s="11"/>
      <c r="I103" s="12"/>
      <c r="J103" t="str">
        <f>IF(OR(B103="",C103=""),"",B103&amp;"-"&amp;COUNTIFS($B$5:B103,B103,$C$5:C103,"&lt;&gt;"))</f>
        <v/>
      </c>
    </row>
    <row r="104" spans="1:10" ht="21" customHeight="1" x14ac:dyDescent="0.15">
      <c r="A104" s="14"/>
      <c r="B104" s="14"/>
      <c r="C104" s="9"/>
      <c r="D104" s="9"/>
      <c r="E104" s="9"/>
      <c r="F104" s="10"/>
      <c r="G104" s="10"/>
      <c r="H104" s="11"/>
      <c r="I104" s="12"/>
      <c r="J104" t="str">
        <f>IF(OR(B104="",C104=""),"",B104&amp;"-"&amp;COUNTIFS($B$5:B104,B104,$C$5:C104,"&lt;&gt;"))</f>
        <v/>
      </c>
    </row>
    <row r="105" spans="1:10" ht="21" customHeight="1" x14ac:dyDescent="0.15">
      <c r="A105" s="14"/>
      <c r="B105" s="14"/>
      <c r="C105" s="9"/>
      <c r="D105" s="9"/>
      <c r="E105" s="9"/>
      <c r="F105" s="10"/>
      <c r="G105" s="10"/>
      <c r="H105" s="11"/>
      <c r="I105" s="12"/>
      <c r="J105" t="str">
        <f>IF(OR(B105="",C105=""),"",B105&amp;"-"&amp;COUNTIFS($B$5:B105,B105,$C$5:C105,"&lt;&gt;"))</f>
        <v/>
      </c>
    </row>
    <row r="106" spans="1:10" ht="21" customHeight="1" x14ac:dyDescent="0.15">
      <c r="A106" s="14"/>
      <c r="B106" s="14"/>
      <c r="C106" s="9"/>
      <c r="D106" s="9"/>
      <c r="E106" s="9"/>
      <c r="F106" s="10"/>
      <c r="G106" s="10"/>
      <c r="H106" s="11"/>
      <c r="I106" s="12"/>
      <c r="J106" t="str">
        <f>IF(OR(B106="",C106=""),"",B106&amp;"-"&amp;COUNTIFS($B$5:B106,B106,$C$5:C106,"&lt;&gt;"))</f>
        <v/>
      </c>
    </row>
    <row r="107" spans="1:10" ht="21" customHeight="1" x14ac:dyDescent="0.15">
      <c r="A107" s="14"/>
      <c r="B107" s="14"/>
      <c r="C107" s="9"/>
      <c r="D107" s="9"/>
      <c r="E107" s="9"/>
      <c r="F107" s="10"/>
      <c r="G107" s="10"/>
      <c r="H107" s="11"/>
      <c r="I107" s="12"/>
      <c r="J107" t="str">
        <f>IF(OR(B107="",C107=""),"",B107&amp;"-"&amp;COUNTIFS($B$5:B107,B107,$C$5:C107,"&lt;&gt;"))</f>
        <v/>
      </c>
    </row>
    <row r="108" spans="1:10" ht="21" customHeight="1" x14ac:dyDescent="0.15">
      <c r="A108" s="14"/>
      <c r="B108" s="14"/>
      <c r="C108" s="9"/>
      <c r="D108" s="9"/>
      <c r="E108" s="9"/>
      <c r="F108" s="10"/>
      <c r="G108" s="10"/>
      <c r="H108" s="11"/>
      <c r="I108" s="12"/>
      <c r="J108" t="str">
        <f>IF(OR(B108="",C108=""),"",B108&amp;"-"&amp;COUNTIFS($B$5:B108,B108,$C$5:C108,"&lt;&gt;"))</f>
        <v/>
      </c>
    </row>
    <row r="109" spans="1:10" ht="21" customHeight="1" x14ac:dyDescent="0.15">
      <c r="A109" s="14"/>
      <c r="B109" s="14"/>
      <c r="C109" s="9"/>
      <c r="D109" s="9"/>
      <c r="E109" s="9"/>
      <c r="F109" s="10"/>
      <c r="G109" s="10"/>
      <c r="H109" s="11"/>
      <c r="I109" s="12"/>
      <c r="J109" t="str">
        <f>IF(OR(B109="",C109=""),"",B109&amp;"-"&amp;COUNTIFS($B$5:B109,B109,$C$5:C109,"&lt;&gt;"))</f>
        <v/>
      </c>
    </row>
    <row r="110" spans="1:10" ht="21" customHeight="1" x14ac:dyDescent="0.15">
      <c r="A110" s="14"/>
      <c r="B110" s="14"/>
      <c r="C110" s="9"/>
      <c r="D110" s="9"/>
      <c r="E110" s="9"/>
      <c r="F110" s="10"/>
      <c r="G110" s="10"/>
      <c r="H110" s="11"/>
      <c r="I110" s="12"/>
      <c r="J110" t="str">
        <f>IF(OR(B110="",C110=""),"",B110&amp;"-"&amp;COUNTIFS($B$5:B110,B110,$C$5:C110,"&lt;&gt;"))</f>
        <v/>
      </c>
    </row>
    <row r="111" spans="1:10" ht="21" customHeight="1" x14ac:dyDescent="0.15">
      <c r="A111" s="14"/>
      <c r="B111" s="14"/>
      <c r="C111" s="9"/>
      <c r="D111" s="9"/>
      <c r="E111" s="9"/>
      <c r="F111" s="10"/>
      <c r="G111" s="10"/>
      <c r="H111" s="11"/>
      <c r="I111" s="12"/>
      <c r="J111" t="str">
        <f>IF(OR(B111="",C111=""),"",B111&amp;"-"&amp;COUNTIFS($B$5:B111,B111,$C$5:C111,"&lt;&gt;"))</f>
        <v/>
      </c>
    </row>
    <row r="112" spans="1:10" ht="21" customHeight="1" x14ac:dyDescent="0.15">
      <c r="A112" s="14"/>
      <c r="B112" s="14"/>
      <c r="C112" s="9"/>
      <c r="D112" s="9"/>
      <c r="E112" s="9"/>
      <c r="F112" s="10"/>
      <c r="G112" s="10"/>
      <c r="H112" s="11"/>
      <c r="I112" s="12"/>
      <c r="J112" t="str">
        <f>IF(OR(B112="",C112=""),"",B112&amp;"-"&amp;COUNTIFS($B$5:B112,B112,$C$5:C112,"&lt;&gt;"))</f>
        <v/>
      </c>
    </row>
    <row r="113" spans="1:10" ht="21" customHeight="1" x14ac:dyDescent="0.15">
      <c r="A113" s="14"/>
      <c r="B113" s="14"/>
      <c r="C113" s="9"/>
      <c r="D113" s="9"/>
      <c r="E113" s="9"/>
      <c r="F113" s="10"/>
      <c r="G113" s="10"/>
      <c r="H113" s="11"/>
      <c r="I113" s="12"/>
      <c r="J113" t="str">
        <f>IF(OR(B113="",C113=""),"",B113&amp;"-"&amp;COUNTIFS($B$5:B113,B113,$C$5:C113,"&lt;&gt;"))</f>
        <v/>
      </c>
    </row>
    <row r="114" spans="1:10" ht="21" customHeight="1" x14ac:dyDescent="0.15">
      <c r="A114" s="14"/>
      <c r="B114" s="14"/>
      <c r="C114" s="9"/>
      <c r="D114" s="9"/>
      <c r="E114" s="9"/>
      <c r="F114" s="10"/>
      <c r="G114" s="10"/>
      <c r="H114" s="11"/>
      <c r="I114" s="12"/>
      <c r="J114" t="str">
        <f>IF(OR(B114="",C114=""),"",B114&amp;"-"&amp;COUNTIFS($B$5:B114,B114,$C$5:C114,"&lt;&gt;"))</f>
        <v/>
      </c>
    </row>
    <row r="115" spans="1:10" ht="21" customHeight="1" x14ac:dyDescent="0.15">
      <c r="A115" s="14"/>
      <c r="B115" s="14"/>
      <c r="C115" s="9"/>
      <c r="D115" s="9"/>
      <c r="E115" s="9"/>
      <c r="F115" s="10"/>
      <c r="G115" s="10"/>
      <c r="H115" s="11"/>
      <c r="I115" s="12"/>
      <c r="J115" t="str">
        <f>IF(OR(B115="",C115=""),"",B115&amp;"-"&amp;COUNTIFS($B$5:B115,B115,$C$5:C115,"&lt;&gt;"))</f>
        <v/>
      </c>
    </row>
    <row r="116" spans="1:10" ht="21" customHeight="1" x14ac:dyDescent="0.15">
      <c r="A116" s="14"/>
      <c r="B116" s="14"/>
      <c r="C116" s="9"/>
      <c r="D116" s="9"/>
      <c r="E116" s="9"/>
      <c r="F116" s="10"/>
      <c r="G116" s="10"/>
      <c r="H116" s="11"/>
      <c r="I116" s="12"/>
      <c r="J116" t="str">
        <f>IF(OR(B116="",C116=""),"",B116&amp;"-"&amp;COUNTIFS($B$5:B116,B116,$C$5:C116,"&lt;&gt;"))</f>
        <v/>
      </c>
    </row>
    <row r="117" spans="1:10" ht="21" customHeight="1" x14ac:dyDescent="0.15">
      <c r="A117" s="14"/>
      <c r="B117" s="14"/>
      <c r="C117" s="9"/>
      <c r="D117" s="9"/>
      <c r="E117" s="9"/>
      <c r="F117" s="10"/>
      <c r="G117" s="10"/>
      <c r="H117" s="11"/>
      <c r="I117" s="12"/>
      <c r="J117" t="str">
        <f>IF(OR(B117="",C117=""),"",B117&amp;"-"&amp;COUNTIFS($B$5:B117,B117,$C$5:C117,"&lt;&gt;"))</f>
        <v/>
      </c>
    </row>
    <row r="118" spans="1:10" ht="21" customHeight="1" x14ac:dyDescent="0.15">
      <c r="A118" s="14"/>
      <c r="B118" s="14"/>
      <c r="C118" s="9"/>
      <c r="D118" s="9"/>
      <c r="E118" s="9"/>
      <c r="F118" s="10"/>
      <c r="G118" s="10"/>
      <c r="H118" s="11"/>
      <c r="I118" s="12"/>
      <c r="J118" t="str">
        <f>IF(OR(B118="",C118=""),"",B118&amp;"-"&amp;COUNTIFS($B$5:B118,B118,$C$5:C118,"&lt;&gt;"))</f>
        <v/>
      </c>
    </row>
    <row r="119" spans="1:10" ht="21" customHeight="1" x14ac:dyDescent="0.15">
      <c r="A119" s="14"/>
      <c r="B119" s="14"/>
      <c r="C119" s="9"/>
      <c r="D119" s="9"/>
      <c r="E119" s="9"/>
      <c r="F119" s="10"/>
      <c r="G119" s="10"/>
      <c r="H119" s="11"/>
      <c r="I119" s="12"/>
      <c r="J119" t="str">
        <f>IF(OR(B119="",C119=""),"",B119&amp;"-"&amp;COUNTIFS($B$5:B119,B119,$C$5:C119,"&lt;&gt;"))</f>
        <v/>
      </c>
    </row>
    <row r="120" spans="1:10" ht="21" customHeight="1" x14ac:dyDescent="0.15">
      <c r="A120" s="14"/>
      <c r="B120" s="14"/>
      <c r="C120" s="9"/>
      <c r="D120" s="9"/>
      <c r="E120" s="9"/>
      <c r="F120" s="10"/>
      <c r="G120" s="10"/>
      <c r="H120" s="11"/>
      <c r="I120" s="12"/>
      <c r="J120" t="str">
        <f>IF(OR(B120="",C120=""),"",B120&amp;"-"&amp;COUNTIFS($B$5:B120,B120,$C$5:C120,"&lt;&gt;"))</f>
        <v/>
      </c>
    </row>
    <row r="121" spans="1:10" ht="21" customHeight="1" x14ac:dyDescent="0.15">
      <c r="A121" s="14"/>
      <c r="B121" s="14"/>
      <c r="C121" s="9"/>
      <c r="D121" s="9"/>
      <c r="E121" s="9"/>
      <c r="F121" s="10"/>
      <c r="G121" s="10"/>
      <c r="H121" s="11"/>
      <c r="I121" s="12"/>
      <c r="J121" t="str">
        <f>IF(OR(B121="",C121=""),"",B121&amp;"-"&amp;COUNTIFS($B$5:B121,B121,$C$5:C121,"&lt;&gt;"))</f>
        <v/>
      </c>
    </row>
    <row r="122" spans="1:10" ht="21" customHeight="1" x14ac:dyDescent="0.15">
      <c r="A122" s="14"/>
      <c r="B122" s="14"/>
      <c r="C122" s="9"/>
      <c r="D122" s="9"/>
      <c r="E122" s="9"/>
      <c r="F122" s="10"/>
      <c r="G122" s="10"/>
      <c r="H122" s="11"/>
      <c r="I122" s="12"/>
      <c r="J122" t="str">
        <f>IF(OR(B122="",C122=""),"",B122&amp;"-"&amp;COUNTIFS($B$5:B122,B122,$C$5:C122,"&lt;&gt;"))</f>
        <v/>
      </c>
    </row>
    <row r="123" spans="1:10" ht="21" customHeight="1" x14ac:dyDescent="0.15">
      <c r="A123" s="14"/>
      <c r="B123" s="14"/>
      <c r="C123" s="9"/>
      <c r="D123" s="9"/>
      <c r="E123" s="9"/>
      <c r="F123" s="10"/>
      <c r="G123" s="10"/>
      <c r="H123" s="11"/>
      <c r="I123" s="12"/>
      <c r="J123" t="str">
        <f>IF(OR(B123="",C123=""),"",B123&amp;"-"&amp;COUNTIFS($B$5:B123,B123,$C$5:C123,"&lt;&gt;"))</f>
        <v/>
      </c>
    </row>
    <row r="124" spans="1:10" ht="21" customHeight="1" x14ac:dyDescent="0.15">
      <c r="A124" s="14"/>
      <c r="B124" s="14"/>
      <c r="C124" s="9"/>
      <c r="D124" s="9"/>
      <c r="E124" s="9"/>
      <c r="F124" s="10"/>
      <c r="G124" s="10"/>
      <c r="H124" s="11"/>
      <c r="I124" s="12"/>
      <c r="J124" t="str">
        <f>IF(OR(B124="",C124=""),"",B124&amp;"-"&amp;COUNTIFS($B$5:B124,B124,$C$5:C124,"&lt;&gt;"))</f>
        <v/>
      </c>
    </row>
    <row r="125" spans="1:10" ht="21" customHeight="1" x14ac:dyDescent="0.15">
      <c r="A125" s="14"/>
      <c r="B125" s="14"/>
      <c r="C125" s="9"/>
      <c r="D125" s="9"/>
      <c r="E125" s="9"/>
      <c r="F125" s="10"/>
      <c r="G125" s="10"/>
      <c r="H125" s="11"/>
      <c r="I125" s="12"/>
      <c r="J125" t="str">
        <f>IF(OR(B125="",C125=""),"",B125&amp;"-"&amp;COUNTIFS($B$5:B125,B125,$C$5:C125,"&lt;&gt;"))</f>
        <v/>
      </c>
    </row>
    <row r="126" spans="1:10" ht="21" customHeight="1" x14ac:dyDescent="0.15">
      <c r="A126" s="14"/>
      <c r="B126" s="14"/>
      <c r="C126" s="9"/>
      <c r="D126" s="9"/>
      <c r="E126" s="9"/>
      <c r="F126" s="10"/>
      <c r="G126" s="10"/>
      <c r="H126" s="11"/>
      <c r="I126" s="12"/>
      <c r="J126" t="str">
        <f>IF(OR(B126="",C126=""),"",B126&amp;"-"&amp;COUNTIFS($B$5:B126,B126,$C$5:C126,"&lt;&gt;"))</f>
        <v/>
      </c>
    </row>
    <row r="127" spans="1:10" ht="21" customHeight="1" x14ac:dyDescent="0.15">
      <c r="A127" s="14"/>
      <c r="B127" s="14"/>
      <c r="C127" s="9"/>
      <c r="D127" s="9"/>
      <c r="E127" s="9"/>
      <c r="F127" s="10"/>
      <c r="G127" s="10"/>
      <c r="H127" s="11"/>
      <c r="I127" s="12"/>
      <c r="J127" t="str">
        <f>IF(OR(B127="",C127=""),"",B127&amp;"-"&amp;COUNTIFS($B$5:B127,B127,$C$5:C127,"&lt;&gt;"))</f>
        <v/>
      </c>
    </row>
    <row r="128" spans="1:10" ht="21" customHeight="1" x14ac:dyDescent="0.15">
      <c r="A128" s="14"/>
      <c r="B128" s="14"/>
      <c r="C128" s="9"/>
      <c r="D128" s="9"/>
      <c r="E128" s="9"/>
      <c r="F128" s="10"/>
      <c r="G128" s="10"/>
      <c r="H128" s="11"/>
      <c r="I128" s="12"/>
      <c r="J128" t="str">
        <f>IF(OR(B128="",C128=""),"",B128&amp;"-"&amp;COUNTIFS($B$5:B128,B128,$C$5:C128,"&lt;&gt;"))</f>
        <v/>
      </c>
    </row>
    <row r="129" spans="1:10" ht="21" customHeight="1" x14ac:dyDescent="0.15">
      <c r="A129" s="14"/>
      <c r="B129" s="14"/>
      <c r="C129" s="9"/>
      <c r="D129" s="9"/>
      <c r="E129" s="9"/>
      <c r="F129" s="10"/>
      <c r="G129" s="10"/>
      <c r="H129" s="11"/>
      <c r="I129" s="12"/>
      <c r="J129" t="str">
        <f>IF(OR(B129="",C129=""),"",B129&amp;"-"&amp;COUNTIFS($B$5:B129,B129,$C$5:C129,"&lt;&gt;"))</f>
        <v/>
      </c>
    </row>
    <row r="130" spans="1:10" ht="21" customHeight="1" x14ac:dyDescent="0.15">
      <c r="A130" s="14"/>
      <c r="B130" s="14"/>
      <c r="C130" s="9"/>
      <c r="D130" s="9"/>
      <c r="E130" s="9"/>
      <c r="F130" s="10"/>
      <c r="G130" s="10"/>
      <c r="H130" s="11"/>
      <c r="I130" s="12"/>
      <c r="J130" t="str">
        <f>IF(OR(B130="",C130=""),"",B130&amp;"-"&amp;COUNTIFS($B$5:B130,B130,$C$5:C130,"&lt;&gt;"))</f>
        <v/>
      </c>
    </row>
    <row r="131" spans="1:10" ht="21" customHeight="1" x14ac:dyDescent="0.15">
      <c r="A131" s="14"/>
      <c r="B131" s="14"/>
      <c r="C131" s="9"/>
      <c r="D131" s="9"/>
      <c r="E131" s="9"/>
      <c r="F131" s="10"/>
      <c r="G131" s="10"/>
      <c r="H131" s="11"/>
      <c r="I131" s="12"/>
      <c r="J131" t="str">
        <f>IF(OR(B131="",C131=""),"",B131&amp;"-"&amp;COUNTIFS($B$5:B131,B131,$C$5:C131,"&lt;&gt;"))</f>
        <v/>
      </c>
    </row>
    <row r="132" spans="1:10" ht="21" customHeight="1" x14ac:dyDescent="0.15">
      <c r="A132" s="14"/>
      <c r="B132" s="14"/>
      <c r="C132" s="9"/>
      <c r="D132" s="9"/>
      <c r="E132" s="9"/>
      <c r="F132" s="10"/>
      <c r="G132" s="10"/>
      <c r="H132" s="11"/>
      <c r="I132" s="12"/>
      <c r="J132" t="str">
        <f>IF(OR(B132="",C132=""),"",B132&amp;"-"&amp;COUNTIFS($B$5:B132,B132,$C$5:C132,"&lt;&gt;"))</f>
        <v/>
      </c>
    </row>
    <row r="133" spans="1:10" ht="21" customHeight="1" x14ac:dyDescent="0.15">
      <c r="A133" s="14"/>
      <c r="B133" s="14"/>
      <c r="C133" s="9"/>
      <c r="D133" s="9"/>
      <c r="E133" s="9"/>
      <c r="F133" s="10"/>
      <c r="G133" s="10"/>
      <c r="H133" s="11"/>
      <c r="I133" s="12"/>
      <c r="J133" t="str">
        <f>IF(OR(B133="",C133=""),"",B133&amp;"-"&amp;COUNTIFS($B$5:B133,B133,$C$5:C133,"&lt;&gt;"))</f>
        <v/>
      </c>
    </row>
    <row r="134" spans="1:10" ht="21" customHeight="1" x14ac:dyDescent="0.15">
      <c r="A134" s="14"/>
      <c r="B134" s="14"/>
      <c r="C134" s="9"/>
      <c r="D134" s="9"/>
      <c r="E134" s="9"/>
      <c r="F134" s="10"/>
      <c r="G134" s="10"/>
      <c r="H134" s="11"/>
      <c r="I134" s="12"/>
      <c r="J134" t="str">
        <f>IF(OR(B134="",C134=""),"",B134&amp;"-"&amp;COUNTIFS($B$5:B134,B134,$C$5:C134,"&lt;&gt;"))</f>
        <v/>
      </c>
    </row>
    <row r="135" spans="1:10" ht="21" customHeight="1" x14ac:dyDescent="0.15">
      <c r="A135" s="14"/>
      <c r="B135" s="14"/>
      <c r="C135" s="9"/>
      <c r="D135" s="9"/>
      <c r="E135" s="9"/>
      <c r="F135" s="10"/>
      <c r="G135" s="10"/>
      <c r="H135" s="11"/>
      <c r="I135" s="12"/>
      <c r="J135" t="str">
        <f>IF(OR(B135="",C135=""),"",B135&amp;"-"&amp;COUNTIFS($B$5:B135,B135,$C$5:C135,"&lt;&gt;"))</f>
        <v/>
      </c>
    </row>
    <row r="136" spans="1:10" ht="21" customHeight="1" x14ac:dyDescent="0.15">
      <c r="A136" s="14"/>
      <c r="B136" s="14"/>
      <c r="C136" s="9"/>
      <c r="D136" s="9"/>
      <c r="E136" s="9"/>
      <c r="F136" s="10"/>
      <c r="G136" s="10"/>
      <c r="H136" s="11"/>
      <c r="I136" s="12"/>
      <c r="J136" t="str">
        <f>IF(OR(B136="",C136=""),"",B136&amp;"-"&amp;COUNTIFS($B$5:B136,B136,$C$5:C136,"&lt;&gt;"))</f>
        <v/>
      </c>
    </row>
    <row r="137" spans="1:10" ht="21" customHeight="1" x14ac:dyDescent="0.15">
      <c r="A137" s="14"/>
      <c r="B137" s="14"/>
      <c r="C137" s="9"/>
      <c r="D137" s="9"/>
      <c r="E137" s="9"/>
      <c r="F137" s="10"/>
      <c r="G137" s="10"/>
      <c r="H137" s="11"/>
      <c r="I137" s="12"/>
      <c r="J137" t="str">
        <f>IF(OR(B137="",C137=""),"",B137&amp;"-"&amp;COUNTIFS($B$5:B137,B137,$C$5:C137,"&lt;&gt;"))</f>
        <v/>
      </c>
    </row>
    <row r="138" spans="1:10" ht="21" customHeight="1" x14ac:dyDescent="0.15">
      <c r="A138" s="14"/>
      <c r="B138" s="14"/>
      <c r="C138" s="9"/>
      <c r="D138" s="9"/>
      <c r="E138" s="9"/>
      <c r="F138" s="10"/>
      <c r="G138" s="10"/>
      <c r="H138" s="11"/>
      <c r="I138" s="12"/>
      <c r="J138" t="str">
        <f>IF(OR(B138="",C138=""),"",B138&amp;"-"&amp;COUNTIFS($B$5:B138,B138,$C$5:C138,"&lt;&gt;"))</f>
        <v/>
      </c>
    </row>
    <row r="139" spans="1:10" ht="21" customHeight="1" x14ac:dyDescent="0.15">
      <c r="A139" s="14"/>
      <c r="B139" s="14"/>
      <c r="C139" s="9"/>
      <c r="D139" s="9"/>
      <c r="E139" s="9"/>
      <c r="F139" s="10"/>
      <c r="G139" s="10"/>
      <c r="H139" s="11"/>
      <c r="I139" s="12"/>
      <c r="J139" t="str">
        <f>IF(OR(B139="",C139=""),"",B139&amp;"-"&amp;COUNTIFS($B$5:B139,B139,$C$5:C139,"&lt;&gt;"))</f>
        <v/>
      </c>
    </row>
    <row r="140" spans="1:10" ht="21" customHeight="1" x14ac:dyDescent="0.15">
      <c r="A140" s="14"/>
      <c r="B140" s="14"/>
      <c r="C140" s="9"/>
      <c r="D140" s="9"/>
      <c r="E140" s="9"/>
      <c r="F140" s="10"/>
      <c r="G140" s="10"/>
      <c r="H140" s="11"/>
      <c r="I140" s="12"/>
      <c r="J140" t="str">
        <f>IF(OR(B140="",C140=""),"",B140&amp;"-"&amp;COUNTIFS($B$5:B140,B140,$C$5:C140,"&lt;&gt;"))</f>
        <v/>
      </c>
    </row>
    <row r="141" spans="1:10" ht="21" customHeight="1" x14ac:dyDescent="0.15">
      <c r="A141" s="14"/>
      <c r="B141" s="14"/>
      <c r="C141" s="9"/>
      <c r="D141" s="9"/>
      <c r="E141" s="9"/>
      <c r="F141" s="10"/>
      <c r="G141" s="10"/>
      <c r="H141" s="11"/>
      <c r="I141" s="12"/>
      <c r="J141" t="str">
        <f>IF(OR(B141="",C141=""),"",B141&amp;"-"&amp;COUNTIFS($B$5:B141,B141,$C$5:C141,"&lt;&gt;"))</f>
        <v/>
      </c>
    </row>
    <row r="142" spans="1:10" ht="21" customHeight="1" x14ac:dyDescent="0.15">
      <c r="A142" s="14"/>
      <c r="B142" s="14"/>
      <c r="C142" s="9"/>
      <c r="D142" s="9"/>
      <c r="E142" s="9"/>
      <c r="F142" s="10"/>
      <c r="G142" s="10"/>
      <c r="H142" s="11"/>
      <c r="I142" s="12"/>
      <c r="J142" t="str">
        <f>IF(OR(B142="",C142=""),"",B142&amp;"-"&amp;COUNTIFS($B$5:B142,B142,$C$5:C142,"&lt;&gt;"))</f>
        <v/>
      </c>
    </row>
    <row r="143" spans="1:10" ht="21" customHeight="1" x14ac:dyDescent="0.15">
      <c r="A143" s="14"/>
      <c r="B143" s="14"/>
      <c r="C143" s="9"/>
      <c r="D143" s="9"/>
      <c r="E143" s="9"/>
      <c r="F143" s="10"/>
      <c r="G143" s="10"/>
      <c r="H143" s="11"/>
      <c r="I143" s="12"/>
      <c r="J143" t="str">
        <f>IF(OR(B143="",C143=""),"",B143&amp;"-"&amp;COUNTIFS($B$5:B143,B143,$C$5:C143,"&lt;&gt;"))</f>
        <v/>
      </c>
    </row>
    <row r="144" spans="1:10" ht="21" customHeight="1" x14ac:dyDescent="0.15">
      <c r="A144" s="14"/>
      <c r="B144" s="14"/>
      <c r="C144" s="9"/>
      <c r="D144" s="9"/>
      <c r="E144" s="9"/>
      <c r="F144" s="10"/>
      <c r="G144" s="10"/>
      <c r="H144" s="11"/>
      <c r="I144" s="12"/>
      <c r="J144" t="str">
        <f>IF(OR(B144="",C144=""),"",B144&amp;"-"&amp;COUNTIFS($B$5:B144,B144,$C$5:C144,"&lt;&gt;"))</f>
        <v/>
      </c>
    </row>
    <row r="145" spans="1:10" ht="21" customHeight="1" x14ac:dyDescent="0.15">
      <c r="A145" s="14"/>
      <c r="B145" s="14"/>
      <c r="C145" s="9"/>
      <c r="D145" s="9"/>
      <c r="E145" s="9"/>
      <c r="F145" s="10"/>
      <c r="G145" s="10"/>
      <c r="H145" s="11"/>
      <c r="I145" s="12"/>
      <c r="J145" t="str">
        <f>IF(OR(B145="",C145=""),"",B145&amp;"-"&amp;COUNTIFS($B$5:B145,B145,$C$5:C145,"&lt;&gt;"))</f>
        <v/>
      </c>
    </row>
    <row r="146" spans="1:10" ht="21" customHeight="1" x14ac:dyDescent="0.15">
      <c r="A146" s="14"/>
      <c r="B146" s="14"/>
      <c r="C146" s="9"/>
      <c r="D146" s="9"/>
      <c r="E146" s="9"/>
      <c r="F146" s="10"/>
      <c r="G146" s="10"/>
      <c r="H146" s="11"/>
      <c r="I146" s="12"/>
      <c r="J146" t="str">
        <f>IF(OR(B146="",C146=""),"",B146&amp;"-"&amp;COUNTIFS($B$5:B146,B146,$C$5:C146,"&lt;&gt;"))</f>
        <v/>
      </c>
    </row>
    <row r="147" spans="1:10" ht="21" customHeight="1" x14ac:dyDescent="0.15">
      <c r="A147" s="14"/>
      <c r="B147" s="14"/>
      <c r="C147" s="9"/>
      <c r="D147" s="9"/>
      <c r="E147" s="9"/>
      <c r="F147" s="10"/>
      <c r="G147" s="10"/>
      <c r="H147" s="11"/>
      <c r="I147" s="12"/>
      <c r="J147" t="str">
        <f>IF(OR(B147="",C147=""),"",B147&amp;"-"&amp;COUNTIFS($B$5:B147,B147,$C$5:C147,"&lt;&gt;"))</f>
        <v/>
      </c>
    </row>
    <row r="148" spans="1:10" ht="21" customHeight="1" x14ac:dyDescent="0.15">
      <c r="A148" s="14"/>
      <c r="B148" s="14"/>
      <c r="C148" s="9"/>
      <c r="D148" s="9"/>
      <c r="E148" s="9"/>
      <c r="F148" s="10"/>
      <c r="G148" s="10"/>
      <c r="H148" s="11"/>
      <c r="I148" s="12"/>
      <c r="J148" t="str">
        <f>IF(OR(B148="",C148=""),"",B148&amp;"-"&amp;COUNTIFS($B$5:B148,B148,$C$5:C148,"&lt;&gt;"))</f>
        <v/>
      </c>
    </row>
    <row r="149" spans="1:10" ht="21" customHeight="1" x14ac:dyDescent="0.15">
      <c r="A149" s="14"/>
      <c r="B149" s="14"/>
      <c r="C149" s="9"/>
      <c r="D149" s="9"/>
      <c r="E149" s="9"/>
      <c r="F149" s="10"/>
      <c r="G149" s="10"/>
      <c r="H149" s="11"/>
      <c r="I149" s="12"/>
      <c r="J149" t="str">
        <f>IF(OR(B149="",C149=""),"",B149&amp;"-"&amp;COUNTIFS($B$5:B149,B149,$C$5:C149,"&lt;&gt;"))</f>
        <v/>
      </c>
    </row>
    <row r="150" spans="1:10" ht="21" customHeight="1" x14ac:dyDescent="0.15">
      <c r="A150" s="14"/>
      <c r="B150" s="14"/>
      <c r="C150" s="9"/>
      <c r="D150" s="9"/>
      <c r="E150" s="9"/>
      <c r="F150" s="10"/>
      <c r="G150" s="10"/>
      <c r="H150" s="11"/>
      <c r="I150" s="12"/>
      <c r="J150" t="str">
        <f>IF(OR(B150="",C150=""),"",B150&amp;"-"&amp;COUNTIFS($B$5:B150,B150,$C$5:C150,"&lt;&gt;"))</f>
        <v/>
      </c>
    </row>
    <row r="151" spans="1:10" ht="21" customHeight="1" x14ac:dyDescent="0.15">
      <c r="A151" s="14"/>
      <c r="B151" s="14"/>
      <c r="C151" s="9"/>
      <c r="D151" s="9"/>
      <c r="E151" s="9"/>
      <c r="F151" s="10"/>
      <c r="G151" s="10"/>
      <c r="H151" s="11"/>
      <c r="I151" s="12"/>
      <c r="J151" t="str">
        <f>IF(OR(B151="",C151=""),"",B151&amp;"-"&amp;COUNTIFS($B$5:B151,B151,$C$5:C151,"&lt;&gt;"))</f>
        <v/>
      </c>
    </row>
    <row r="152" spans="1:10" ht="21" customHeight="1" x14ac:dyDescent="0.15">
      <c r="A152" s="14"/>
      <c r="B152" s="14"/>
      <c r="C152" s="9"/>
      <c r="D152" s="9"/>
      <c r="E152" s="9"/>
      <c r="F152" s="10"/>
      <c r="G152" s="10"/>
      <c r="H152" s="11"/>
      <c r="I152" s="12"/>
      <c r="J152" t="str">
        <f>IF(OR(B152="",C152=""),"",B152&amp;"-"&amp;COUNTIFS($B$5:B152,B152,$C$5:C152,"&lt;&gt;"))</f>
        <v/>
      </c>
    </row>
    <row r="153" spans="1:10" ht="21" customHeight="1" x14ac:dyDescent="0.15">
      <c r="A153" s="14"/>
      <c r="B153" s="14"/>
      <c r="C153" s="9"/>
      <c r="D153" s="9"/>
      <c r="E153" s="9"/>
      <c r="F153" s="10"/>
      <c r="G153" s="10"/>
      <c r="H153" s="11"/>
      <c r="I153" s="12"/>
      <c r="J153" t="str">
        <f>IF(OR(B153="",C153=""),"",B153&amp;"-"&amp;COUNTIFS($B$5:B153,B153,$C$5:C153,"&lt;&gt;"))</f>
        <v/>
      </c>
    </row>
    <row r="154" spans="1:10" ht="21" customHeight="1" x14ac:dyDescent="0.15">
      <c r="A154" s="14"/>
      <c r="B154" s="14"/>
      <c r="C154" s="9"/>
      <c r="D154" s="9"/>
      <c r="E154" s="9"/>
      <c r="F154" s="10"/>
      <c r="G154" s="10"/>
      <c r="H154" s="11"/>
      <c r="I154" s="12"/>
      <c r="J154" t="str">
        <f>IF(OR(B154="",C154=""),"",B154&amp;"-"&amp;COUNTIFS($B$5:B154,B154,$C$5:C154,"&lt;&gt;"))</f>
        <v/>
      </c>
    </row>
    <row r="155" spans="1:10" ht="21" customHeight="1" x14ac:dyDescent="0.15">
      <c r="A155" s="14"/>
      <c r="B155" s="14"/>
      <c r="C155" s="9"/>
      <c r="D155" s="9"/>
      <c r="E155" s="9"/>
      <c r="F155" s="10"/>
      <c r="G155" s="10"/>
      <c r="H155" s="11"/>
      <c r="I155" s="12"/>
      <c r="J155" t="str">
        <f>IF(OR(B155="",C155=""),"",B155&amp;"-"&amp;COUNTIFS($B$5:B155,B155,$C$5:C155,"&lt;&gt;"))</f>
        <v/>
      </c>
    </row>
    <row r="156" spans="1:10" ht="21" customHeight="1" x14ac:dyDescent="0.15">
      <c r="A156" s="14"/>
      <c r="B156" s="14"/>
      <c r="C156" s="9"/>
      <c r="D156" s="9"/>
      <c r="E156" s="9"/>
      <c r="F156" s="10"/>
      <c r="G156" s="10"/>
      <c r="H156" s="11"/>
      <c r="I156" s="12"/>
      <c r="J156" t="str">
        <f>IF(OR(B156="",C156=""),"",B156&amp;"-"&amp;COUNTIFS($B$5:B156,B156,$C$5:C156,"&lt;&gt;"))</f>
        <v/>
      </c>
    </row>
    <row r="157" spans="1:10" ht="21" customHeight="1" x14ac:dyDescent="0.15">
      <c r="A157" s="14"/>
      <c r="B157" s="14"/>
      <c r="C157" s="9"/>
      <c r="D157" s="9"/>
      <c r="E157" s="9"/>
      <c r="F157" s="10"/>
      <c r="G157" s="10"/>
      <c r="H157" s="11"/>
      <c r="I157" s="12"/>
      <c r="J157" t="str">
        <f>IF(OR(B157="",C157=""),"",B157&amp;"-"&amp;COUNTIFS($B$5:B157,B157,$C$5:C157,"&lt;&gt;"))</f>
        <v/>
      </c>
    </row>
    <row r="158" spans="1:10" ht="21" customHeight="1" x14ac:dyDescent="0.15">
      <c r="A158" s="14"/>
      <c r="B158" s="14"/>
      <c r="C158" s="9"/>
      <c r="D158" s="9"/>
      <c r="E158" s="9"/>
      <c r="F158" s="10"/>
      <c r="G158" s="10"/>
      <c r="H158" s="11"/>
      <c r="I158" s="12"/>
      <c r="J158" t="str">
        <f>IF(OR(B158="",C158=""),"",B158&amp;"-"&amp;COUNTIFS($B$5:B158,B158,$C$5:C158,"&lt;&gt;"))</f>
        <v/>
      </c>
    </row>
    <row r="159" spans="1:10" ht="21" customHeight="1" x14ac:dyDescent="0.15">
      <c r="A159" s="14"/>
      <c r="B159" s="14"/>
      <c r="C159" s="9"/>
      <c r="D159" s="9"/>
      <c r="E159" s="9"/>
      <c r="F159" s="10"/>
      <c r="G159" s="10"/>
      <c r="H159" s="11"/>
      <c r="I159" s="12"/>
      <c r="J159" t="str">
        <f>IF(OR(B159="",C159=""),"",B159&amp;"-"&amp;COUNTIFS($B$5:B159,B159,$C$5:C159,"&lt;&gt;"))</f>
        <v/>
      </c>
    </row>
    <row r="160" spans="1:10" ht="21" customHeight="1" x14ac:dyDescent="0.15">
      <c r="A160" s="14"/>
      <c r="B160" s="14"/>
      <c r="C160" s="9"/>
      <c r="D160" s="9"/>
      <c r="E160" s="9"/>
      <c r="F160" s="10"/>
      <c r="G160" s="10"/>
      <c r="H160" s="11"/>
      <c r="I160" s="12"/>
      <c r="J160" t="str">
        <f>IF(OR(B160="",C160=""),"",B160&amp;"-"&amp;COUNTIFS($B$5:B160,B160,$C$5:C160,"&lt;&gt;"))</f>
        <v/>
      </c>
    </row>
    <row r="161" spans="1:10" ht="21" customHeight="1" x14ac:dyDescent="0.15">
      <c r="A161" s="14"/>
      <c r="B161" s="14"/>
      <c r="C161" s="9"/>
      <c r="D161" s="9"/>
      <c r="E161" s="9"/>
      <c r="F161" s="10"/>
      <c r="G161" s="10"/>
      <c r="H161" s="11"/>
      <c r="I161" s="12"/>
      <c r="J161" t="str">
        <f>IF(OR(B161="",C161=""),"",B161&amp;"-"&amp;COUNTIFS($B$5:B161,B161,$C$5:C161,"&lt;&gt;"))</f>
        <v/>
      </c>
    </row>
    <row r="162" spans="1:10" ht="21" customHeight="1" x14ac:dyDescent="0.15">
      <c r="A162" s="14"/>
      <c r="B162" s="14"/>
      <c r="C162" s="9"/>
      <c r="D162" s="9"/>
      <c r="E162" s="9"/>
      <c r="F162" s="10"/>
      <c r="G162" s="10"/>
      <c r="H162" s="11"/>
      <c r="I162" s="12"/>
      <c r="J162" t="str">
        <f>IF(OR(B162="",C162=""),"",B162&amp;"-"&amp;COUNTIFS($B$5:B162,B162,$C$5:C162,"&lt;&gt;"))</f>
        <v/>
      </c>
    </row>
    <row r="163" spans="1:10" ht="21" customHeight="1" x14ac:dyDescent="0.15">
      <c r="A163" s="14"/>
      <c r="B163" s="14"/>
      <c r="C163" s="9"/>
      <c r="D163" s="9"/>
      <c r="E163" s="9"/>
      <c r="F163" s="10"/>
      <c r="G163" s="10"/>
      <c r="H163" s="11"/>
      <c r="I163" s="12"/>
      <c r="J163" t="str">
        <f>IF(OR(B163="",C163=""),"",B163&amp;"-"&amp;COUNTIFS($B$5:B163,B163,$C$5:C163,"&lt;&gt;"))</f>
        <v/>
      </c>
    </row>
    <row r="164" spans="1:10" ht="21" customHeight="1" x14ac:dyDescent="0.15">
      <c r="A164" s="14"/>
      <c r="B164" s="14"/>
      <c r="C164" s="9"/>
      <c r="D164" s="9"/>
      <c r="E164" s="9"/>
      <c r="F164" s="10"/>
      <c r="G164" s="10"/>
      <c r="H164" s="11"/>
      <c r="I164" s="12"/>
      <c r="J164" t="str">
        <f>IF(OR(B164="",C164=""),"",B164&amp;"-"&amp;COUNTIFS($B$5:B164,B164,$C$5:C164,"&lt;&gt;"))</f>
        <v/>
      </c>
    </row>
    <row r="165" spans="1:10" ht="21" customHeight="1" x14ac:dyDescent="0.15">
      <c r="A165" s="14"/>
      <c r="B165" s="14"/>
      <c r="C165" s="9"/>
      <c r="D165" s="9"/>
      <c r="E165" s="9"/>
      <c r="F165" s="10"/>
      <c r="G165" s="10"/>
      <c r="H165" s="11"/>
      <c r="I165" s="12"/>
      <c r="J165" t="str">
        <f>IF(OR(B165="",C165=""),"",B165&amp;"-"&amp;COUNTIFS($B$5:B165,B165,$C$5:C165,"&lt;&gt;"))</f>
        <v/>
      </c>
    </row>
    <row r="166" spans="1:10" ht="21" customHeight="1" x14ac:dyDescent="0.15">
      <c r="A166" s="14"/>
      <c r="B166" s="14"/>
      <c r="C166" s="9"/>
      <c r="D166" s="9"/>
      <c r="E166" s="9"/>
      <c r="F166" s="10"/>
      <c r="G166" s="10"/>
      <c r="H166" s="11"/>
      <c r="I166" s="12"/>
      <c r="J166" t="str">
        <f>IF(OR(B166="",C166=""),"",B166&amp;"-"&amp;COUNTIFS($B$5:B166,B166,$C$5:C166,"&lt;&gt;"))</f>
        <v/>
      </c>
    </row>
    <row r="167" spans="1:10" ht="21" customHeight="1" x14ac:dyDescent="0.15">
      <c r="A167" s="14"/>
      <c r="B167" s="14"/>
      <c r="C167" s="9"/>
      <c r="D167" s="9"/>
      <c r="E167" s="9"/>
      <c r="F167" s="10"/>
      <c r="G167" s="10"/>
      <c r="H167" s="11"/>
      <c r="I167" s="12"/>
      <c r="J167" t="str">
        <f>IF(OR(B167="",C167=""),"",B167&amp;"-"&amp;COUNTIFS($B$5:B167,B167,$C$5:C167,"&lt;&gt;"))</f>
        <v/>
      </c>
    </row>
    <row r="168" spans="1:10" ht="21" customHeight="1" x14ac:dyDescent="0.15">
      <c r="A168" s="14"/>
      <c r="B168" s="14"/>
      <c r="C168" s="9"/>
      <c r="D168" s="9"/>
      <c r="E168" s="9"/>
      <c r="F168" s="10"/>
      <c r="G168" s="10"/>
      <c r="H168" s="11"/>
      <c r="I168" s="12"/>
      <c r="J168" t="str">
        <f>IF(OR(B168="",C168=""),"",B168&amp;"-"&amp;COUNTIFS($B$5:B168,B168,$C$5:C168,"&lt;&gt;"))</f>
        <v/>
      </c>
    </row>
    <row r="169" spans="1:10" ht="21" customHeight="1" x14ac:dyDescent="0.15">
      <c r="A169" s="14"/>
      <c r="B169" s="14"/>
      <c r="C169" s="9"/>
      <c r="D169" s="9"/>
      <c r="E169" s="9"/>
      <c r="F169" s="10"/>
      <c r="G169" s="10"/>
      <c r="H169" s="11"/>
      <c r="I169" s="12"/>
      <c r="J169" t="str">
        <f>IF(OR(B169="",C169=""),"",B169&amp;"-"&amp;COUNTIFS($B$5:B169,B169,$C$5:C169,"&lt;&gt;"))</f>
        <v/>
      </c>
    </row>
    <row r="170" spans="1:10" ht="21" customHeight="1" x14ac:dyDescent="0.15">
      <c r="A170" s="14"/>
      <c r="B170" s="14"/>
      <c r="C170" s="9"/>
      <c r="D170" s="9"/>
      <c r="E170" s="9"/>
      <c r="F170" s="10"/>
      <c r="G170" s="10"/>
      <c r="H170" s="11"/>
      <c r="I170" s="12"/>
      <c r="J170" t="str">
        <f>IF(OR(B170="",C170=""),"",B170&amp;"-"&amp;COUNTIFS($B$5:B170,B170,$C$5:C170,"&lt;&gt;"))</f>
        <v/>
      </c>
    </row>
    <row r="171" spans="1:10" ht="21" customHeight="1" x14ac:dyDescent="0.15">
      <c r="A171" s="14"/>
      <c r="B171" s="14"/>
      <c r="C171" s="9"/>
      <c r="D171" s="9"/>
      <c r="E171" s="9"/>
      <c r="F171" s="10"/>
      <c r="G171" s="10"/>
      <c r="H171" s="11"/>
      <c r="I171" s="12"/>
      <c r="J171" t="str">
        <f>IF(OR(B171="",C171=""),"",B171&amp;"-"&amp;COUNTIFS($B$5:B171,B171,$C$5:C171,"&lt;&gt;"))</f>
        <v/>
      </c>
    </row>
    <row r="172" spans="1:10" ht="21" customHeight="1" x14ac:dyDescent="0.15">
      <c r="A172" s="14"/>
      <c r="B172" s="14"/>
      <c r="C172" s="9"/>
      <c r="D172" s="9"/>
      <c r="E172" s="9"/>
      <c r="F172" s="10"/>
      <c r="G172" s="10"/>
      <c r="H172" s="11"/>
      <c r="I172" s="12"/>
      <c r="J172" t="str">
        <f>IF(OR(B172="",C172=""),"",B172&amp;"-"&amp;COUNTIFS($B$5:B172,B172,$C$5:C172,"&lt;&gt;"))</f>
        <v/>
      </c>
    </row>
    <row r="173" spans="1:10" ht="21" customHeight="1" x14ac:dyDescent="0.15">
      <c r="A173" s="14"/>
      <c r="B173" s="14"/>
      <c r="C173" s="9"/>
      <c r="D173" s="9"/>
      <c r="E173" s="9"/>
      <c r="F173" s="10"/>
      <c r="G173" s="10"/>
      <c r="H173" s="11"/>
      <c r="I173" s="12"/>
      <c r="J173" t="str">
        <f>IF(OR(B173="",C173=""),"",B173&amp;"-"&amp;COUNTIFS($B$5:B173,B173,$C$5:C173,"&lt;&gt;"))</f>
        <v/>
      </c>
    </row>
    <row r="174" spans="1:10" ht="21" customHeight="1" x14ac:dyDescent="0.15">
      <c r="A174" s="14"/>
      <c r="B174" s="14"/>
      <c r="C174" s="9"/>
      <c r="D174" s="9"/>
      <c r="E174" s="9"/>
      <c r="F174" s="10"/>
      <c r="G174" s="10"/>
      <c r="H174" s="11"/>
      <c r="I174" s="12"/>
      <c r="J174" t="str">
        <f>IF(OR(B174="",C174=""),"",B174&amp;"-"&amp;COUNTIFS($B$5:B174,B174,$C$5:C174,"&lt;&gt;"))</f>
        <v/>
      </c>
    </row>
    <row r="175" spans="1:10" ht="21" customHeight="1" x14ac:dyDescent="0.15">
      <c r="A175" s="14"/>
      <c r="B175" s="14"/>
      <c r="C175" s="9"/>
      <c r="D175" s="9"/>
      <c r="E175" s="9"/>
      <c r="F175" s="10"/>
      <c r="G175" s="10"/>
      <c r="H175" s="11"/>
      <c r="I175" s="12"/>
      <c r="J175" t="str">
        <f>IF(OR(B175="",C175=""),"",B175&amp;"-"&amp;COUNTIFS($B$5:B175,B175,$C$5:C175,"&lt;&gt;"))</f>
        <v/>
      </c>
    </row>
    <row r="176" spans="1:10" ht="21" customHeight="1" x14ac:dyDescent="0.15">
      <c r="A176" s="14"/>
      <c r="B176" s="14"/>
      <c r="C176" s="9"/>
      <c r="D176" s="9"/>
      <c r="E176" s="9"/>
      <c r="F176" s="10"/>
      <c r="G176" s="10"/>
      <c r="H176" s="11"/>
      <c r="I176" s="12"/>
      <c r="J176" t="str">
        <f>IF(OR(B176="",C176=""),"",B176&amp;"-"&amp;COUNTIFS($B$5:B176,B176,$C$5:C176,"&lt;&gt;"))</f>
        <v/>
      </c>
    </row>
    <row r="177" spans="1:10" ht="21" customHeight="1" x14ac:dyDescent="0.15">
      <c r="A177" s="14"/>
      <c r="B177" s="14"/>
      <c r="C177" s="9"/>
      <c r="D177" s="9"/>
      <c r="E177" s="9"/>
      <c r="F177" s="10"/>
      <c r="G177" s="10"/>
      <c r="H177" s="11"/>
      <c r="I177" s="12"/>
      <c r="J177" t="str">
        <f>IF(OR(B177="",C177=""),"",B177&amp;"-"&amp;COUNTIFS($B$5:B177,B177,$C$5:C177,"&lt;&gt;"))</f>
        <v/>
      </c>
    </row>
    <row r="178" spans="1:10" ht="21" customHeight="1" x14ac:dyDescent="0.15">
      <c r="A178" s="14"/>
      <c r="B178" s="14"/>
      <c r="C178" s="9"/>
      <c r="D178" s="9"/>
      <c r="E178" s="9"/>
      <c r="F178" s="10"/>
      <c r="G178" s="10"/>
      <c r="H178" s="11"/>
      <c r="I178" s="12"/>
      <c r="J178" t="str">
        <f>IF(OR(B178="",C178=""),"",B178&amp;"-"&amp;COUNTIFS($B$5:B178,B178,$C$5:C178,"&lt;&gt;"))</f>
        <v/>
      </c>
    </row>
    <row r="179" spans="1:10" ht="21" customHeight="1" x14ac:dyDescent="0.15">
      <c r="A179" s="14"/>
      <c r="B179" s="14"/>
      <c r="C179" s="9"/>
      <c r="D179" s="9"/>
      <c r="E179" s="9"/>
      <c r="F179" s="10"/>
      <c r="G179" s="10"/>
      <c r="H179" s="11"/>
      <c r="I179" s="12"/>
      <c r="J179" t="str">
        <f>IF(OR(B179="",C179=""),"",B179&amp;"-"&amp;COUNTIFS($B$5:B179,B179,$C$5:C179,"&lt;&gt;"))</f>
        <v/>
      </c>
    </row>
    <row r="180" spans="1:10" ht="21" customHeight="1" x14ac:dyDescent="0.15">
      <c r="A180" s="14"/>
      <c r="B180" s="14"/>
      <c r="C180" s="9"/>
      <c r="D180" s="9"/>
      <c r="E180" s="9"/>
      <c r="F180" s="10"/>
      <c r="G180" s="10"/>
      <c r="H180" s="11"/>
      <c r="I180" s="12"/>
      <c r="J180" t="str">
        <f>IF(OR(B180="",C180=""),"",B180&amp;"-"&amp;COUNTIFS($B$5:B180,B180,$C$5:C180,"&lt;&gt;"))</f>
        <v/>
      </c>
    </row>
    <row r="181" spans="1:10" ht="21" customHeight="1" x14ac:dyDescent="0.15">
      <c r="A181" s="14"/>
      <c r="B181" s="14"/>
      <c r="C181" s="9"/>
      <c r="D181" s="9"/>
      <c r="E181" s="9"/>
      <c r="F181" s="10"/>
      <c r="G181" s="10"/>
      <c r="H181" s="11"/>
      <c r="I181" s="12"/>
      <c r="J181" t="str">
        <f>IF(OR(B181="",C181=""),"",B181&amp;"-"&amp;COUNTIFS($B$5:B181,B181,$C$5:C181,"&lt;&gt;"))</f>
        <v/>
      </c>
    </row>
    <row r="182" spans="1:10" ht="21" customHeight="1" x14ac:dyDescent="0.15">
      <c r="A182" s="14"/>
      <c r="B182" s="14"/>
      <c r="C182" s="9"/>
      <c r="D182" s="9"/>
      <c r="E182" s="9"/>
      <c r="F182" s="10"/>
      <c r="G182" s="10"/>
      <c r="H182" s="11"/>
      <c r="I182" s="12"/>
      <c r="J182" t="str">
        <f>IF(OR(B182="",C182=""),"",B182&amp;"-"&amp;COUNTIFS($B$5:B182,B182,$C$5:C182,"&lt;&gt;"))</f>
        <v/>
      </c>
    </row>
    <row r="183" spans="1:10" ht="21" customHeight="1" x14ac:dyDescent="0.15">
      <c r="A183" s="14"/>
      <c r="B183" s="14"/>
      <c r="C183" s="9"/>
      <c r="D183" s="9"/>
      <c r="E183" s="9"/>
      <c r="F183" s="10"/>
      <c r="G183" s="10"/>
      <c r="H183" s="11"/>
      <c r="I183" s="12"/>
      <c r="J183" t="str">
        <f>IF(OR(B183="",C183=""),"",B183&amp;"-"&amp;COUNTIFS($B$5:B183,B183,$C$5:C183,"&lt;&gt;"))</f>
        <v/>
      </c>
    </row>
    <row r="184" spans="1:10" ht="21" customHeight="1" x14ac:dyDescent="0.15">
      <c r="A184" s="14"/>
      <c r="B184" s="14"/>
      <c r="C184" s="9"/>
      <c r="D184" s="9"/>
      <c r="E184" s="9"/>
      <c r="F184" s="10"/>
      <c r="G184" s="10"/>
      <c r="H184" s="11"/>
      <c r="I184" s="12"/>
      <c r="J184" t="str">
        <f>IF(OR(B184="",C184=""),"",B184&amp;"-"&amp;COUNTIFS($B$5:B184,B184,$C$5:C184,"&lt;&gt;"))</f>
        <v/>
      </c>
    </row>
    <row r="185" spans="1:10" ht="21" customHeight="1" x14ac:dyDescent="0.15">
      <c r="A185" s="14"/>
      <c r="B185" s="14"/>
      <c r="C185" s="9"/>
      <c r="D185" s="9"/>
      <c r="E185" s="9"/>
      <c r="F185" s="10"/>
      <c r="G185" s="10"/>
      <c r="H185" s="11"/>
      <c r="I185" s="12"/>
      <c r="J185" t="str">
        <f>IF(OR(B185="",C185=""),"",B185&amp;"-"&amp;COUNTIFS($B$5:B185,B185,$C$5:C185,"&lt;&gt;"))</f>
        <v/>
      </c>
    </row>
    <row r="186" spans="1:10" ht="21" customHeight="1" x14ac:dyDescent="0.15">
      <c r="A186" s="14"/>
      <c r="B186" s="14"/>
      <c r="C186" s="9"/>
      <c r="D186" s="9"/>
      <c r="E186" s="9"/>
      <c r="F186" s="10"/>
      <c r="G186" s="10"/>
      <c r="H186" s="11"/>
      <c r="I186" s="12"/>
      <c r="J186" t="str">
        <f>IF(OR(B186="",C186=""),"",B186&amp;"-"&amp;COUNTIFS($B$5:B186,B186,$C$5:C186,"&lt;&gt;"))</f>
        <v/>
      </c>
    </row>
    <row r="187" spans="1:10" ht="21" customHeight="1" x14ac:dyDescent="0.15">
      <c r="A187" s="14"/>
      <c r="B187" s="14"/>
      <c r="C187" s="9"/>
      <c r="D187" s="9"/>
      <c r="E187" s="9"/>
      <c r="F187" s="10"/>
      <c r="G187" s="10"/>
      <c r="H187" s="11"/>
      <c r="I187" s="12"/>
      <c r="J187" t="str">
        <f>IF(OR(B187="",C187=""),"",B187&amp;"-"&amp;COUNTIFS($B$5:B187,B187,$C$5:C187,"&lt;&gt;"))</f>
        <v/>
      </c>
    </row>
    <row r="188" spans="1:10" ht="21" customHeight="1" x14ac:dyDescent="0.15">
      <c r="A188" s="14"/>
      <c r="B188" s="14"/>
      <c r="C188" s="9"/>
      <c r="D188" s="9"/>
      <c r="E188" s="9"/>
      <c r="F188" s="10"/>
      <c r="G188" s="10"/>
      <c r="H188" s="11"/>
      <c r="I188" s="12"/>
      <c r="J188" t="str">
        <f>IF(OR(B188="",C188=""),"",B188&amp;"-"&amp;COUNTIFS($B$5:B188,B188,$C$5:C188,"&lt;&gt;"))</f>
        <v/>
      </c>
    </row>
    <row r="189" spans="1:10" ht="21" customHeight="1" x14ac:dyDescent="0.15">
      <c r="A189" s="14"/>
      <c r="B189" s="14"/>
      <c r="C189" s="9"/>
      <c r="D189" s="9"/>
      <c r="E189" s="9"/>
      <c r="F189" s="10"/>
      <c r="G189" s="10"/>
      <c r="H189" s="11"/>
      <c r="I189" s="12"/>
      <c r="J189" t="str">
        <f>IF(OR(B189="",C189=""),"",B189&amp;"-"&amp;COUNTIFS($B$5:B189,B189,$C$5:C189,"&lt;&gt;"))</f>
        <v/>
      </c>
    </row>
    <row r="190" spans="1:10" ht="21" customHeight="1" x14ac:dyDescent="0.15">
      <c r="A190" s="14"/>
      <c r="B190" s="14"/>
      <c r="C190" s="9"/>
      <c r="D190" s="9"/>
      <c r="E190" s="9"/>
      <c r="F190" s="10"/>
      <c r="G190" s="10"/>
      <c r="H190" s="11"/>
      <c r="I190" s="12"/>
      <c r="J190" t="str">
        <f>IF(OR(B190="",C190=""),"",B190&amp;"-"&amp;COUNTIFS($B$5:B190,B190,$C$5:C190,"&lt;&gt;"))</f>
        <v/>
      </c>
    </row>
    <row r="191" spans="1:10" ht="21" customHeight="1" x14ac:dyDescent="0.15">
      <c r="A191" s="14"/>
      <c r="B191" s="14"/>
      <c r="C191" s="9"/>
      <c r="D191" s="9"/>
      <c r="E191" s="9"/>
      <c r="F191" s="10"/>
      <c r="G191" s="10"/>
      <c r="H191" s="11"/>
      <c r="I191" s="12"/>
      <c r="J191" t="str">
        <f>IF(OR(B191="",C191=""),"",B191&amp;"-"&amp;COUNTIFS($B$5:B191,B191,$C$5:C191,"&lt;&gt;"))</f>
        <v/>
      </c>
    </row>
    <row r="192" spans="1:10" ht="21" customHeight="1" x14ac:dyDescent="0.15">
      <c r="A192" s="14"/>
      <c r="B192" s="14"/>
      <c r="C192" s="9"/>
      <c r="D192" s="9"/>
      <c r="E192" s="9"/>
      <c r="F192" s="10"/>
      <c r="G192" s="10"/>
      <c r="H192" s="11"/>
      <c r="I192" s="12"/>
      <c r="J192" t="str">
        <f>IF(OR(B192="",C192=""),"",B192&amp;"-"&amp;COUNTIFS($B$5:B192,B192,$C$5:C192,"&lt;&gt;"))</f>
        <v/>
      </c>
    </row>
    <row r="193" spans="1:10" ht="21" customHeight="1" x14ac:dyDescent="0.15">
      <c r="A193" s="14"/>
      <c r="B193" s="14"/>
      <c r="C193" s="9"/>
      <c r="D193" s="9"/>
      <c r="E193" s="9"/>
      <c r="F193" s="10"/>
      <c r="G193" s="10"/>
      <c r="H193" s="11"/>
      <c r="I193" s="12"/>
      <c r="J193" t="str">
        <f>IF(OR(B193="",C193=""),"",B193&amp;"-"&amp;COUNTIFS($B$5:B193,B193,$C$5:C193,"&lt;&gt;"))</f>
        <v/>
      </c>
    </row>
    <row r="194" spans="1:10" ht="21" customHeight="1" x14ac:dyDescent="0.15">
      <c r="A194" s="14"/>
      <c r="B194" s="14"/>
      <c r="C194" s="9"/>
      <c r="D194" s="9"/>
      <c r="E194" s="9"/>
      <c r="F194" s="10"/>
      <c r="G194" s="10"/>
      <c r="H194" s="11"/>
      <c r="I194" s="12"/>
      <c r="J194" t="str">
        <f>IF(OR(B194="",C194=""),"",B194&amp;"-"&amp;COUNTIFS($B$5:B194,B194,$C$5:C194,"&lt;&gt;"))</f>
        <v/>
      </c>
    </row>
    <row r="195" spans="1:10" ht="21" customHeight="1" x14ac:dyDescent="0.15">
      <c r="A195" s="14"/>
      <c r="B195" s="14"/>
      <c r="C195" s="9"/>
      <c r="D195" s="9"/>
      <c r="E195" s="9"/>
      <c r="F195" s="10"/>
      <c r="G195" s="10"/>
      <c r="H195" s="11"/>
      <c r="I195" s="12"/>
      <c r="J195" t="str">
        <f>IF(OR(B195="",C195=""),"",B195&amp;"-"&amp;COUNTIFS($B$5:B195,B195,$C$5:C195,"&lt;&gt;"))</f>
        <v/>
      </c>
    </row>
    <row r="196" spans="1:10" ht="21" customHeight="1" x14ac:dyDescent="0.15">
      <c r="A196" s="14"/>
      <c r="B196" s="14"/>
      <c r="C196" s="9"/>
      <c r="D196" s="9"/>
      <c r="E196" s="9"/>
      <c r="F196" s="10"/>
      <c r="G196" s="10"/>
      <c r="H196" s="11"/>
      <c r="I196" s="12"/>
      <c r="J196" t="str">
        <f>IF(OR(B196="",C196=""),"",B196&amp;"-"&amp;COUNTIFS($B$5:B196,B196,$C$5:C196,"&lt;&gt;"))</f>
        <v/>
      </c>
    </row>
    <row r="197" spans="1:10" ht="21" customHeight="1" x14ac:dyDescent="0.15">
      <c r="A197" s="14"/>
      <c r="B197" s="14"/>
      <c r="C197" s="9"/>
      <c r="D197" s="9"/>
      <c r="E197" s="9"/>
      <c r="F197" s="10"/>
      <c r="G197" s="10"/>
      <c r="H197" s="11"/>
      <c r="I197" s="12"/>
      <c r="J197" t="str">
        <f>IF(OR(B197="",C197=""),"",B197&amp;"-"&amp;COUNTIFS($B$5:B197,B197,$C$5:C197,"&lt;&gt;"))</f>
        <v/>
      </c>
    </row>
    <row r="198" spans="1:10" ht="21" customHeight="1" x14ac:dyDescent="0.15">
      <c r="A198" s="14"/>
      <c r="B198" s="14"/>
      <c r="C198" s="9"/>
      <c r="D198" s="9"/>
      <c r="E198" s="9"/>
      <c r="F198" s="10"/>
      <c r="G198" s="10"/>
      <c r="H198" s="11"/>
      <c r="I198" s="12"/>
      <c r="J198" t="str">
        <f>IF(OR(B198="",C198=""),"",B198&amp;"-"&amp;COUNTIFS($B$5:B198,B198,$C$5:C198,"&lt;&gt;"))</f>
        <v/>
      </c>
    </row>
    <row r="199" spans="1:10" ht="21" customHeight="1" x14ac:dyDescent="0.15">
      <c r="A199" s="14"/>
      <c r="B199" s="14"/>
      <c r="C199" s="9"/>
      <c r="D199" s="9"/>
      <c r="E199" s="9"/>
      <c r="F199" s="10"/>
      <c r="G199" s="10"/>
      <c r="H199" s="11"/>
      <c r="I199" s="12"/>
      <c r="J199" t="str">
        <f>IF(OR(B199="",C199=""),"",B199&amp;"-"&amp;COUNTIFS($B$5:B199,B199,$C$5:C199,"&lt;&gt;"))</f>
        <v/>
      </c>
    </row>
    <row r="200" spans="1:10" ht="21" customHeight="1" x14ac:dyDescent="0.15">
      <c r="A200" s="14"/>
      <c r="B200" s="14"/>
      <c r="C200" s="9"/>
      <c r="D200" s="9"/>
      <c r="E200" s="9"/>
      <c r="F200" s="10"/>
      <c r="G200" s="10"/>
      <c r="H200" s="11"/>
      <c r="I200" s="12"/>
      <c r="J200" t="str">
        <f>IF(OR(B200="",C200=""),"",B200&amp;"-"&amp;COUNTIFS($B$5:B200,B200,$C$5:C200,"&lt;&gt;"))</f>
        <v/>
      </c>
    </row>
    <row r="201" spans="1:10" ht="21" customHeight="1" x14ac:dyDescent="0.15">
      <c r="A201" s="14"/>
      <c r="B201" s="14"/>
      <c r="C201" s="9"/>
      <c r="D201" s="9"/>
      <c r="E201" s="9"/>
      <c r="F201" s="10"/>
      <c r="G201" s="10"/>
      <c r="H201" s="11"/>
      <c r="I201" s="12"/>
      <c r="J201" t="str">
        <f>IF(OR(B201="",C201=""),"",B201&amp;"-"&amp;COUNTIFS($B$5:B201,B201,$C$5:C201,"&lt;&gt;"))</f>
        <v/>
      </c>
    </row>
    <row r="202" spans="1:10" ht="21" customHeight="1" x14ac:dyDescent="0.15">
      <c r="A202" s="14"/>
      <c r="B202" s="14"/>
      <c r="C202" s="9"/>
      <c r="D202" s="9"/>
      <c r="E202" s="9"/>
      <c r="F202" s="10"/>
      <c r="G202" s="10"/>
      <c r="H202" s="11"/>
      <c r="I202" s="12"/>
      <c r="J202" t="str">
        <f>IF(OR(B202="",C202=""),"",B202&amp;"-"&amp;COUNTIFS($B$5:B202,B202,$C$5:C202,"&lt;&gt;"))</f>
        <v/>
      </c>
    </row>
    <row r="203" spans="1:10" ht="21" customHeight="1" x14ac:dyDescent="0.15">
      <c r="A203" s="14"/>
      <c r="B203" s="14"/>
      <c r="C203" s="9"/>
      <c r="D203" s="9"/>
      <c r="E203" s="9"/>
      <c r="F203" s="10"/>
      <c r="G203" s="10"/>
      <c r="H203" s="11"/>
      <c r="I203" s="12"/>
      <c r="J203" t="str">
        <f>IF(OR(B203="",C203=""),"",B203&amp;"-"&amp;COUNTIFS($B$5:B203,B203,$C$5:C203,"&lt;&gt;"))</f>
        <v/>
      </c>
    </row>
    <row r="204" spans="1:10" ht="21" customHeight="1" x14ac:dyDescent="0.15">
      <c r="A204" s="14"/>
      <c r="B204" s="14"/>
      <c r="C204" s="9"/>
      <c r="D204" s="9"/>
      <c r="E204" s="9"/>
      <c r="F204" s="10"/>
      <c r="G204" s="10"/>
      <c r="H204" s="11"/>
      <c r="I204" s="12"/>
      <c r="J204" t="str">
        <f>IF(OR(B204="",C204=""),"",B204&amp;"-"&amp;COUNTIFS($B$5:B204,B204,$C$5:C204,"&lt;&gt;"))</f>
        <v/>
      </c>
    </row>
    <row r="205" spans="1:10" ht="21" customHeight="1" x14ac:dyDescent="0.15">
      <c r="A205" s="14"/>
      <c r="B205" s="14"/>
      <c r="C205" s="9"/>
      <c r="D205" s="9"/>
      <c r="E205" s="9"/>
      <c r="F205" s="10"/>
      <c r="G205" s="10"/>
      <c r="H205" s="11"/>
      <c r="I205" s="12"/>
      <c r="J205" t="str">
        <f>IF(OR(B205="",C205=""),"",B205&amp;"-"&amp;COUNTIFS($B$5:B205,B205,$C$5:C205,"&lt;&gt;"))</f>
        <v/>
      </c>
    </row>
    <row r="206" spans="1:10" ht="21" customHeight="1" x14ac:dyDescent="0.15">
      <c r="A206" s="14"/>
      <c r="B206" s="14"/>
      <c r="C206" s="9"/>
      <c r="D206" s="9"/>
      <c r="E206" s="9"/>
      <c r="F206" s="10"/>
      <c r="G206" s="10"/>
      <c r="H206" s="11"/>
      <c r="I206" s="12"/>
      <c r="J206" t="str">
        <f>IF(OR(B206="",C206=""),"",B206&amp;"-"&amp;COUNTIFS($B$5:B206,B206,$C$5:C206,"&lt;&gt;"))</f>
        <v/>
      </c>
    </row>
    <row r="207" spans="1:10" ht="21" customHeight="1" x14ac:dyDescent="0.15">
      <c r="A207" s="14"/>
      <c r="B207" s="14"/>
      <c r="C207" s="9"/>
      <c r="D207" s="9"/>
      <c r="E207" s="9"/>
      <c r="F207" s="10"/>
      <c r="G207" s="10"/>
      <c r="H207" s="11"/>
      <c r="I207" s="12"/>
      <c r="J207" t="str">
        <f>IF(OR(B207="",C207=""),"",B207&amp;"-"&amp;COUNTIFS($B$5:B207,B207,$C$5:C207,"&lt;&gt;"))</f>
        <v/>
      </c>
    </row>
    <row r="208" spans="1:10" ht="21" customHeight="1" x14ac:dyDescent="0.15">
      <c r="A208" s="14"/>
      <c r="B208" s="14"/>
      <c r="C208" s="9"/>
      <c r="D208" s="9"/>
      <c r="E208" s="9"/>
      <c r="F208" s="10"/>
      <c r="G208" s="10"/>
      <c r="H208" s="11"/>
      <c r="I208" s="12"/>
      <c r="J208" t="str">
        <f>IF(OR(B208="",C208=""),"",B208&amp;"-"&amp;COUNTIFS($B$5:B208,B208,$C$5:C208,"&lt;&gt;"))</f>
        <v/>
      </c>
    </row>
    <row r="209" spans="1:10" ht="21" customHeight="1" x14ac:dyDescent="0.15">
      <c r="A209" s="14"/>
      <c r="B209" s="14"/>
      <c r="C209" s="9"/>
      <c r="D209" s="9"/>
      <c r="E209" s="9"/>
      <c r="F209" s="10"/>
      <c r="G209" s="10"/>
      <c r="H209" s="11"/>
      <c r="I209" s="12"/>
      <c r="J209" t="str">
        <f>IF(OR(B209="",C209=""),"",B209&amp;"-"&amp;COUNTIFS($B$5:B209,B209,$C$5:C209,"&lt;&gt;"))</f>
        <v/>
      </c>
    </row>
    <row r="210" spans="1:10" ht="21" customHeight="1" x14ac:dyDescent="0.15">
      <c r="A210" s="14"/>
      <c r="B210" s="14"/>
      <c r="C210" s="9"/>
      <c r="D210" s="9"/>
      <c r="E210" s="9"/>
      <c r="F210" s="10"/>
      <c r="G210" s="10"/>
      <c r="H210" s="11"/>
      <c r="I210" s="12"/>
      <c r="J210" t="str">
        <f>IF(OR(B210="",C210=""),"",B210&amp;"-"&amp;COUNTIFS($B$5:B210,B210,$C$5:C210,"&lt;&gt;"))</f>
        <v/>
      </c>
    </row>
    <row r="211" spans="1:10" ht="21" customHeight="1" x14ac:dyDescent="0.15">
      <c r="A211" s="14"/>
      <c r="B211" s="14"/>
      <c r="C211" s="9"/>
      <c r="D211" s="9"/>
      <c r="E211" s="9"/>
      <c r="F211" s="10"/>
      <c r="G211" s="10"/>
      <c r="H211" s="11"/>
      <c r="I211" s="12"/>
      <c r="J211" t="str">
        <f>IF(OR(B211="",C211=""),"",B211&amp;"-"&amp;COUNTIFS($B$5:B211,B211,$C$5:C211,"&lt;&gt;"))</f>
        <v/>
      </c>
    </row>
    <row r="212" spans="1:10" ht="21" customHeight="1" x14ac:dyDescent="0.15">
      <c r="A212" s="14"/>
      <c r="B212" s="14"/>
      <c r="C212" s="9"/>
      <c r="D212" s="9"/>
      <c r="E212" s="9"/>
      <c r="F212" s="10"/>
      <c r="G212" s="10"/>
      <c r="H212" s="11"/>
      <c r="I212" s="12"/>
      <c r="J212" t="str">
        <f>IF(OR(B212="",C212=""),"",B212&amp;"-"&amp;COUNTIFS($B$5:B212,B212,$C$5:C212,"&lt;&gt;"))</f>
        <v/>
      </c>
    </row>
    <row r="213" spans="1:10" ht="21" customHeight="1" x14ac:dyDescent="0.15">
      <c r="A213" s="14"/>
      <c r="B213" s="14"/>
      <c r="C213" s="9"/>
      <c r="D213" s="9"/>
      <c r="E213" s="9"/>
      <c r="F213" s="10"/>
      <c r="G213" s="10"/>
      <c r="H213" s="11"/>
      <c r="I213" s="12"/>
      <c r="J213" t="str">
        <f>IF(OR(B213="",C213=""),"",B213&amp;"-"&amp;COUNTIFS($B$5:B213,B213,$C$5:C213,"&lt;&gt;"))</f>
        <v/>
      </c>
    </row>
    <row r="214" spans="1:10" ht="21" customHeight="1" x14ac:dyDescent="0.15">
      <c r="A214" s="14"/>
      <c r="B214" s="14"/>
      <c r="C214" s="9"/>
      <c r="D214" s="9"/>
      <c r="E214" s="9"/>
      <c r="F214" s="10"/>
      <c r="G214" s="10"/>
      <c r="H214" s="11"/>
      <c r="I214" s="12"/>
      <c r="J214" t="str">
        <f>IF(OR(B214="",C214=""),"",B214&amp;"-"&amp;COUNTIFS($B$5:B214,B214,$C$5:C214,"&lt;&gt;"))</f>
        <v/>
      </c>
    </row>
    <row r="215" spans="1:10" ht="21" customHeight="1" x14ac:dyDescent="0.15">
      <c r="A215" s="14"/>
      <c r="B215" s="14"/>
      <c r="C215" s="9"/>
      <c r="D215" s="9"/>
      <c r="E215" s="9"/>
      <c r="F215" s="10"/>
      <c r="G215" s="10"/>
      <c r="H215" s="11"/>
      <c r="I215" s="12"/>
      <c r="J215" t="str">
        <f>IF(OR(B215="",C215=""),"",B215&amp;"-"&amp;COUNTIFS($B$5:B215,B215,$C$5:C215,"&lt;&gt;"))</f>
        <v/>
      </c>
    </row>
    <row r="216" spans="1:10" ht="21" customHeight="1" x14ac:dyDescent="0.15">
      <c r="A216" s="14"/>
      <c r="B216" s="14"/>
      <c r="C216" s="9"/>
      <c r="D216" s="9"/>
      <c r="E216" s="9"/>
      <c r="F216" s="10"/>
      <c r="G216" s="10"/>
      <c r="H216" s="11"/>
      <c r="I216" s="12"/>
      <c r="J216" t="str">
        <f>IF(OR(B216="",C216=""),"",B216&amp;"-"&amp;COUNTIFS($B$5:B216,B216,$C$5:C216,"&lt;&gt;"))</f>
        <v/>
      </c>
    </row>
    <row r="217" spans="1:10" ht="21" customHeight="1" x14ac:dyDescent="0.15">
      <c r="A217" s="14"/>
      <c r="B217" s="14"/>
      <c r="C217" s="9"/>
      <c r="D217" s="9"/>
      <c r="E217" s="9"/>
      <c r="F217" s="10"/>
      <c r="G217" s="10"/>
      <c r="H217" s="11"/>
      <c r="I217" s="12"/>
      <c r="J217" t="str">
        <f>IF(OR(B217="",C217=""),"",B217&amp;"-"&amp;COUNTIFS($B$5:B217,B217,$C$5:C217,"&lt;&gt;"))</f>
        <v/>
      </c>
    </row>
    <row r="218" spans="1:10" ht="21" customHeight="1" x14ac:dyDescent="0.15">
      <c r="A218" s="14"/>
      <c r="B218" s="14"/>
      <c r="C218" s="9"/>
      <c r="D218" s="9"/>
      <c r="E218" s="9"/>
      <c r="F218" s="10"/>
      <c r="G218" s="10"/>
      <c r="H218" s="11"/>
      <c r="I218" s="12"/>
      <c r="J218" t="str">
        <f>IF(OR(B218="",C218=""),"",B218&amp;"-"&amp;COUNTIFS($B$5:B218,B218,$C$5:C218,"&lt;&gt;"))</f>
        <v/>
      </c>
    </row>
    <row r="219" spans="1:10" ht="21" customHeight="1" x14ac:dyDescent="0.15">
      <c r="A219" s="14"/>
      <c r="B219" s="14"/>
      <c r="C219" s="9"/>
      <c r="D219" s="9"/>
      <c r="E219" s="9"/>
      <c r="F219" s="10"/>
      <c r="G219" s="10"/>
      <c r="H219" s="11"/>
      <c r="I219" s="12"/>
      <c r="J219" t="str">
        <f>IF(OR(B219="",C219=""),"",B219&amp;"-"&amp;COUNTIFS($B$5:B219,B219,$C$5:C219,"&lt;&gt;"))</f>
        <v/>
      </c>
    </row>
    <row r="220" spans="1:10" ht="21" customHeight="1" x14ac:dyDescent="0.15">
      <c r="A220" s="14"/>
      <c r="B220" s="14"/>
      <c r="C220" s="9"/>
      <c r="D220" s="9"/>
      <c r="E220" s="9"/>
      <c r="F220" s="10"/>
      <c r="G220" s="10"/>
      <c r="H220" s="11"/>
      <c r="I220" s="12"/>
      <c r="J220" t="str">
        <f>IF(OR(B220="",C220=""),"",B220&amp;"-"&amp;COUNTIFS($B$5:B220,B220,$C$5:C220,"&lt;&gt;"))</f>
        <v/>
      </c>
    </row>
    <row r="221" spans="1:10" ht="21" customHeight="1" x14ac:dyDescent="0.15">
      <c r="A221" s="14"/>
      <c r="B221" s="14"/>
      <c r="C221" s="9"/>
      <c r="D221" s="9"/>
      <c r="E221" s="9"/>
      <c r="F221" s="10"/>
      <c r="G221" s="10"/>
      <c r="H221" s="11"/>
      <c r="I221" s="12"/>
      <c r="J221" t="str">
        <f>IF(OR(B221="",C221=""),"",B221&amp;"-"&amp;COUNTIFS($B$5:B221,B221,$C$5:C221,"&lt;&gt;"))</f>
        <v/>
      </c>
    </row>
    <row r="222" spans="1:10" ht="21" customHeight="1" x14ac:dyDescent="0.15">
      <c r="A222" s="14"/>
      <c r="B222" s="14"/>
      <c r="C222" s="9"/>
      <c r="D222" s="9"/>
      <c r="E222" s="9"/>
      <c r="F222" s="10"/>
      <c r="G222" s="10"/>
      <c r="H222" s="11"/>
      <c r="I222" s="12"/>
      <c r="J222" t="str">
        <f>IF(OR(B222="",C222=""),"",B222&amp;"-"&amp;COUNTIFS($B$5:B222,B222,$C$5:C222,"&lt;&gt;"))</f>
        <v/>
      </c>
    </row>
    <row r="223" spans="1:10" ht="21" customHeight="1" x14ac:dyDescent="0.15">
      <c r="A223" s="14"/>
      <c r="B223" s="14"/>
      <c r="C223" s="9"/>
      <c r="D223" s="9"/>
      <c r="E223" s="9"/>
      <c r="F223" s="10"/>
      <c r="G223" s="10"/>
      <c r="H223" s="11"/>
      <c r="I223" s="12"/>
      <c r="J223" t="str">
        <f>IF(OR(B223="",C223=""),"",B223&amp;"-"&amp;COUNTIFS($B$5:B223,B223,$C$5:C223,"&lt;&gt;"))</f>
        <v/>
      </c>
    </row>
    <row r="224" spans="1:10" ht="21" customHeight="1" x14ac:dyDescent="0.15">
      <c r="A224" s="14"/>
      <c r="B224" s="14"/>
      <c r="C224" s="9"/>
      <c r="D224" s="9"/>
      <c r="E224" s="9"/>
      <c r="F224" s="10"/>
      <c r="G224" s="10"/>
      <c r="H224" s="11"/>
      <c r="I224" s="12"/>
      <c r="J224" t="str">
        <f>IF(OR(B224="",C224=""),"",B224&amp;"-"&amp;COUNTIFS($B$5:B224,B224,$C$5:C224,"&lt;&gt;"))</f>
        <v/>
      </c>
    </row>
    <row r="225" spans="1:10" ht="21" customHeight="1" x14ac:dyDescent="0.15">
      <c r="A225" s="14"/>
      <c r="B225" s="14"/>
      <c r="C225" s="9"/>
      <c r="D225" s="9"/>
      <c r="E225" s="9"/>
      <c r="F225" s="10"/>
      <c r="G225" s="10"/>
      <c r="H225" s="11"/>
      <c r="I225" s="12"/>
      <c r="J225" t="str">
        <f>IF(OR(B225="",C225=""),"",B225&amp;"-"&amp;COUNTIFS($B$5:B225,B225,$C$5:C225,"&lt;&gt;"))</f>
        <v/>
      </c>
    </row>
    <row r="226" spans="1:10" ht="21" customHeight="1" x14ac:dyDescent="0.15">
      <c r="A226" s="14"/>
      <c r="B226" s="14"/>
      <c r="C226" s="9"/>
      <c r="D226" s="9"/>
      <c r="E226" s="9"/>
      <c r="F226" s="10"/>
      <c r="G226" s="10"/>
      <c r="H226" s="11"/>
      <c r="I226" s="12"/>
      <c r="J226" t="str">
        <f>IF(OR(B226="",C226=""),"",B226&amp;"-"&amp;COUNTIFS($B$5:B226,B226,$C$5:C226,"&lt;&gt;"))</f>
        <v/>
      </c>
    </row>
    <row r="227" spans="1:10" ht="21" customHeight="1" x14ac:dyDescent="0.15">
      <c r="A227" s="14"/>
      <c r="B227" s="14"/>
      <c r="C227" s="9"/>
      <c r="D227" s="9"/>
      <c r="E227" s="9"/>
      <c r="F227" s="10"/>
      <c r="G227" s="10"/>
      <c r="H227" s="11"/>
      <c r="I227" s="12"/>
      <c r="J227" t="str">
        <f>IF(OR(B227="",C227=""),"",B227&amp;"-"&amp;COUNTIFS($B$5:B227,B227,$C$5:C227,"&lt;&gt;"))</f>
        <v/>
      </c>
    </row>
    <row r="228" spans="1:10" ht="21" customHeight="1" x14ac:dyDescent="0.15">
      <c r="A228" s="14"/>
      <c r="B228" s="14"/>
      <c r="C228" s="9"/>
      <c r="D228" s="9"/>
      <c r="E228" s="9"/>
      <c r="F228" s="10"/>
      <c r="G228" s="10"/>
      <c r="H228" s="11"/>
      <c r="I228" s="12"/>
      <c r="J228" t="str">
        <f>IF(OR(B228="",C228=""),"",B228&amp;"-"&amp;COUNTIFS($B$5:B228,B228,$C$5:C228,"&lt;&gt;"))</f>
        <v/>
      </c>
    </row>
    <row r="229" spans="1:10" ht="21" customHeight="1" x14ac:dyDescent="0.15">
      <c r="A229" s="14"/>
      <c r="B229" s="14"/>
      <c r="C229" s="9"/>
      <c r="D229" s="9"/>
      <c r="E229" s="9"/>
      <c r="F229" s="10"/>
      <c r="G229" s="10"/>
      <c r="H229" s="11"/>
      <c r="I229" s="12"/>
      <c r="J229" t="str">
        <f>IF(OR(B229="",C229=""),"",B229&amp;"-"&amp;COUNTIFS($B$5:B229,B229,$C$5:C229,"&lt;&gt;"))</f>
        <v/>
      </c>
    </row>
    <row r="230" spans="1:10" ht="21" customHeight="1" x14ac:dyDescent="0.15">
      <c r="A230" s="14"/>
      <c r="B230" s="14"/>
      <c r="C230" s="9"/>
      <c r="D230" s="9"/>
      <c r="E230" s="9"/>
      <c r="F230" s="10"/>
      <c r="G230" s="10"/>
      <c r="H230" s="11"/>
      <c r="I230" s="12"/>
      <c r="J230" t="str">
        <f>IF(OR(B230="",C230=""),"",B230&amp;"-"&amp;COUNTIFS($B$5:B230,B230,$C$5:C230,"&lt;&gt;"))</f>
        <v/>
      </c>
    </row>
    <row r="231" spans="1:10" ht="21" customHeight="1" x14ac:dyDescent="0.15">
      <c r="A231" s="14"/>
      <c r="B231" s="14"/>
      <c r="C231" s="9"/>
      <c r="D231" s="9"/>
      <c r="E231" s="9"/>
      <c r="F231" s="10"/>
      <c r="G231" s="10"/>
      <c r="H231" s="11"/>
      <c r="I231" s="12"/>
      <c r="J231" t="str">
        <f>IF(OR(B231="",C231=""),"",B231&amp;"-"&amp;COUNTIFS($B$5:B231,B231,$C$5:C231,"&lt;&gt;"))</f>
        <v/>
      </c>
    </row>
    <row r="232" spans="1:10" ht="21" customHeight="1" x14ac:dyDescent="0.15">
      <c r="A232" s="14"/>
      <c r="B232" s="14"/>
      <c r="C232" s="9"/>
      <c r="D232" s="9"/>
      <c r="E232" s="9"/>
      <c r="F232" s="10"/>
      <c r="G232" s="10"/>
      <c r="H232" s="11"/>
      <c r="I232" s="12"/>
      <c r="J232" t="str">
        <f>IF(OR(B232="",C232=""),"",B232&amp;"-"&amp;COUNTIFS($B$5:B232,B232,$C$5:C232,"&lt;&gt;"))</f>
        <v/>
      </c>
    </row>
    <row r="233" spans="1:10" ht="21" customHeight="1" x14ac:dyDescent="0.15">
      <c r="A233" s="14"/>
      <c r="B233" s="14"/>
      <c r="C233" s="9"/>
      <c r="D233" s="9"/>
      <c r="E233" s="9"/>
      <c r="F233" s="10"/>
      <c r="G233" s="10"/>
      <c r="H233" s="11"/>
      <c r="I233" s="12"/>
      <c r="J233" t="str">
        <f>IF(OR(B233="",C233=""),"",B233&amp;"-"&amp;COUNTIFS($B$5:B233,B233,$C$5:C233,"&lt;&gt;"))</f>
        <v/>
      </c>
    </row>
    <row r="234" spans="1:10" ht="21" customHeight="1" x14ac:dyDescent="0.15">
      <c r="A234" s="14"/>
      <c r="B234" s="14"/>
      <c r="C234" s="9"/>
      <c r="D234" s="9"/>
      <c r="E234" s="9"/>
      <c r="F234" s="10"/>
      <c r="G234" s="10"/>
      <c r="H234" s="11"/>
      <c r="I234" s="12"/>
      <c r="J234" t="str">
        <f>IF(OR(B234="",C234=""),"",B234&amp;"-"&amp;COUNTIFS($B$5:B234,B234,$C$5:C234,"&lt;&gt;"))</f>
        <v/>
      </c>
    </row>
    <row r="235" spans="1:10" ht="21" customHeight="1" x14ac:dyDescent="0.15">
      <c r="A235" s="14"/>
      <c r="B235" s="14"/>
      <c r="C235" s="9"/>
      <c r="D235" s="9"/>
      <c r="E235" s="9"/>
      <c r="F235" s="10"/>
      <c r="G235" s="10"/>
      <c r="H235" s="11"/>
      <c r="I235" s="12"/>
      <c r="J235" t="str">
        <f>IF(OR(B235="",C235=""),"",B235&amp;"-"&amp;COUNTIFS($B$5:B235,B235,$C$5:C235,"&lt;&gt;"))</f>
        <v/>
      </c>
    </row>
    <row r="236" spans="1:10" ht="21" customHeight="1" x14ac:dyDescent="0.15">
      <c r="A236" s="14"/>
      <c r="B236" s="14"/>
      <c r="C236" s="9"/>
      <c r="D236" s="9"/>
      <c r="E236" s="9"/>
      <c r="F236" s="10"/>
      <c r="G236" s="10"/>
      <c r="H236" s="11"/>
      <c r="I236" s="12"/>
      <c r="J236" t="str">
        <f>IF(OR(B236="",C236=""),"",B236&amp;"-"&amp;COUNTIFS($B$5:B236,B236,$C$5:C236,"&lt;&gt;"))</f>
        <v/>
      </c>
    </row>
    <row r="237" spans="1:10" ht="21" customHeight="1" x14ac:dyDescent="0.15">
      <c r="A237" s="14"/>
      <c r="B237" s="14"/>
      <c r="C237" s="9"/>
      <c r="D237" s="9"/>
      <c r="E237" s="9"/>
      <c r="F237" s="10"/>
      <c r="G237" s="10"/>
      <c r="H237" s="11"/>
      <c r="I237" s="12"/>
      <c r="J237" t="str">
        <f>IF(OR(B237="",C237=""),"",B237&amp;"-"&amp;COUNTIFS($B$5:B237,B237,$C$5:C237,"&lt;&gt;"))</f>
        <v/>
      </c>
    </row>
    <row r="238" spans="1:10" ht="21" customHeight="1" x14ac:dyDescent="0.15">
      <c r="A238" s="14"/>
      <c r="B238" s="14"/>
      <c r="C238" s="9"/>
      <c r="D238" s="9"/>
      <c r="E238" s="9"/>
      <c r="F238" s="10"/>
      <c r="G238" s="10"/>
      <c r="H238" s="11"/>
      <c r="I238" s="12"/>
      <c r="J238" t="str">
        <f>IF(OR(B238="",C238=""),"",B238&amp;"-"&amp;COUNTIFS($B$5:B238,B238,$C$5:C238,"&lt;&gt;"))</f>
        <v/>
      </c>
    </row>
    <row r="239" spans="1:10" ht="21" customHeight="1" x14ac:dyDescent="0.15">
      <c r="A239" s="14"/>
      <c r="B239" s="14"/>
      <c r="C239" s="9"/>
      <c r="D239" s="9"/>
      <c r="E239" s="9"/>
      <c r="F239" s="10"/>
      <c r="G239" s="10"/>
      <c r="H239" s="11"/>
      <c r="I239" s="12"/>
      <c r="J239" t="str">
        <f>IF(OR(B239="",C239=""),"",B239&amp;"-"&amp;COUNTIFS($B$5:B239,B239,$C$5:C239,"&lt;&gt;"))</f>
        <v/>
      </c>
    </row>
    <row r="240" spans="1:10" ht="21" customHeight="1" x14ac:dyDescent="0.15">
      <c r="A240" s="14"/>
      <c r="B240" s="14"/>
      <c r="C240" s="9"/>
      <c r="D240" s="9"/>
      <c r="E240" s="9"/>
      <c r="F240" s="10"/>
      <c r="G240" s="10"/>
      <c r="H240" s="11"/>
      <c r="I240" s="12"/>
      <c r="J240" t="str">
        <f>IF(OR(B240="",C240=""),"",B240&amp;"-"&amp;COUNTIFS($B$5:B240,B240,$C$5:C240,"&lt;&gt;"))</f>
        <v/>
      </c>
    </row>
    <row r="241" spans="1:10" ht="21" customHeight="1" x14ac:dyDescent="0.15">
      <c r="A241" s="14"/>
      <c r="B241" s="14"/>
      <c r="C241" s="9"/>
      <c r="D241" s="9"/>
      <c r="E241" s="9"/>
      <c r="F241" s="10"/>
      <c r="G241" s="10"/>
      <c r="H241" s="11"/>
      <c r="I241" s="12"/>
      <c r="J241" t="str">
        <f>IF(OR(B241="",C241=""),"",B241&amp;"-"&amp;COUNTIFS($B$5:B241,B241,$C$5:C241,"&lt;&gt;"))</f>
        <v/>
      </c>
    </row>
    <row r="242" spans="1:10" ht="21" customHeight="1" x14ac:dyDescent="0.15">
      <c r="A242" s="14"/>
      <c r="B242" s="14"/>
      <c r="C242" s="9"/>
      <c r="D242" s="9"/>
      <c r="E242" s="9"/>
      <c r="F242" s="10"/>
      <c r="G242" s="10"/>
      <c r="H242" s="11"/>
      <c r="I242" s="12"/>
      <c r="J242" t="str">
        <f>IF(OR(B242="",C242=""),"",B242&amp;"-"&amp;COUNTIFS($B$5:B242,B242,$C$5:C242,"&lt;&gt;"))</f>
        <v/>
      </c>
    </row>
    <row r="243" spans="1:10" ht="21" customHeight="1" x14ac:dyDescent="0.15">
      <c r="A243" s="14"/>
      <c r="B243" s="14"/>
      <c r="C243" s="9"/>
      <c r="D243" s="9"/>
      <c r="E243" s="9"/>
      <c r="F243" s="10"/>
      <c r="G243" s="10"/>
      <c r="H243" s="11"/>
      <c r="I243" s="12"/>
      <c r="J243" t="str">
        <f>IF(OR(B243="",C243=""),"",B243&amp;"-"&amp;COUNTIFS($B$5:B243,B243,$C$5:C243,"&lt;&gt;"))</f>
        <v/>
      </c>
    </row>
    <row r="244" spans="1:10" ht="21" customHeight="1" x14ac:dyDescent="0.15">
      <c r="A244" s="14"/>
      <c r="B244" s="14"/>
      <c r="C244" s="9"/>
      <c r="D244" s="9"/>
      <c r="E244" s="9"/>
      <c r="F244" s="10"/>
      <c r="G244" s="10"/>
      <c r="H244" s="11"/>
      <c r="I244" s="12"/>
      <c r="J244" t="str">
        <f>IF(OR(B244="",C244=""),"",B244&amp;"-"&amp;COUNTIFS($B$5:B244,B244,$C$5:C244,"&lt;&gt;"))</f>
        <v/>
      </c>
    </row>
    <row r="245" spans="1:10" ht="21" customHeight="1" x14ac:dyDescent="0.15">
      <c r="A245" s="14"/>
      <c r="B245" s="14"/>
      <c r="C245" s="9"/>
      <c r="D245" s="9"/>
      <c r="E245" s="9"/>
      <c r="F245" s="10"/>
      <c r="G245" s="10"/>
      <c r="H245" s="11"/>
      <c r="I245" s="12"/>
      <c r="J245" t="str">
        <f>IF(OR(B245="",C245=""),"",B245&amp;"-"&amp;COUNTIFS($B$5:B245,B245,$C$5:C245,"&lt;&gt;"))</f>
        <v/>
      </c>
    </row>
    <row r="246" spans="1:10" ht="21" customHeight="1" x14ac:dyDescent="0.15">
      <c r="A246" s="14"/>
      <c r="B246" s="14"/>
      <c r="C246" s="9"/>
      <c r="D246" s="9"/>
      <c r="E246" s="9"/>
      <c r="F246" s="10"/>
      <c r="G246" s="10"/>
      <c r="H246" s="11"/>
      <c r="I246" s="12"/>
      <c r="J246" t="str">
        <f>IF(OR(B246="",C246=""),"",B246&amp;"-"&amp;COUNTIFS($B$5:B246,B246,$C$5:C246,"&lt;&gt;"))</f>
        <v/>
      </c>
    </row>
    <row r="247" spans="1:10" ht="21" customHeight="1" x14ac:dyDescent="0.15">
      <c r="A247" s="14"/>
      <c r="B247" s="14"/>
      <c r="C247" s="9"/>
      <c r="D247" s="9"/>
      <c r="E247" s="9"/>
      <c r="F247" s="10"/>
      <c r="G247" s="10"/>
      <c r="H247" s="11"/>
      <c r="I247" s="12"/>
      <c r="J247" t="str">
        <f>IF(OR(B247="",C247=""),"",B247&amp;"-"&amp;COUNTIFS($B$5:B247,B247,$C$5:C247,"&lt;&gt;"))</f>
        <v/>
      </c>
    </row>
    <row r="248" spans="1:10" ht="21" customHeight="1" x14ac:dyDescent="0.15">
      <c r="A248" s="14"/>
      <c r="B248" s="14"/>
      <c r="C248" s="9"/>
      <c r="D248" s="9"/>
      <c r="E248" s="9"/>
      <c r="F248" s="10"/>
      <c r="G248" s="10"/>
      <c r="H248" s="11"/>
      <c r="I248" s="12"/>
      <c r="J248" t="str">
        <f>IF(OR(B248="",C248=""),"",B248&amp;"-"&amp;COUNTIFS($B$5:B248,B248,$C$5:C248,"&lt;&gt;"))</f>
        <v/>
      </c>
    </row>
    <row r="249" spans="1:10" ht="21" customHeight="1" x14ac:dyDescent="0.15">
      <c r="A249" s="14"/>
      <c r="B249" s="14"/>
      <c r="C249" s="9"/>
      <c r="D249" s="9"/>
      <c r="E249" s="9"/>
      <c r="F249" s="10"/>
      <c r="G249" s="10"/>
      <c r="H249" s="11"/>
      <c r="I249" s="12"/>
      <c r="J249" t="str">
        <f>IF(OR(B249="",C249=""),"",B249&amp;"-"&amp;COUNTIFS($B$5:B249,B249,$C$5:C249,"&lt;&gt;"))</f>
        <v/>
      </c>
    </row>
    <row r="250" spans="1:10" ht="21" customHeight="1" x14ac:dyDescent="0.15">
      <c r="A250" s="14"/>
      <c r="B250" s="14"/>
      <c r="C250" s="9"/>
      <c r="D250" s="9"/>
      <c r="E250" s="9"/>
      <c r="F250" s="10"/>
      <c r="G250" s="10"/>
      <c r="H250" s="11"/>
      <c r="I250" s="12"/>
      <c r="J250" t="str">
        <f>IF(OR(B250="",C250=""),"",B250&amp;"-"&amp;COUNTIFS($B$5:B250,B250,$C$5:C250,"&lt;&gt;"))</f>
        <v/>
      </c>
    </row>
    <row r="251" spans="1:10" ht="21" customHeight="1" x14ac:dyDescent="0.15">
      <c r="A251" s="14"/>
      <c r="B251" s="14"/>
      <c r="C251" s="9"/>
      <c r="D251" s="9"/>
      <c r="E251" s="9"/>
      <c r="F251" s="10"/>
      <c r="G251" s="10"/>
      <c r="H251" s="11"/>
      <c r="I251" s="12"/>
      <c r="J251" t="str">
        <f>IF(OR(B251="",C251=""),"",B251&amp;"-"&amp;COUNTIFS($B$5:B251,B251,$C$5:C251,"&lt;&gt;"))</f>
        <v/>
      </c>
    </row>
    <row r="252" spans="1:10" ht="21" customHeight="1" x14ac:dyDescent="0.15">
      <c r="A252" s="14"/>
      <c r="B252" s="14"/>
      <c r="C252" s="9"/>
      <c r="D252" s="9"/>
      <c r="E252" s="9"/>
      <c r="F252" s="10"/>
      <c r="G252" s="10"/>
      <c r="H252" s="11"/>
      <c r="I252" s="12"/>
      <c r="J252" t="str">
        <f>IF(OR(B252="",C252=""),"",B252&amp;"-"&amp;COUNTIFS($B$5:B252,B252,$C$5:C252,"&lt;&gt;"))</f>
        <v/>
      </c>
    </row>
    <row r="253" spans="1:10" ht="21" customHeight="1" x14ac:dyDescent="0.15">
      <c r="A253" s="14"/>
      <c r="B253" s="14"/>
      <c r="C253" s="9"/>
      <c r="D253" s="9"/>
      <c r="E253" s="9"/>
      <c r="F253" s="10"/>
      <c r="G253" s="10"/>
      <c r="H253" s="11"/>
      <c r="I253" s="12"/>
      <c r="J253" t="str">
        <f>IF(OR(B253="",C253=""),"",B253&amp;"-"&amp;COUNTIFS($B$5:B253,B253,$C$5:C253,"&lt;&gt;"))</f>
        <v/>
      </c>
    </row>
    <row r="254" spans="1:10" ht="21" customHeight="1" x14ac:dyDescent="0.15">
      <c r="A254" s="14"/>
      <c r="B254" s="14"/>
      <c r="C254" s="9"/>
      <c r="D254" s="9"/>
      <c r="E254" s="9"/>
      <c r="F254" s="10"/>
      <c r="G254" s="10"/>
      <c r="H254" s="11"/>
      <c r="I254" s="12"/>
      <c r="J254" t="str">
        <f>IF(OR(B254="",C254=""),"",B254&amp;"-"&amp;COUNTIFS($B$5:B254,B254,$C$5:C254,"&lt;&gt;"))</f>
        <v/>
      </c>
    </row>
    <row r="255" spans="1:10" ht="21" customHeight="1" x14ac:dyDescent="0.15">
      <c r="A255" s="14"/>
      <c r="B255" s="14"/>
      <c r="C255" s="9"/>
      <c r="D255" s="9"/>
      <c r="E255" s="9"/>
      <c r="F255" s="10"/>
      <c r="G255" s="10"/>
      <c r="H255" s="11"/>
      <c r="I255" s="12"/>
      <c r="J255" t="str">
        <f>IF(OR(B255="",C255=""),"",B255&amp;"-"&amp;COUNTIFS($B$5:B255,B255,$C$5:C255,"&lt;&gt;"))</f>
        <v/>
      </c>
    </row>
    <row r="256" spans="1:10" ht="21" customHeight="1" x14ac:dyDescent="0.15">
      <c r="A256" s="14"/>
      <c r="B256" s="14"/>
      <c r="C256" s="9"/>
      <c r="D256" s="9"/>
      <c r="E256" s="9"/>
      <c r="F256" s="10"/>
      <c r="G256" s="10"/>
      <c r="H256" s="11"/>
      <c r="I256" s="12"/>
      <c r="J256" t="str">
        <f>IF(OR(B256="",C256=""),"",B256&amp;"-"&amp;COUNTIFS($B$5:B256,B256,$C$5:C256,"&lt;&gt;"))</f>
        <v/>
      </c>
    </row>
    <row r="257" spans="1:10" ht="21" customHeight="1" x14ac:dyDescent="0.15">
      <c r="A257" s="14"/>
      <c r="B257" s="14"/>
      <c r="C257" s="9"/>
      <c r="D257" s="9"/>
      <c r="E257" s="9"/>
      <c r="F257" s="10"/>
      <c r="G257" s="10"/>
      <c r="H257" s="11"/>
      <c r="I257" s="12"/>
      <c r="J257" t="str">
        <f>IF(OR(B257="",C257=""),"",B257&amp;"-"&amp;COUNTIFS($B$5:B257,B257,$C$5:C257,"&lt;&gt;"))</f>
        <v/>
      </c>
    </row>
    <row r="258" spans="1:10" ht="21" customHeight="1" x14ac:dyDescent="0.15">
      <c r="A258" s="14"/>
      <c r="B258" s="14"/>
      <c r="C258" s="9"/>
      <c r="D258" s="9"/>
      <c r="E258" s="9"/>
      <c r="F258" s="10"/>
      <c r="G258" s="10"/>
      <c r="H258" s="11"/>
      <c r="I258" s="12"/>
      <c r="J258" t="str">
        <f>IF(OR(B258="",C258=""),"",B258&amp;"-"&amp;COUNTIFS($B$5:B258,B258,$C$5:C258,"&lt;&gt;"))</f>
        <v/>
      </c>
    </row>
    <row r="259" spans="1:10" ht="21" customHeight="1" x14ac:dyDescent="0.15">
      <c r="A259" s="14"/>
      <c r="B259" s="14"/>
      <c r="C259" s="9"/>
      <c r="D259" s="9"/>
      <c r="E259" s="9"/>
      <c r="F259" s="10"/>
      <c r="G259" s="10"/>
      <c r="H259" s="11"/>
      <c r="I259" s="12"/>
      <c r="J259" t="str">
        <f>IF(OR(B259="",C259=""),"",B259&amp;"-"&amp;COUNTIFS($B$5:B259,B259,$C$5:C259,"&lt;&gt;"))</f>
        <v/>
      </c>
    </row>
    <row r="260" spans="1:10" ht="21" customHeight="1" x14ac:dyDescent="0.15">
      <c r="A260" s="14"/>
      <c r="B260" s="14"/>
      <c r="C260" s="9"/>
      <c r="D260" s="9"/>
      <c r="E260" s="9"/>
      <c r="F260" s="10"/>
      <c r="G260" s="10"/>
      <c r="H260" s="11"/>
      <c r="I260" s="12"/>
      <c r="J260" t="str">
        <f>IF(OR(B260="",C260=""),"",B260&amp;"-"&amp;COUNTIFS($B$5:B260,B260,$C$5:C260,"&lt;&gt;"))</f>
        <v/>
      </c>
    </row>
    <row r="261" spans="1:10" ht="21" customHeight="1" x14ac:dyDescent="0.15">
      <c r="A261" s="14"/>
      <c r="B261" s="14"/>
      <c r="C261" s="9"/>
      <c r="D261" s="9"/>
      <c r="E261" s="9"/>
      <c r="F261" s="10"/>
      <c r="G261" s="10"/>
      <c r="H261" s="11"/>
      <c r="I261" s="12"/>
      <c r="J261" t="str">
        <f>IF(OR(B261="",C261=""),"",B261&amp;"-"&amp;COUNTIFS($B$5:B261,B261,$C$5:C261,"&lt;&gt;"))</f>
        <v/>
      </c>
    </row>
    <row r="262" spans="1:10" ht="21" customHeight="1" x14ac:dyDescent="0.15">
      <c r="A262" s="14"/>
      <c r="B262" s="14"/>
      <c r="C262" s="9"/>
      <c r="D262" s="9"/>
      <c r="E262" s="9"/>
      <c r="F262" s="10"/>
      <c r="G262" s="10"/>
      <c r="H262" s="11"/>
      <c r="I262" s="12"/>
      <c r="J262" t="str">
        <f>IF(OR(B262="",C262=""),"",B262&amp;"-"&amp;COUNTIFS($B$5:B262,B262,$C$5:C262,"&lt;&gt;"))</f>
        <v/>
      </c>
    </row>
    <row r="263" spans="1:10" ht="21" customHeight="1" x14ac:dyDescent="0.15">
      <c r="A263" s="14"/>
      <c r="B263" s="14"/>
      <c r="C263" s="9"/>
      <c r="D263" s="9"/>
      <c r="E263" s="9"/>
      <c r="F263" s="10"/>
      <c r="G263" s="10"/>
      <c r="H263" s="11"/>
      <c r="I263" s="12"/>
      <c r="J263" t="str">
        <f>IF(OR(B263="",C263=""),"",B263&amp;"-"&amp;COUNTIFS($B$5:B263,B263,$C$5:C263,"&lt;&gt;"))</f>
        <v/>
      </c>
    </row>
    <row r="264" spans="1:10" ht="21" customHeight="1" x14ac:dyDescent="0.15">
      <c r="A264" s="14"/>
      <c r="B264" s="14"/>
      <c r="C264" s="9"/>
      <c r="D264" s="9"/>
      <c r="E264" s="9"/>
      <c r="F264" s="10"/>
      <c r="G264" s="10"/>
      <c r="H264" s="11"/>
      <c r="I264" s="12"/>
      <c r="J264" t="str">
        <f>IF(OR(B264="",C264=""),"",B264&amp;"-"&amp;COUNTIFS($B$5:B264,B264,$C$5:C264,"&lt;&gt;"))</f>
        <v/>
      </c>
    </row>
    <row r="265" spans="1:10" ht="21" customHeight="1" x14ac:dyDescent="0.15">
      <c r="A265" s="14"/>
      <c r="B265" s="14"/>
      <c r="C265" s="9"/>
      <c r="D265" s="9"/>
      <c r="E265" s="9"/>
      <c r="F265" s="10"/>
      <c r="G265" s="10"/>
      <c r="H265" s="11"/>
      <c r="I265" s="12"/>
      <c r="J265" t="str">
        <f>IF(OR(B265="",C265=""),"",B265&amp;"-"&amp;COUNTIFS($B$5:B265,B265,$C$5:C265,"&lt;&gt;"))</f>
        <v/>
      </c>
    </row>
    <row r="266" spans="1:10" ht="21" customHeight="1" x14ac:dyDescent="0.15">
      <c r="A266" s="14"/>
      <c r="B266" s="14"/>
      <c r="C266" s="9"/>
      <c r="D266" s="9"/>
      <c r="E266" s="9"/>
      <c r="F266" s="10"/>
      <c r="G266" s="10"/>
      <c r="H266" s="11"/>
      <c r="I266" s="12"/>
      <c r="J266" t="str">
        <f>IF(OR(B266="",C266=""),"",B266&amp;"-"&amp;COUNTIFS($B$5:B266,B266,$C$5:C266,"&lt;&gt;"))</f>
        <v/>
      </c>
    </row>
    <row r="267" spans="1:10" ht="21" customHeight="1" x14ac:dyDescent="0.15">
      <c r="A267" s="14"/>
      <c r="B267" s="14"/>
      <c r="C267" s="9"/>
      <c r="D267" s="9"/>
      <c r="E267" s="9"/>
      <c r="F267" s="10"/>
      <c r="G267" s="10"/>
      <c r="H267" s="11"/>
      <c r="I267" s="12"/>
      <c r="J267" t="str">
        <f>IF(OR(B267="",C267=""),"",B267&amp;"-"&amp;COUNTIFS($B$5:B267,B267,$C$5:C267,"&lt;&gt;"))</f>
        <v/>
      </c>
    </row>
    <row r="268" spans="1:10" ht="21" customHeight="1" x14ac:dyDescent="0.15">
      <c r="A268" s="14"/>
      <c r="B268" s="14"/>
      <c r="C268" s="9"/>
      <c r="D268" s="9"/>
      <c r="E268" s="9"/>
      <c r="F268" s="10"/>
      <c r="G268" s="10"/>
      <c r="H268" s="11"/>
      <c r="I268" s="12"/>
      <c r="J268" t="str">
        <f>IF(OR(B268="",C268=""),"",B268&amp;"-"&amp;COUNTIFS($B$5:B268,B268,$C$5:C268,"&lt;&gt;"))</f>
        <v/>
      </c>
    </row>
    <row r="269" spans="1:10" ht="21" customHeight="1" x14ac:dyDescent="0.15">
      <c r="A269" s="14"/>
      <c r="B269" s="14"/>
      <c r="C269" s="9"/>
      <c r="D269" s="9"/>
      <c r="E269" s="9"/>
      <c r="F269" s="10"/>
      <c r="G269" s="10"/>
      <c r="H269" s="11"/>
      <c r="I269" s="12"/>
      <c r="J269" t="str">
        <f>IF(OR(B269="",C269=""),"",B269&amp;"-"&amp;COUNTIFS($B$5:B269,B269,$C$5:C269,"&lt;&gt;"))</f>
        <v/>
      </c>
    </row>
    <row r="270" spans="1:10" ht="21" customHeight="1" x14ac:dyDescent="0.15">
      <c r="A270" s="14"/>
      <c r="B270" s="14"/>
      <c r="C270" s="9"/>
      <c r="D270" s="9"/>
      <c r="E270" s="9"/>
      <c r="F270" s="10"/>
      <c r="G270" s="10"/>
      <c r="H270" s="11"/>
      <c r="I270" s="12"/>
      <c r="J270" t="str">
        <f>IF(OR(B270="",C270=""),"",B270&amp;"-"&amp;COUNTIFS($B$5:B270,B270,$C$5:C270,"&lt;&gt;"))</f>
        <v/>
      </c>
    </row>
    <row r="271" spans="1:10" ht="21" customHeight="1" x14ac:dyDescent="0.15">
      <c r="A271" s="14"/>
      <c r="B271" s="14"/>
      <c r="C271" s="9"/>
      <c r="D271" s="9"/>
      <c r="E271" s="9"/>
      <c r="F271" s="10"/>
      <c r="G271" s="10"/>
      <c r="H271" s="11"/>
      <c r="I271" s="12"/>
      <c r="J271" t="str">
        <f>IF(OR(B271="",C271=""),"",B271&amp;"-"&amp;COUNTIFS($B$5:B271,B271,$C$5:C271,"&lt;&gt;"))</f>
        <v/>
      </c>
    </row>
    <row r="272" spans="1:10" ht="21" customHeight="1" x14ac:dyDescent="0.15">
      <c r="A272" s="14"/>
      <c r="B272" s="14"/>
      <c r="C272" s="9"/>
      <c r="D272" s="9"/>
      <c r="E272" s="9"/>
      <c r="F272" s="10"/>
      <c r="G272" s="10"/>
      <c r="H272" s="11"/>
      <c r="I272" s="12"/>
      <c r="J272" t="str">
        <f>IF(OR(B272="",C272=""),"",B272&amp;"-"&amp;COUNTIFS($B$5:B272,B272,$C$5:C272,"&lt;&gt;"))</f>
        <v/>
      </c>
    </row>
    <row r="273" spans="1:10" ht="21" customHeight="1" x14ac:dyDescent="0.15">
      <c r="A273" s="14"/>
      <c r="B273" s="14"/>
      <c r="C273" s="9"/>
      <c r="D273" s="9"/>
      <c r="E273" s="9"/>
      <c r="F273" s="10"/>
      <c r="G273" s="10"/>
      <c r="H273" s="11"/>
      <c r="I273" s="12"/>
      <c r="J273" t="str">
        <f>IF(OR(B273="",C273=""),"",B273&amp;"-"&amp;COUNTIFS($B$5:B273,B273,$C$5:C273,"&lt;&gt;"))</f>
        <v/>
      </c>
    </row>
    <row r="274" spans="1:10" ht="21" customHeight="1" x14ac:dyDescent="0.15">
      <c r="A274" s="14"/>
      <c r="B274" s="14"/>
      <c r="C274" s="9"/>
      <c r="D274" s="9"/>
      <c r="E274" s="9"/>
      <c r="F274" s="10"/>
      <c r="G274" s="10"/>
      <c r="H274" s="11"/>
      <c r="I274" s="12"/>
      <c r="J274" t="str">
        <f>IF(OR(B274="",C274=""),"",B274&amp;"-"&amp;COUNTIFS($B$5:B274,B274,$C$5:C274,"&lt;&gt;"))</f>
        <v/>
      </c>
    </row>
    <row r="275" spans="1:10" ht="21" customHeight="1" x14ac:dyDescent="0.15">
      <c r="A275" s="14"/>
      <c r="B275" s="14"/>
      <c r="C275" s="9"/>
      <c r="D275" s="9"/>
      <c r="E275" s="9"/>
      <c r="F275" s="10"/>
      <c r="G275" s="10"/>
      <c r="H275" s="11"/>
      <c r="I275" s="12"/>
      <c r="J275" t="str">
        <f>IF(OR(B275="",C275=""),"",B275&amp;"-"&amp;COUNTIFS($B$5:B275,B275,$C$5:C275,"&lt;&gt;"))</f>
        <v/>
      </c>
    </row>
    <row r="276" spans="1:10" ht="21" customHeight="1" x14ac:dyDescent="0.15">
      <c r="A276" s="14"/>
      <c r="B276" s="14"/>
      <c r="C276" s="9"/>
      <c r="D276" s="9"/>
      <c r="E276" s="9"/>
      <c r="F276" s="10"/>
      <c r="G276" s="10"/>
      <c r="H276" s="11"/>
      <c r="I276" s="12"/>
      <c r="J276" t="str">
        <f>IF(OR(B276="",C276=""),"",B276&amp;"-"&amp;COUNTIFS($B$5:B276,B276,$C$5:C276,"&lt;&gt;"))</f>
        <v/>
      </c>
    </row>
    <row r="277" spans="1:10" ht="21" customHeight="1" x14ac:dyDescent="0.15">
      <c r="A277" s="14"/>
      <c r="B277" s="14"/>
      <c r="C277" s="9"/>
      <c r="D277" s="9"/>
      <c r="E277" s="9"/>
      <c r="F277" s="10"/>
      <c r="G277" s="10"/>
      <c r="H277" s="11"/>
      <c r="I277" s="12"/>
      <c r="J277" t="str">
        <f>IF(OR(B277="",C277=""),"",B277&amp;"-"&amp;COUNTIFS($B$5:B277,B277,$C$5:C277,"&lt;&gt;"))</f>
        <v/>
      </c>
    </row>
    <row r="278" spans="1:10" ht="21" customHeight="1" x14ac:dyDescent="0.15">
      <c r="A278" s="14"/>
      <c r="B278" s="14"/>
      <c r="C278" s="9"/>
      <c r="D278" s="9"/>
      <c r="E278" s="9"/>
      <c r="F278" s="10"/>
      <c r="G278" s="10"/>
      <c r="H278" s="11"/>
      <c r="I278" s="12"/>
      <c r="J278" t="str">
        <f>IF(OR(B278="",C278=""),"",B278&amp;"-"&amp;COUNTIFS($B$5:B278,B278,$C$5:C278,"&lt;&gt;"))</f>
        <v/>
      </c>
    </row>
    <row r="279" spans="1:10" ht="21" customHeight="1" x14ac:dyDescent="0.15">
      <c r="A279" s="14"/>
      <c r="B279" s="14"/>
      <c r="C279" s="9"/>
      <c r="D279" s="9"/>
      <c r="E279" s="9"/>
      <c r="F279" s="10"/>
      <c r="G279" s="10"/>
      <c r="H279" s="11"/>
      <c r="I279" s="12"/>
      <c r="J279" t="str">
        <f>IF(OR(B279="",C279=""),"",B279&amp;"-"&amp;COUNTIFS($B$5:B279,B279,$C$5:C279,"&lt;&gt;"))</f>
        <v/>
      </c>
    </row>
    <row r="280" spans="1:10" ht="21" customHeight="1" x14ac:dyDescent="0.15">
      <c r="A280" s="14"/>
      <c r="B280" s="14"/>
      <c r="C280" s="9"/>
      <c r="D280" s="9"/>
      <c r="E280" s="9"/>
      <c r="F280" s="10"/>
      <c r="G280" s="10"/>
      <c r="H280" s="11"/>
      <c r="I280" s="12"/>
      <c r="J280" t="str">
        <f>IF(OR(B280="",C280=""),"",B280&amp;"-"&amp;COUNTIFS($B$5:B280,B280,$C$5:C280,"&lt;&gt;"))</f>
        <v/>
      </c>
    </row>
    <row r="281" spans="1:10" ht="21" customHeight="1" x14ac:dyDescent="0.15">
      <c r="A281" s="14"/>
      <c r="B281" s="14"/>
      <c r="C281" s="9"/>
      <c r="D281" s="9"/>
      <c r="E281" s="9"/>
      <c r="F281" s="10"/>
      <c r="G281" s="10"/>
      <c r="H281" s="11"/>
      <c r="I281" s="12"/>
      <c r="J281" t="str">
        <f>IF(OR(B281="",C281=""),"",B281&amp;"-"&amp;COUNTIFS($B$5:B281,B281,$C$5:C281,"&lt;&gt;"))</f>
        <v/>
      </c>
    </row>
    <row r="282" spans="1:10" ht="21" customHeight="1" x14ac:dyDescent="0.15">
      <c r="A282" s="14"/>
      <c r="B282" s="14"/>
      <c r="C282" s="9"/>
      <c r="D282" s="9"/>
      <c r="E282" s="9"/>
      <c r="F282" s="10"/>
      <c r="G282" s="10"/>
      <c r="H282" s="11"/>
      <c r="I282" s="12"/>
      <c r="J282" t="str">
        <f>IF(OR(B282="",C282=""),"",B282&amp;"-"&amp;COUNTIFS($B$5:B282,B282,$C$5:C282,"&lt;&gt;"))</f>
        <v/>
      </c>
    </row>
    <row r="283" spans="1:10" ht="21" customHeight="1" x14ac:dyDescent="0.15">
      <c r="A283" s="14"/>
      <c r="B283" s="14"/>
      <c r="C283" s="9"/>
      <c r="D283" s="9"/>
      <c r="E283" s="9"/>
      <c r="F283" s="10"/>
      <c r="G283" s="10"/>
      <c r="H283" s="11"/>
      <c r="I283" s="12"/>
      <c r="J283" t="str">
        <f>IF(OR(B283="",C283=""),"",B283&amp;"-"&amp;COUNTIFS($B$5:B283,B283,$C$5:C283,"&lt;&gt;"))</f>
        <v/>
      </c>
    </row>
    <row r="284" spans="1:10" ht="21" customHeight="1" x14ac:dyDescent="0.15">
      <c r="A284" s="14"/>
      <c r="B284" s="14"/>
      <c r="C284" s="9"/>
      <c r="D284" s="9"/>
      <c r="E284" s="9"/>
      <c r="F284" s="10"/>
      <c r="G284" s="10"/>
      <c r="H284" s="11"/>
      <c r="I284" s="12"/>
      <c r="J284" t="str">
        <f>IF(OR(B284="",C284=""),"",B284&amp;"-"&amp;COUNTIFS($B$5:B284,B284,$C$5:C284,"&lt;&gt;"))</f>
        <v/>
      </c>
    </row>
    <row r="285" spans="1:10" ht="21" customHeight="1" x14ac:dyDescent="0.15">
      <c r="A285" s="14"/>
      <c r="B285" s="14"/>
      <c r="C285" s="9"/>
      <c r="D285" s="9"/>
      <c r="E285" s="9"/>
      <c r="F285" s="10"/>
      <c r="G285" s="10"/>
      <c r="H285" s="11"/>
      <c r="I285" s="12"/>
      <c r="J285" t="str">
        <f>IF(OR(B285="",C285=""),"",B285&amp;"-"&amp;COUNTIFS($B$5:B285,B285,$C$5:C285,"&lt;&gt;"))</f>
        <v/>
      </c>
    </row>
    <row r="286" spans="1:10" ht="21" customHeight="1" x14ac:dyDescent="0.15">
      <c r="A286" s="14"/>
      <c r="B286" s="14"/>
      <c r="C286" s="9"/>
      <c r="D286" s="9"/>
      <c r="E286" s="9"/>
      <c r="F286" s="10"/>
      <c r="G286" s="10"/>
      <c r="H286" s="11"/>
      <c r="I286" s="12"/>
      <c r="J286" t="str">
        <f>IF(OR(B286="",C286=""),"",B286&amp;"-"&amp;COUNTIFS($B$5:B286,B286,$C$5:C286,"&lt;&gt;"))</f>
        <v/>
      </c>
    </row>
    <row r="287" spans="1:10" ht="21" customHeight="1" x14ac:dyDescent="0.15">
      <c r="A287" s="14"/>
      <c r="B287" s="14"/>
      <c r="C287" s="9"/>
      <c r="D287" s="9"/>
      <c r="E287" s="9"/>
      <c r="F287" s="10"/>
      <c r="G287" s="10"/>
      <c r="H287" s="11"/>
      <c r="I287" s="12"/>
      <c r="J287" t="str">
        <f>IF(OR(B287="",C287=""),"",B287&amp;"-"&amp;COUNTIFS($B$5:B287,B287,$C$5:C287,"&lt;&gt;"))</f>
        <v/>
      </c>
    </row>
    <row r="288" spans="1:10" ht="21" customHeight="1" x14ac:dyDescent="0.15">
      <c r="A288" s="14"/>
      <c r="B288" s="14"/>
      <c r="C288" s="9"/>
      <c r="D288" s="9"/>
      <c r="E288" s="9"/>
      <c r="F288" s="10"/>
      <c r="G288" s="10"/>
      <c r="H288" s="11"/>
      <c r="I288" s="12"/>
      <c r="J288" t="str">
        <f>IF(OR(B288="",C288=""),"",B288&amp;"-"&amp;COUNTIFS($B$5:B288,B288,$C$5:C288,"&lt;&gt;"))</f>
        <v/>
      </c>
    </row>
    <row r="289" spans="1:10" ht="21" customHeight="1" x14ac:dyDescent="0.15">
      <c r="A289" s="14"/>
      <c r="B289" s="14"/>
      <c r="C289" s="9"/>
      <c r="D289" s="9"/>
      <c r="E289" s="9"/>
      <c r="F289" s="10"/>
      <c r="G289" s="10"/>
      <c r="H289" s="11"/>
      <c r="I289" s="12"/>
      <c r="J289" t="str">
        <f>IF(OR(B289="",C289=""),"",B289&amp;"-"&amp;COUNTIFS($B$5:B289,B289,$C$5:C289,"&lt;&gt;"))</f>
        <v/>
      </c>
    </row>
    <row r="290" spans="1:10" ht="21" customHeight="1" x14ac:dyDescent="0.15">
      <c r="A290" s="14"/>
      <c r="B290" s="14"/>
      <c r="C290" s="9"/>
      <c r="D290" s="9"/>
      <c r="E290" s="9"/>
      <c r="F290" s="10"/>
      <c r="G290" s="10"/>
      <c r="H290" s="11"/>
      <c r="I290" s="12"/>
      <c r="J290" t="str">
        <f>IF(OR(B290="",C290=""),"",B290&amp;"-"&amp;COUNTIFS($B$5:B290,B290,$C$5:C290,"&lt;&gt;"))</f>
        <v/>
      </c>
    </row>
    <row r="291" spans="1:10" ht="21" customHeight="1" x14ac:dyDescent="0.15">
      <c r="A291" s="14"/>
      <c r="B291" s="14"/>
      <c r="C291" s="9"/>
      <c r="D291" s="9"/>
      <c r="E291" s="9"/>
      <c r="F291" s="10"/>
      <c r="G291" s="10"/>
      <c r="H291" s="11"/>
      <c r="I291" s="12"/>
      <c r="J291" t="str">
        <f>IF(OR(B291="",C291=""),"",B291&amp;"-"&amp;COUNTIFS($B$5:B291,B291,$C$5:C291,"&lt;&gt;"))</f>
        <v/>
      </c>
    </row>
    <row r="292" spans="1:10" ht="21" customHeight="1" x14ac:dyDescent="0.15">
      <c r="A292" s="14"/>
      <c r="B292" s="14"/>
      <c r="C292" s="9"/>
      <c r="D292" s="9"/>
      <c r="E292" s="9"/>
      <c r="F292" s="10"/>
      <c r="G292" s="10"/>
      <c r="H292" s="11"/>
      <c r="I292" s="12"/>
      <c r="J292" t="str">
        <f>IF(OR(B292="",C292=""),"",B292&amp;"-"&amp;COUNTIFS($B$5:B292,B292,$C$5:C292,"&lt;&gt;"))</f>
        <v/>
      </c>
    </row>
    <row r="293" spans="1:10" ht="21" customHeight="1" x14ac:dyDescent="0.15">
      <c r="A293" s="14"/>
      <c r="B293" s="14"/>
      <c r="C293" s="9"/>
      <c r="D293" s="9"/>
      <c r="E293" s="9"/>
      <c r="F293" s="10"/>
      <c r="G293" s="10"/>
      <c r="H293" s="11"/>
      <c r="I293" s="12"/>
      <c r="J293" t="str">
        <f>IF(OR(B293="",C293=""),"",B293&amp;"-"&amp;COUNTIFS($B$5:B293,B293,$C$5:C293,"&lt;&gt;"))</f>
        <v/>
      </c>
    </row>
    <row r="294" spans="1:10" ht="21" customHeight="1" x14ac:dyDescent="0.15">
      <c r="A294" s="14"/>
      <c r="B294" s="14"/>
      <c r="C294" s="9"/>
      <c r="D294" s="9"/>
      <c r="E294" s="9"/>
      <c r="F294" s="10"/>
      <c r="G294" s="10"/>
      <c r="H294" s="11"/>
      <c r="I294" s="12"/>
      <c r="J294" t="str">
        <f>IF(OR(B294="",C294=""),"",B294&amp;"-"&amp;COUNTIFS($B$5:B294,B294,$C$5:C294,"&lt;&gt;"))</f>
        <v/>
      </c>
    </row>
    <row r="295" spans="1:10" ht="21" customHeight="1" x14ac:dyDescent="0.15">
      <c r="A295" s="14"/>
      <c r="B295" s="14"/>
      <c r="C295" s="9"/>
      <c r="D295" s="9"/>
      <c r="E295" s="9"/>
      <c r="F295" s="10"/>
      <c r="G295" s="10"/>
      <c r="H295" s="11"/>
      <c r="I295" s="12"/>
      <c r="J295" t="str">
        <f>IF(OR(B295="",C295=""),"",B295&amp;"-"&amp;COUNTIFS($B$5:B295,B295,$C$5:C295,"&lt;&gt;"))</f>
        <v/>
      </c>
    </row>
    <row r="296" spans="1:10" ht="21" customHeight="1" x14ac:dyDescent="0.15">
      <c r="A296" s="14"/>
      <c r="B296" s="14"/>
      <c r="C296" s="9"/>
      <c r="D296" s="9"/>
      <c r="E296" s="9"/>
      <c r="F296" s="10"/>
      <c r="G296" s="10"/>
      <c r="H296" s="11"/>
      <c r="I296" s="12"/>
      <c r="J296" t="str">
        <f>IF(OR(B296="",C296=""),"",B296&amp;"-"&amp;COUNTIFS($B$5:B296,B296,$C$5:C296,"&lt;&gt;"))</f>
        <v/>
      </c>
    </row>
    <row r="297" spans="1:10" ht="21" customHeight="1" x14ac:dyDescent="0.15">
      <c r="A297" s="14"/>
      <c r="B297" s="14"/>
      <c r="C297" s="9"/>
      <c r="D297" s="9"/>
      <c r="E297" s="9"/>
      <c r="F297" s="10"/>
      <c r="G297" s="10"/>
      <c r="H297" s="11"/>
      <c r="I297" s="12"/>
      <c r="J297" t="str">
        <f>IF(OR(B297="",C297=""),"",B297&amp;"-"&amp;COUNTIFS($B$5:B297,B297,$C$5:C297,"&lt;&gt;"))</f>
        <v/>
      </c>
    </row>
    <row r="298" spans="1:10" ht="21" customHeight="1" x14ac:dyDescent="0.15">
      <c r="A298" s="14"/>
      <c r="B298" s="14"/>
      <c r="C298" s="9"/>
      <c r="D298" s="9"/>
      <c r="E298" s="9"/>
      <c r="F298" s="10"/>
      <c r="G298" s="10"/>
      <c r="H298" s="11"/>
      <c r="I298" s="12"/>
      <c r="J298" t="str">
        <f>IF(OR(B298="",C298=""),"",B298&amp;"-"&amp;COUNTIFS($B$5:B298,B298,$C$5:C298,"&lt;&gt;"))</f>
        <v/>
      </c>
    </row>
    <row r="299" spans="1:10" ht="21" customHeight="1" x14ac:dyDescent="0.15">
      <c r="A299" s="14"/>
      <c r="B299" s="14"/>
      <c r="C299" s="9"/>
      <c r="D299" s="9"/>
      <c r="E299" s="9"/>
      <c r="F299" s="10"/>
      <c r="G299" s="10"/>
      <c r="H299" s="11"/>
      <c r="I299" s="12"/>
      <c r="J299" t="str">
        <f>IF(OR(B299="",C299=""),"",B299&amp;"-"&amp;COUNTIFS($B$5:B299,B299,$C$5:C299,"&lt;&gt;"))</f>
        <v/>
      </c>
    </row>
    <row r="300" spans="1:10" ht="21" customHeight="1" x14ac:dyDescent="0.15">
      <c r="A300" s="14"/>
      <c r="B300" s="14"/>
      <c r="C300" s="9"/>
      <c r="D300" s="9"/>
      <c r="E300" s="9"/>
      <c r="F300" s="10"/>
      <c r="G300" s="10"/>
      <c r="H300" s="11"/>
      <c r="I300" s="12"/>
      <c r="J300" t="str">
        <f>IF(OR(B300="",C300=""),"",B300&amp;"-"&amp;COUNTIFS($B$5:B300,B300,$C$5:C300,"&lt;&gt;"))</f>
        <v/>
      </c>
    </row>
    <row r="301" spans="1:10" ht="21" customHeight="1" x14ac:dyDescent="0.15">
      <c r="A301" s="14"/>
      <c r="B301" s="14"/>
      <c r="C301" s="9"/>
      <c r="D301" s="9"/>
      <c r="E301" s="9"/>
      <c r="F301" s="10"/>
      <c r="G301" s="10"/>
      <c r="H301" s="11"/>
      <c r="I301" s="12"/>
      <c r="J301" t="str">
        <f>IF(OR(B301="",C301=""),"",B301&amp;"-"&amp;COUNTIFS($B$5:B301,B301,$C$5:C301,"&lt;&gt;"))</f>
        <v/>
      </c>
    </row>
    <row r="302" spans="1:10" ht="21" customHeight="1" x14ac:dyDescent="0.15">
      <c r="A302" s="14"/>
      <c r="B302" s="14"/>
      <c r="C302" s="9"/>
      <c r="D302" s="9"/>
      <c r="E302" s="9"/>
      <c r="F302" s="10"/>
      <c r="G302" s="10"/>
      <c r="H302" s="11"/>
      <c r="I302" s="12"/>
      <c r="J302" t="str">
        <f>IF(OR(B302="",C302=""),"",B302&amp;"-"&amp;COUNTIFS($B$5:B302,B302,$C$5:C302,"&lt;&gt;"))</f>
        <v/>
      </c>
    </row>
    <row r="303" spans="1:10" ht="21" customHeight="1" x14ac:dyDescent="0.15">
      <c r="A303" s="14"/>
      <c r="B303" s="14"/>
      <c r="C303" s="9"/>
      <c r="D303" s="9"/>
      <c r="E303" s="9"/>
      <c r="F303" s="10"/>
      <c r="G303" s="10"/>
      <c r="H303" s="11"/>
      <c r="I303" s="12"/>
      <c r="J303" t="str">
        <f>IF(OR(B303="",C303=""),"",B303&amp;"-"&amp;COUNTIFS($B$5:B303,B303,$C$5:C303,"&lt;&gt;"))</f>
        <v/>
      </c>
    </row>
    <row r="304" spans="1:10" ht="21" customHeight="1" x14ac:dyDescent="0.15">
      <c r="A304" s="14"/>
      <c r="B304" s="14"/>
      <c r="C304" s="9"/>
      <c r="D304" s="9"/>
      <c r="E304" s="9"/>
      <c r="F304" s="10"/>
      <c r="G304" s="10"/>
      <c r="H304" s="11"/>
      <c r="I304" s="12"/>
      <c r="J304" t="str">
        <f>IF(OR(B304="",C304=""),"",B304&amp;"-"&amp;COUNTIFS($B$5:B304,B304,$C$5:C304,"&lt;&gt;"))</f>
        <v/>
      </c>
    </row>
    <row r="305" spans="1:10" ht="21" customHeight="1" x14ac:dyDescent="0.15">
      <c r="A305" s="14"/>
      <c r="B305" s="14"/>
      <c r="C305" s="9"/>
      <c r="D305" s="9"/>
      <c r="E305" s="9"/>
      <c r="F305" s="10"/>
      <c r="G305" s="10"/>
      <c r="H305" s="11"/>
      <c r="I305" s="12"/>
      <c r="J305" t="str">
        <f>IF(OR(B305="",C305=""),"",B305&amp;"-"&amp;COUNTIFS($B$5:B305,B305,$C$5:C305,"&lt;&gt;"))</f>
        <v/>
      </c>
    </row>
    <row r="306" spans="1:10" ht="21" customHeight="1" x14ac:dyDescent="0.15">
      <c r="A306" s="14"/>
      <c r="B306" s="14"/>
      <c r="C306" s="9"/>
      <c r="D306" s="9"/>
      <c r="E306" s="9"/>
      <c r="F306" s="10"/>
      <c r="G306" s="10"/>
      <c r="H306" s="11"/>
      <c r="I306" s="12"/>
      <c r="J306" t="str">
        <f>IF(OR(B306="",C306=""),"",B306&amp;"-"&amp;COUNTIFS($B$5:B306,B306,$C$5:C306,"&lt;&gt;"))</f>
        <v/>
      </c>
    </row>
    <row r="307" spans="1:10" ht="21" customHeight="1" x14ac:dyDescent="0.15">
      <c r="A307" s="14"/>
      <c r="B307" s="14"/>
      <c r="C307" s="9"/>
      <c r="D307" s="9"/>
      <c r="E307" s="9"/>
      <c r="F307" s="10"/>
      <c r="G307" s="10"/>
      <c r="H307" s="11"/>
      <c r="I307" s="12"/>
      <c r="J307" t="str">
        <f>IF(OR(B307="",C307=""),"",B307&amp;"-"&amp;COUNTIFS($B$5:B307,B307,$C$5:C307,"&lt;&gt;"))</f>
        <v/>
      </c>
    </row>
    <row r="308" spans="1:10" ht="21" customHeight="1" x14ac:dyDescent="0.15">
      <c r="A308" s="14"/>
      <c r="B308" s="14"/>
      <c r="C308" s="9"/>
      <c r="D308" s="9"/>
      <c r="E308" s="9"/>
      <c r="F308" s="10"/>
      <c r="G308" s="10"/>
      <c r="H308" s="11"/>
      <c r="I308" s="12"/>
      <c r="J308" t="str">
        <f>IF(OR(B308="",C308=""),"",B308&amp;"-"&amp;COUNTIFS($B$5:B308,B308,$C$5:C308,"&lt;&gt;"))</f>
        <v/>
      </c>
    </row>
    <row r="309" spans="1:10" ht="21" customHeight="1" x14ac:dyDescent="0.15">
      <c r="A309" s="14"/>
      <c r="B309" s="14"/>
      <c r="C309" s="9"/>
      <c r="D309" s="9"/>
      <c r="E309" s="9"/>
      <c r="F309" s="10"/>
      <c r="G309" s="10"/>
      <c r="H309" s="11"/>
      <c r="I309" s="12"/>
      <c r="J309" t="str">
        <f>IF(OR(B309="",C309=""),"",B309&amp;"-"&amp;COUNTIFS($B$5:B309,B309,$C$5:C309,"&lt;&gt;"))</f>
        <v/>
      </c>
    </row>
    <row r="310" spans="1:10" ht="21" customHeight="1" x14ac:dyDescent="0.15">
      <c r="A310" s="14"/>
      <c r="B310" s="14"/>
      <c r="C310" s="9"/>
      <c r="D310" s="9"/>
      <c r="E310" s="9"/>
      <c r="F310" s="10"/>
      <c r="G310" s="10"/>
      <c r="H310" s="11"/>
      <c r="I310" s="12"/>
      <c r="J310" t="str">
        <f>IF(OR(B310="",C310=""),"",B310&amp;"-"&amp;COUNTIFS($B$5:B310,B310,$C$5:C310,"&lt;&gt;"))</f>
        <v/>
      </c>
    </row>
    <row r="311" spans="1:10" ht="21" customHeight="1" x14ac:dyDescent="0.15">
      <c r="A311" s="14"/>
      <c r="B311" s="14"/>
      <c r="C311" s="9"/>
      <c r="D311" s="9"/>
      <c r="E311" s="9"/>
      <c r="F311" s="10"/>
      <c r="G311" s="10"/>
      <c r="H311" s="11"/>
      <c r="I311" s="12"/>
      <c r="J311" t="str">
        <f>IF(OR(B311="",C311=""),"",B311&amp;"-"&amp;COUNTIFS($B$5:B311,B311,$C$5:C311,"&lt;&gt;"))</f>
        <v/>
      </c>
    </row>
    <row r="312" spans="1:10" ht="21" customHeight="1" x14ac:dyDescent="0.15">
      <c r="A312" s="14"/>
      <c r="B312" s="14"/>
      <c r="C312" s="9"/>
      <c r="D312" s="9"/>
      <c r="E312" s="9"/>
      <c r="F312" s="10"/>
      <c r="G312" s="10"/>
      <c r="H312" s="11"/>
      <c r="I312" s="12"/>
      <c r="J312" t="str">
        <f>IF(OR(B312="",C312=""),"",B312&amp;"-"&amp;COUNTIFS($B$5:B312,B312,$C$5:C312,"&lt;&gt;"))</f>
        <v/>
      </c>
    </row>
    <row r="313" spans="1:10" ht="21" customHeight="1" x14ac:dyDescent="0.15">
      <c r="A313" s="14"/>
      <c r="B313" s="14"/>
      <c r="C313" s="9"/>
      <c r="D313" s="9"/>
      <c r="E313" s="9"/>
      <c r="F313" s="10"/>
      <c r="G313" s="10"/>
      <c r="H313" s="11"/>
      <c r="I313" s="12"/>
      <c r="J313" t="str">
        <f>IF(OR(B313="",C313=""),"",B313&amp;"-"&amp;COUNTIFS($B$5:B313,B313,$C$5:C313,"&lt;&gt;"))</f>
        <v/>
      </c>
    </row>
    <row r="314" spans="1:10" ht="21" customHeight="1" x14ac:dyDescent="0.15">
      <c r="A314" s="14"/>
      <c r="B314" s="14"/>
      <c r="C314" s="9"/>
      <c r="D314" s="9"/>
      <c r="E314" s="9"/>
      <c r="F314" s="10"/>
      <c r="G314" s="10"/>
      <c r="H314" s="11"/>
      <c r="I314" s="12"/>
      <c r="J314" t="str">
        <f>IF(OR(B314="",C314=""),"",B314&amp;"-"&amp;COUNTIFS($B$5:B314,B314,$C$5:C314,"&lt;&gt;"))</f>
        <v/>
      </c>
    </row>
    <row r="315" spans="1:10" ht="21" customHeight="1" x14ac:dyDescent="0.15">
      <c r="A315" s="14"/>
      <c r="B315" s="14"/>
      <c r="C315" s="9"/>
      <c r="D315" s="9"/>
      <c r="E315" s="9"/>
      <c r="F315" s="10"/>
      <c r="G315" s="10"/>
      <c r="H315" s="11"/>
      <c r="I315" s="12"/>
      <c r="J315" t="str">
        <f>IF(OR(B315="",C315=""),"",B315&amp;"-"&amp;COUNTIFS($B$5:B315,B315,$C$5:C315,"&lt;&gt;"))</f>
        <v/>
      </c>
    </row>
    <row r="316" spans="1:10" ht="21" customHeight="1" x14ac:dyDescent="0.15">
      <c r="A316" s="14"/>
      <c r="B316" s="14"/>
      <c r="C316" s="9"/>
      <c r="D316" s="9"/>
      <c r="E316" s="9"/>
      <c r="F316" s="10"/>
      <c r="G316" s="10"/>
      <c r="H316" s="11"/>
      <c r="I316" s="12"/>
      <c r="J316" t="str">
        <f>IF(OR(B316="",C316=""),"",B316&amp;"-"&amp;COUNTIFS($B$5:B316,B316,$C$5:C316,"&lt;&gt;"))</f>
        <v/>
      </c>
    </row>
    <row r="317" spans="1:10" ht="21" customHeight="1" x14ac:dyDescent="0.15">
      <c r="A317" s="14"/>
      <c r="B317" s="14"/>
      <c r="C317" s="9"/>
      <c r="D317" s="9"/>
      <c r="E317" s="9"/>
      <c r="F317" s="10"/>
      <c r="G317" s="10"/>
      <c r="H317" s="11"/>
      <c r="I317" s="12"/>
      <c r="J317" t="str">
        <f>IF(OR(B317="",C317=""),"",B317&amp;"-"&amp;COUNTIFS($B$5:B317,B317,$C$5:C317,"&lt;&gt;"))</f>
        <v/>
      </c>
    </row>
    <row r="318" spans="1:10" ht="21" customHeight="1" x14ac:dyDescent="0.15">
      <c r="A318" s="14"/>
      <c r="B318" s="14"/>
      <c r="C318" s="9"/>
      <c r="D318" s="9"/>
      <c r="E318" s="9"/>
      <c r="F318" s="10"/>
      <c r="G318" s="10"/>
      <c r="H318" s="11"/>
      <c r="I318" s="12"/>
      <c r="J318" t="str">
        <f>IF(OR(B318="",C318=""),"",B318&amp;"-"&amp;COUNTIFS($B$5:B318,B318,$C$5:C318,"&lt;&gt;"))</f>
        <v/>
      </c>
    </row>
    <row r="319" spans="1:10" ht="21" customHeight="1" x14ac:dyDescent="0.15">
      <c r="A319" s="14"/>
      <c r="B319" s="14"/>
      <c r="C319" s="9"/>
      <c r="D319" s="9"/>
      <c r="E319" s="9"/>
      <c r="F319" s="10"/>
      <c r="G319" s="10"/>
      <c r="H319" s="11"/>
      <c r="I319" s="12"/>
      <c r="J319" t="str">
        <f>IF(OR(B319="",C319=""),"",B319&amp;"-"&amp;COUNTIFS($B$5:B319,B319,$C$5:C319,"&lt;&gt;"))</f>
        <v/>
      </c>
    </row>
    <row r="320" spans="1:10" ht="21" customHeight="1" x14ac:dyDescent="0.15">
      <c r="A320" s="14"/>
      <c r="B320" s="14"/>
      <c r="C320" s="9"/>
      <c r="D320" s="9"/>
      <c r="E320" s="9"/>
      <c r="F320" s="10"/>
      <c r="G320" s="10"/>
      <c r="H320" s="11"/>
      <c r="I320" s="12"/>
      <c r="J320" t="str">
        <f>IF(OR(B320="",C320=""),"",B320&amp;"-"&amp;COUNTIFS($B$5:B320,B320,$C$5:C320,"&lt;&gt;"))</f>
        <v/>
      </c>
    </row>
    <row r="321" spans="1:10" ht="21" customHeight="1" x14ac:dyDescent="0.15">
      <c r="A321" s="14"/>
      <c r="B321" s="14"/>
      <c r="C321" s="9"/>
      <c r="D321" s="9"/>
      <c r="E321" s="9"/>
      <c r="F321" s="10"/>
      <c r="G321" s="10"/>
      <c r="H321" s="11"/>
      <c r="I321" s="12"/>
      <c r="J321" t="str">
        <f>IF(OR(B321="",C321=""),"",B321&amp;"-"&amp;COUNTIFS($B$5:B321,B321,$C$5:C321,"&lt;&gt;"))</f>
        <v/>
      </c>
    </row>
    <row r="322" spans="1:10" ht="21" customHeight="1" x14ac:dyDescent="0.15">
      <c r="A322" s="14"/>
      <c r="B322" s="14"/>
      <c r="C322" s="9"/>
      <c r="D322" s="9"/>
      <c r="E322" s="9"/>
      <c r="F322" s="10"/>
      <c r="G322" s="10"/>
      <c r="H322" s="11"/>
      <c r="I322" s="12"/>
      <c r="J322" t="str">
        <f>IF(OR(B322="",C322=""),"",B322&amp;"-"&amp;COUNTIFS($B$5:B322,B322,$C$5:C322,"&lt;&gt;"))</f>
        <v/>
      </c>
    </row>
    <row r="323" spans="1:10" ht="21" customHeight="1" x14ac:dyDescent="0.15">
      <c r="A323" s="14"/>
      <c r="B323" s="14"/>
      <c r="C323" s="9"/>
      <c r="D323" s="9"/>
      <c r="E323" s="9"/>
      <c r="F323" s="10"/>
      <c r="G323" s="10"/>
      <c r="H323" s="11"/>
      <c r="I323" s="12"/>
      <c r="J323" t="str">
        <f>IF(OR(B323="",C323=""),"",B323&amp;"-"&amp;COUNTIFS($B$5:B323,B323,$C$5:C323,"&lt;&gt;"))</f>
        <v/>
      </c>
    </row>
    <row r="324" spans="1:10" ht="21" customHeight="1" x14ac:dyDescent="0.15">
      <c r="A324" s="14"/>
      <c r="B324" s="14"/>
      <c r="C324" s="9"/>
      <c r="D324" s="9"/>
      <c r="E324" s="9"/>
      <c r="F324" s="10"/>
      <c r="G324" s="10"/>
      <c r="H324" s="11"/>
      <c r="I324" s="12"/>
      <c r="J324" t="str">
        <f>IF(OR(B324="",C324=""),"",B324&amp;"-"&amp;COUNTIFS($B$5:B324,B324,$C$5:C324,"&lt;&gt;"))</f>
        <v/>
      </c>
    </row>
    <row r="325" spans="1:10" ht="21" customHeight="1" x14ac:dyDescent="0.15">
      <c r="A325" s="14"/>
      <c r="B325" s="14"/>
      <c r="C325" s="9"/>
      <c r="D325" s="9"/>
      <c r="E325" s="9"/>
      <c r="F325" s="10"/>
      <c r="G325" s="10"/>
      <c r="H325" s="11"/>
      <c r="I325" s="12"/>
      <c r="J325" t="str">
        <f>IF(OR(B325="",C325=""),"",B325&amp;"-"&amp;COUNTIFS($B$5:B325,B325,$C$5:C325,"&lt;&gt;"))</f>
        <v/>
      </c>
    </row>
    <row r="326" spans="1:10" ht="21" customHeight="1" x14ac:dyDescent="0.15">
      <c r="A326" s="14"/>
      <c r="B326" s="14"/>
      <c r="C326" s="9"/>
      <c r="D326" s="9"/>
      <c r="E326" s="9"/>
      <c r="F326" s="10"/>
      <c r="G326" s="10"/>
      <c r="H326" s="11"/>
      <c r="I326" s="12"/>
      <c r="J326" t="str">
        <f>IF(OR(B326="",C326=""),"",B326&amp;"-"&amp;COUNTIFS($B$5:B326,B326,$C$5:C326,"&lt;&gt;"))</f>
        <v/>
      </c>
    </row>
    <row r="327" spans="1:10" ht="21" customHeight="1" x14ac:dyDescent="0.15">
      <c r="A327" s="14"/>
      <c r="B327" s="14"/>
      <c r="C327" s="9"/>
      <c r="D327" s="9"/>
      <c r="E327" s="9"/>
      <c r="F327" s="10"/>
      <c r="G327" s="10"/>
      <c r="H327" s="11"/>
      <c r="I327" s="12"/>
      <c r="J327" t="str">
        <f>IF(OR(B327="",C327=""),"",B327&amp;"-"&amp;COUNTIFS($B$5:B327,B327,$C$5:C327,"&lt;&gt;"))</f>
        <v/>
      </c>
    </row>
    <row r="328" spans="1:10" ht="21" customHeight="1" x14ac:dyDescent="0.15">
      <c r="A328" s="14"/>
      <c r="B328" s="14"/>
      <c r="C328" s="9"/>
      <c r="D328" s="9"/>
      <c r="E328" s="9"/>
      <c r="F328" s="10"/>
      <c r="G328" s="10"/>
      <c r="H328" s="11"/>
      <c r="I328" s="12"/>
      <c r="J328" t="str">
        <f>IF(OR(B328="",C328=""),"",B328&amp;"-"&amp;COUNTIFS($B$5:B328,B328,$C$5:C328,"&lt;&gt;"))</f>
        <v/>
      </c>
    </row>
    <row r="329" spans="1:10" ht="21" customHeight="1" x14ac:dyDescent="0.15">
      <c r="A329" s="14"/>
      <c r="B329" s="14"/>
      <c r="C329" s="9"/>
      <c r="D329" s="9"/>
      <c r="E329" s="9"/>
      <c r="F329" s="10"/>
      <c r="G329" s="10"/>
      <c r="H329" s="11"/>
      <c r="I329" s="12"/>
      <c r="J329" t="str">
        <f>IF(OR(B329="",C329=""),"",B329&amp;"-"&amp;COUNTIFS($B$5:B329,B329,$C$5:C329,"&lt;&gt;"))</f>
        <v/>
      </c>
    </row>
    <row r="330" spans="1:10" ht="21" customHeight="1" x14ac:dyDescent="0.15">
      <c r="A330" s="14"/>
      <c r="B330" s="14"/>
      <c r="C330" s="9"/>
      <c r="D330" s="9"/>
      <c r="E330" s="9"/>
      <c r="F330" s="10"/>
      <c r="G330" s="10"/>
      <c r="H330" s="11"/>
      <c r="I330" s="12"/>
      <c r="J330" t="str">
        <f>IF(OR(B330="",C330=""),"",B330&amp;"-"&amp;COUNTIFS($B$5:B330,B330,$C$5:C330,"&lt;&gt;"))</f>
        <v/>
      </c>
    </row>
    <row r="331" spans="1:10" ht="21" customHeight="1" x14ac:dyDescent="0.15">
      <c r="A331" s="14"/>
      <c r="B331" s="14"/>
      <c r="C331" s="9"/>
      <c r="D331" s="9"/>
      <c r="E331" s="9"/>
      <c r="F331" s="10"/>
      <c r="G331" s="10"/>
      <c r="H331" s="11"/>
      <c r="I331" s="12"/>
      <c r="J331" t="str">
        <f>IF(OR(B331="",C331=""),"",B331&amp;"-"&amp;COUNTIFS($B$5:B331,B331,$C$5:C331,"&lt;&gt;"))</f>
        <v/>
      </c>
    </row>
    <row r="332" spans="1:10" ht="21" customHeight="1" x14ac:dyDescent="0.15">
      <c r="A332" s="14"/>
      <c r="B332" s="14"/>
      <c r="C332" s="9"/>
      <c r="D332" s="9"/>
      <c r="E332" s="9"/>
      <c r="F332" s="10"/>
      <c r="G332" s="10"/>
      <c r="H332" s="11"/>
      <c r="I332" s="12"/>
      <c r="J332" t="str">
        <f>IF(OR(B332="",C332=""),"",B332&amp;"-"&amp;COUNTIFS($B$5:B332,B332,$C$5:C332,"&lt;&gt;"))</f>
        <v/>
      </c>
    </row>
    <row r="333" spans="1:10" ht="21" customHeight="1" x14ac:dyDescent="0.15">
      <c r="A333" s="14"/>
      <c r="B333" s="14"/>
      <c r="C333" s="9"/>
      <c r="D333" s="9"/>
      <c r="E333" s="9"/>
      <c r="F333" s="10"/>
      <c r="G333" s="10"/>
      <c r="H333" s="11"/>
      <c r="I333" s="12"/>
      <c r="J333" t="str">
        <f>IF(OR(B333="",C333=""),"",B333&amp;"-"&amp;COUNTIFS($B$5:B333,B333,$C$5:C333,"&lt;&gt;"))</f>
        <v/>
      </c>
    </row>
    <row r="334" spans="1:10" ht="21" customHeight="1" x14ac:dyDescent="0.15">
      <c r="A334" s="14"/>
      <c r="B334" s="14"/>
      <c r="C334" s="9"/>
      <c r="D334" s="9"/>
      <c r="E334" s="9"/>
      <c r="F334" s="10"/>
      <c r="G334" s="10"/>
      <c r="H334" s="11"/>
      <c r="I334" s="12"/>
      <c r="J334" t="str">
        <f>IF(OR(B334="",C334=""),"",B334&amp;"-"&amp;COUNTIFS($B$5:B334,B334,$C$5:C334,"&lt;&gt;"))</f>
        <v/>
      </c>
    </row>
    <row r="335" spans="1:10" ht="21" customHeight="1" x14ac:dyDescent="0.15">
      <c r="A335" s="14"/>
      <c r="B335" s="14"/>
      <c r="C335" s="9"/>
      <c r="D335" s="9"/>
      <c r="E335" s="9"/>
      <c r="F335" s="10"/>
      <c r="G335" s="10"/>
      <c r="H335" s="11"/>
      <c r="I335" s="12"/>
      <c r="J335" t="str">
        <f>IF(OR(B335="",C335=""),"",B335&amp;"-"&amp;COUNTIFS($B$5:B335,B335,$C$5:C335,"&lt;&gt;"))</f>
        <v/>
      </c>
    </row>
    <row r="336" spans="1:10" ht="21" customHeight="1" x14ac:dyDescent="0.15">
      <c r="A336" s="14"/>
      <c r="B336" s="14"/>
      <c r="C336" s="9"/>
      <c r="D336" s="9"/>
      <c r="E336" s="9"/>
      <c r="F336" s="10"/>
      <c r="G336" s="10"/>
      <c r="H336" s="11"/>
      <c r="I336" s="12"/>
      <c r="J336" t="str">
        <f>IF(OR(B336="",C336=""),"",B336&amp;"-"&amp;COUNTIFS($B$5:B336,B336,$C$5:C336,"&lt;&gt;"))</f>
        <v/>
      </c>
    </row>
    <row r="337" spans="1:10" ht="21" customHeight="1" x14ac:dyDescent="0.15">
      <c r="A337" s="14"/>
      <c r="B337" s="14"/>
      <c r="C337" s="9"/>
      <c r="D337" s="9"/>
      <c r="E337" s="9"/>
      <c r="F337" s="10"/>
      <c r="G337" s="10"/>
      <c r="H337" s="11"/>
      <c r="I337" s="12"/>
      <c r="J337" t="str">
        <f>IF(OR(B337="",C337=""),"",B337&amp;"-"&amp;COUNTIFS($B$5:B337,B337,$C$5:C337,"&lt;&gt;"))</f>
        <v/>
      </c>
    </row>
    <row r="338" spans="1:10" ht="21" customHeight="1" x14ac:dyDescent="0.15">
      <c r="A338" s="14"/>
      <c r="B338" s="14"/>
      <c r="C338" s="9"/>
      <c r="D338" s="9"/>
      <c r="E338" s="9"/>
      <c r="F338" s="10"/>
      <c r="G338" s="10"/>
      <c r="H338" s="11"/>
      <c r="I338" s="12"/>
      <c r="J338" t="str">
        <f>IF(OR(B338="",C338=""),"",B338&amp;"-"&amp;COUNTIFS($B$5:B338,B338,$C$5:C338,"&lt;&gt;"))</f>
        <v/>
      </c>
    </row>
    <row r="339" spans="1:10" ht="21" customHeight="1" x14ac:dyDescent="0.15">
      <c r="A339" s="14"/>
      <c r="B339" s="14"/>
      <c r="C339" s="9"/>
      <c r="D339" s="9"/>
      <c r="E339" s="9"/>
      <c r="F339" s="10"/>
      <c r="G339" s="10"/>
      <c r="H339" s="11"/>
      <c r="I339" s="12"/>
      <c r="J339" t="str">
        <f>IF(OR(B339="",C339=""),"",B339&amp;"-"&amp;COUNTIFS($B$5:B339,B339,$C$5:C339,"&lt;&gt;"))</f>
        <v/>
      </c>
    </row>
    <row r="340" spans="1:10" ht="21" customHeight="1" x14ac:dyDescent="0.15">
      <c r="A340" s="14"/>
      <c r="B340" s="14"/>
      <c r="C340" s="9"/>
      <c r="D340" s="9"/>
      <c r="E340" s="9"/>
      <c r="F340" s="10"/>
      <c r="G340" s="10"/>
      <c r="H340" s="11"/>
      <c r="I340" s="12"/>
      <c r="J340" t="str">
        <f>IF(OR(B340="",C340=""),"",B340&amp;"-"&amp;COUNTIFS($B$5:B340,B340,$C$5:C340,"&lt;&gt;"))</f>
        <v/>
      </c>
    </row>
    <row r="341" spans="1:10" ht="21" customHeight="1" x14ac:dyDescent="0.15">
      <c r="A341" s="14"/>
      <c r="B341" s="14"/>
      <c r="C341" s="9"/>
      <c r="D341" s="9"/>
      <c r="E341" s="9"/>
      <c r="F341" s="10"/>
      <c r="G341" s="10"/>
      <c r="H341" s="11"/>
      <c r="I341" s="12"/>
      <c r="J341" t="str">
        <f>IF(OR(B341="",C341=""),"",B341&amp;"-"&amp;COUNTIFS($B$5:B341,B341,$C$5:C341,"&lt;&gt;"))</f>
        <v/>
      </c>
    </row>
    <row r="342" spans="1:10" ht="21" customHeight="1" x14ac:dyDescent="0.15">
      <c r="A342" s="14"/>
      <c r="B342" s="14"/>
      <c r="C342" s="9"/>
      <c r="D342" s="9"/>
      <c r="E342" s="9"/>
      <c r="F342" s="10"/>
      <c r="G342" s="10"/>
      <c r="H342" s="11"/>
      <c r="I342" s="12"/>
      <c r="J342" t="str">
        <f>IF(OR(B342="",C342=""),"",B342&amp;"-"&amp;COUNTIFS($B$5:B342,B342,$C$5:C342,"&lt;&gt;"))</f>
        <v/>
      </c>
    </row>
    <row r="343" spans="1:10" ht="21" customHeight="1" x14ac:dyDescent="0.15">
      <c r="A343" s="14"/>
      <c r="B343" s="14"/>
      <c r="C343" s="9"/>
      <c r="D343" s="9"/>
      <c r="E343" s="9"/>
      <c r="F343" s="10"/>
      <c r="G343" s="10"/>
      <c r="H343" s="11"/>
      <c r="I343" s="12"/>
      <c r="J343" t="str">
        <f>IF(OR(B343="",C343=""),"",B343&amp;"-"&amp;COUNTIFS($B$5:B343,B343,$C$5:C343,"&lt;&gt;"))</f>
        <v/>
      </c>
    </row>
    <row r="344" spans="1:10" ht="21" customHeight="1" x14ac:dyDescent="0.15">
      <c r="A344" s="14"/>
      <c r="B344" s="14"/>
      <c r="C344" s="9"/>
      <c r="D344" s="9"/>
      <c r="E344" s="9"/>
      <c r="F344" s="10"/>
      <c r="G344" s="10"/>
      <c r="H344" s="11"/>
      <c r="I344" s="12"/>
      <c r="J344" t="str">
        <f>IF(OR(B344="",C344=""),"",B344&amp;"-"&amp;COUNTIFS($B$5:B344,B344,$C$5:C344,"&lt;&gt;"))</f>
        <v/>
      </c>
    </row>
    <row r="345" spans="1:10" ht="21" customHeight="1" x14ac:dyDescent="0.15">
      <c r="A345" s="14"/>
      <c r="B345" s="14"/>
      <c r="C345" s="9"/>
      <c r="D345" s="9"/>
      <c r="E345" s="9"/>
      <c r="F345" s="10"/>
      <c r="G345" s="10"/>
      <c r="H345" s="11"/>
      <c r="I345" s="12"/>
      <c r="J345" t="str">
        <f>IF(OR(B345="",C345=""),"",B345&amp;"-"&amp;COUNTIFS($B$5:B345,B345,$C$5:C345,"&lt;&gt;"))</f>
        <v/>
      </c>
    </row>
    <row r="346" spans="1:10" ht="21" customHeight="1" x14ac:dyDescent="0.15">
      <c r="A346" s="14"/>
      <c r="B346" s="14"/>
      <c r="C346" s="9"/>
      <c r="D346" s="9"/>
      <c r="E346" s="9"/>
      <c r="F346" s="10"/>
      <c r="G346" s="10"/>
      <c r="H346" s="11"/>
      <c r="I346" s="12"/>
      <c r="J346" t="str">
        <f>IF(OR(B346="",C346=""),"",B346&amp;"-"&amp;COUNTIFS($B$5:B346,B346,$C$5:C346,"&lt;&gt;"))</f>
        <v/>
      </c>
    </row>
    <row r="347" spans="1:10" ht="21" customHeight="1" x14ac:dyDescent="0.15">
      <c r="A347" s="14"/>
      <c r="B347" s="14"/>
      <c r="C347" s="9"/>
      <c r="D347" s="9"/>
      <c r="E347" s="9"/>
      <c r="F347" s="10"/>
      <c r="G347" s="10"/>
      <c r="H347" s="11"/>
      <c r="I347" s="12"/>
      <c r="J347" t="str">
        <f>IF(OR(B347="",C347=""),"",B347&amp;"-"&amp;COUNTIFS($B$5:B347,B347,$C$5:C347,"&lt;&gt;"))</f>
        <v/>
      </c>
    </row>
    <row r="348" spans="1:10" ht="21" customHeight="1" x14ac:dyDescent="0.15">
      <c r="A348" s="14"/>
      <c r="B348" s="14"/>
      <c r="C348" s="9"/>
      <c r="D348" s="9"/>
      <c r="E348" s="9"/>
      <c r="F348" s="10"/>
      <c r="G348" s="10"/>
      <c r="H348" s="11"/>
      <c r="I348" s="12"/>
      <c r="J348" t="str">
        <f>IF(OR(B348="",C348=""),"",B348&amp;"-"&amp;COUNTIFS($B$5:B348,B348,$C$5:C348,"&lt;&gt;"))</f>
        <v/>
      </c>
    </row>
    <row r="349" spans="1:10" ht="21" customHeight="1" x14ac:dyDescent="0.15">
      <c r="A349" s="14"/>
      <c r="B349" s="14"/>
      <c r="C349" s="9"/>
      <c r="D349" s="9"/>
      <c r="E349" s="9"/>
      <c r="F349" s="10"/>
      <c r="G349" s="10"/>
      <c r="H349" s="11"/>
      <c r="I349" s="12"/>
      <c r="J349" t="str">
        <f>IF(OR(B349="",C349=""),"",B349&amp;"-"&amp;COUNTIFS($B$5:B349,B349,$C$5:C349,"&lt;&gt;"))</f>
        <v/>
      </c>
    </row>
    <row r="350" spans="1:10" ht="21" customHeight="1" x14ac:dyDescent="0.15">
      <c r="A350" s="14"/>
      <c r="B350" s="14"/>
      <c r="C350" s="9"/>
      <c r="D350" s="9"/>
      <c r="E350" s="9"/>
      <c r="F350" s="10"/>
      <c r="G350" s="10"/>
      <c r="H350" s="11"/>
      <c r="I350" s="12"/>
      <c r="J350" t="str">
        <f>IF(OR(B350="",C350=""),"",B350&amp;"-"&amp;COUNTIFS($B$5:B350,B350,$C$5:C350,"&lt;&gt;"))</f>
        <v/>
      </c>
    </row>
    <row r="351" spans="1:10" ht="21" customHeight="1" x14ac:dyDescent="0.15">
      <c r="A351" s="14"/>
      <c r="B351" s="14"/>
      <c r="C351" s="9"/>
      <c r="D351" s="9"/>
      <c r="E351" s="9"/>
      <c r="F351" s="10"/>
      <c r="G351" s="10"/>
      <c r="H351" s="11"/>
      <c r="I351" s="12"/>
      <c r="J351" t="str">
        <f>IF(OR(B351="",C351=""),"",B351&amp;"-"&amp;COUNTIFS($B$5:B351,B351,$C$5:C351,"&lt;&gt;"))</f>
        <v/>
      </c>
    </row>
    <row r="352" spans="1:10" ht="21" customHeight="1" x14ac:dyDescent="0.15">
      <c r="A352" s="14"/>
      <c r="B352" s="14"/>
      <c r="C352" s="9"/>
      <c r="D352" s="9"/>
      <c r="E352" s="9"/>
      <c r="F352" s="10"/>
      <c r="G352" s="10"/>
      <c r="H352" s="11"/>
      <c r="I352" s="12"/>
      <c r="J352" t="str">
        <f>IF(OR(B352="",C352=""),"",B352&amp;"-"&amp;COUNTIFS($B$5:B352,B352,$C$5:C352,"&lt;&gt;"))</f>
        <v/>
      </c>
    </row>
    <row r="353" spans="1:10" ht="21" customHeight="1" x14ac:dyDescent="0.15">
      <c r="A353" s="14"/>
      <c r="B353" s="14"/>
      <c r="C353" s="9"/>
      <c r="D353" s="9"/>
      <c r="E353" s="9"/>
      <c r="F353" s="10"/>
      <c r="G353" s="10"/>
      <c r="H353" s="11"/>
      <c r="I353" s="12"/>
      <c r="J353" t="str">
        <f>IF(OR(B353="",C353=""),"",B353&amp;"-"&amp;COUNTIFS($B$5:B353,B353,$C$5:C353,"&lt;&gt;"))</f>
        <v/>
      </c>
    </row>
    <row r="354" spans="1:10" ht="21" customHeight="1" x14ac:dyDescent="0.15">
      <c r="A354" s="14"/>
      <c r="B354" s="14"/>
      <c r="C354" s="9"/>
      <c r="D354" s="9"/>
      <c r="E354" s="9"/>
      <c r="F354" s="10"/>
      <c r="G354" s="10"/>
      <c r="H354" s="11"/>
      <c r="I354" s="12"/>
      <c r="J354" t="str">
        <f>IF(OR(B354="",C354=""),"",B354&amp;"-"&amp;COUNTIFS($B$5:B354,B354,$C$5:C354,"&lt;&gt;"))</f>
        <v/>
      </c>
    </row>
    <row r="355" spans="1:10" ht="21" customHeight="1" x14ac:dyDescent="0.15">
      <c r="A355" s="14"/>
      <c r="B355" s="14"/>
      <c r="C355" s="9"/>
      <c r="D355" s="9"/>
      <c r="E355" s="9"/>
      <c r="F355" s="10"/>
      <c r="G355" s="10"/>
      <c r="H355" s="11"/>
      <c r="I355" s="12"/>
      <c r="J355" t="str">
        <f>IF(OR(B355="",C355=""),"",B355&amp;"-"&amp;COUNTIFS($B$5:B355,B355,$C$5:C355,"&lt;&gt;"))</f>
        <v/>
      </c>
    </row>
    <row r="356" spans="1:10" ht="21" customHeight="1" x14ac:dyDescent="0.15">
      <c r="A356" s="14"/>
      <c r="B356" s="14"/>
      <c r="C356" s="9"/>
      <c r="D356" s="9"/>
      <c r="E356" s="9"/>
      <c r="F356" s="10"/>
      <c r="G356" s="10"/>
      <c r="H356" s="11"/>
      <c r="I356" s="12"/>
      <c r="J356" t="str">
        <f>IF(OR(B356="",C356=""),"",B356&amp;"-"&amp;COUNTIFS($B$5:B356,B356,$C$5:C356,"&lt;&gt;"))</f>
        <v/>
      </c>
    </row>
    <row r="357" spans="1:10" ht="21" customHeight="1" x14ac:dyDescent="0.15">
      <c r="A357" s="14"/>
      <c r="B357" s="14"/>
      <c r="C357" s="9"/>
      <c r="D357" s="9"/>
      <c r="E357" s="9"/>
      <c r="F357" s="10"/>
      <c r="G357" s="10"/>
      <c r="H357" s="11"/>
      <c r="I357" s="12"/>
      <c r="J357" t="str">
        <f>IF(OR(B357="",C357=""),"",B357&amp;"-"&amp;COUNTIFS($B$5:B357,B357,$C$5:C357,"&lt;&gt;"))</f>
        <v/>
      </c>
    </row>
    <row r="358" spans="1:10" ht="21" customHeight="1" x14ac:dyDescent="0.15">
      <c r="A358" s="14"/>
      <c r="B358" s="14"/>
      <c r="C358" s="9"/>
      <c r="D358" s="9"/>
      <c r="E358" s="9"/>
      <c r="F358" s="10"/>
      <c r="G358" s="10"/>
      <c r="H358" s="11"/>
      <c r="I358" s="12"/>
      <c r="J358" t="str">
        <f>IF(OR(B358="",C358=""),"",B358&amp;"-"&amp;COUNTIFS($B$5:B358,B358,$C$5:C358,"&lt;&gt;"))</f>
        <v/>
      </c>
    </row>
    <row r="359" spans="1:10" ht="21" customHeight="1" x14ac:dyDescent="0.15">
      <c r="A359" s="14"/>
      <c r="B359" s="14"/>
      <c r="C359" s="9"/>
      <c r="D359" s="9"/>
      <c r="E359" s="9"/>
      <c r="F359" s="10"/>
      <c r="G359" s="10"/>
      <c r="H359" s="11"/>
      <c r="I359" s="12"/>
      <c r="J359" t="str">
        <f>IF(OR(B359="",C359=""),"",B359&amp;"-"&amp;COUNTIFS($B$5:B359,B359,$C$5:C359,"&lt;&gt;"))</f>
        <v/>
      </c>
    </row>
    <row r="360" spans="1:10" ht="21" customHeight="1" x14ac:dyDescent="0.15">
      <c r="A360" s="14"/>
      <c r="B360" s="14"/>
      <c r="C360" s="9"/>
      <c r="D360" s="9"/>
      <c r="E360" s="9"/>
      <c r="F360" s="10"/>
      <c r="G360" s="10"/>
      <c r="H360" s="11"/>
      <c r="I360" s="12"/>
      <c r="J360" t="str">
        <f>IF(OR(B360="",C360=""),"",B360&amp;"-"&amp;COUNTIFS($B$5:B360,B360,$C$5:C360,"&lt;&gt;"))</f>
        <v/>
      </c>
    </row>
    <row r="361" spans="1:10" ht="21" customHeight="1" x14ac:dyDescent="0.15">
      <c r="A361" s="14"/>
      <c r="B361" s="14"/>
      <c r="C361" s="9"/>
      <c r="D361" s="9"/>
      <c r="E361" s="9"/>
      <c r="F361" s="10"/>
      <c r="G361" s="10"/>
      <c r="H361" s="11"/>
      <c r="I361" s="12"/>
      <c r="J361" t="str">
        <f>IF(OR(B361="",C361=""),"",B361&amp;"-"&amp;COUNTIFS($B$5:B361,B361,$C$5:C361,"&lt;&gt;"))</f>
        <v/>
      </c>
    </row>
    <row r="362" spans="1:10" ht="21" customHeight="1" x14ac:dyDescent="0.15">
      <c r="A362" s="14"/>
      <c r="B362" s="14"/>
      <c r="C362" s="9"/>
      <c r="D362" s="9"/>
      <c r="E362" s="9"/>
      <c r="F362" s="10"/>
      <c r="G362" s="10"/>
      <c r="H362" s="11"/>
      <c r="I362" s="12"/>
      <c r="J362" t="str">
        <f>IF(OR(B362="",C362=""),"",B362&amp;"-"&amp;COUNTIFS($B$5:B362,B362,$C$5:C362,"&lt;&gt;"))</f>
        <v/>
      </c>
    </row>
    <row r="363" spans="1:10" ht="21" customHeight="1" x14ac:dyDescent="0.15">
      <c r="A363" s="14"/>
      <c r="B363" s="14"/>
      <c r="C363" s="9"/>
      <c r="D363" s="9"/>
      <c r="E363" s="9"/>
      <c r="F363" s="10"/>
      <c r="G363" s="10"/>
      <c r="H363" s="11"/>
      <c r="I363" s="12"/>
      <c r="J363" t="str">
        <f>IF(OR(B363="",C363=""),"",B363&amp;"-"&amp;COUNTIFS($B$5:B363,B363,$C$5:C363,"&lt;&gt;"))</f>
        <v/>
      </c>
    </row>
    <row r="364" spans="1:10" ht="21" customHeight="1" x14ac:dyDescent="0.15">
      <c r="A364" s="14"/>
      <c r="B364" s="14"/>
      <c r="C364" s="9"/>
      <c r="D364" s="9"/>
      <c r="E364" s="9"/>
      <c r="F364" s="10"/>
      <c r="G364" s="10"/>
      <c r="H364" s="11"/>
      <c r="I364" s="12"/>
      <c r="J364" t="str">
        <f>IF(OR(B364="",C364=""),"",B364&amp;"-"&amp;COUNTIFS($B$5:B364,B364,$C$5:C364,"&lt;&gt;"))</f>
        <v/>
      </c>
    </row>
    <row r="365" spans="1:10" ht="21" customHeight="1" x14ac:dyDescent="0.15">
      <c r="A365" s="14"/>
      <c r="B365" s="14"/>
      <c r="C365" s="9"/>
      <c r="D365" s="9"/>
      <c r="E365" s="9"/>
      <c r="F365" s="10"/>
      <c r="G365" s="10"/>
      <c r="H365" s="11"/>
      <c r="I365" s="12"/>
      <c r="J365" t="str">
        <f>IF(OR(B365="",C365=""),"",B365&amp;"-"&amp;COUNTIFS($B$5:B365,B365,$C$5:C365,"&lt;&gt;"))</f>
        <v/>
      </c>
    </row>
    <row r="366" spans="1:10" ht="21" customHeight="1" x14ac:dyDescent="0.15">
      <c r="A366" s="14"/>
      <c r="B366" s="14"/>
      <c r="C366" s="9"/>
      <c r="D366" s="9"/>
      <c r="E366" s="9"/>
      <c r="F366" s="10"/>
      <c r="G366" s="10"/>
      <c r="H366" s="11"/>
      <c r="I366" s="12"/>
      <c r="J366" t="str">
        <f>IF(OR(B366="",C366=""),"",B366&amp;"-"&amp;COUNTIFS($B$5:B366,B366,$C$5:C366,"&lt;&gt;"))</f>
        <v/>
      </c>
    </row>
    <row r="367" spans="1:10" ht="21" customHeight="1" x14ac:dyDescent="0.15">
      <c r="A367" s="14"/>
      <c r="B367" s="14"/>
      <c r="C367" s="9"/>
      <c r="D367" s="9"/>
      <c r="E367" s="9"/>
      <c r="F367" s="10"/>
      <c r="G367" s="10"/>
      <c r="H367" s="11"/>
      <c r="I367" s="12"/>
      <c r="J367" t="str">
        <f>IF(OR(B367="",C367=""),"",B367&amp;"-"&amp;COUNTIFS($B$5:B367,B367,$C$5:C367,"&lt;&gt;"))</f>
        <v/>
      </c>
    </row>
    <row r="368" spans="1:10" ht="21" customHeight="1" x14ac:dyDescent="0.15">
      <c r="A368" s="14"/>
      <c r="B368" s="14"/>
      <c r="C368" s="9"/>
      <c r="D368" s="9"/>
      <c r="E368" s="9"/>
      <c r="F368" s="10"/>
      <c r="G368" s="10"/>
      <c r="H368" s="11"/>
      <c r="I368" s="12"/>
      <c r="J368" t="str">
        <f>IF(OR(B368="",C368=""),"",B368&amp;"-"&amp;COUNTIFS($B$5:B368,B368,$C$5:C368,"&lt;&gt;"))</f>
        <v/>
      </c>
    </row>
    <row r="369" spans="1:10" ht="21" customHeight="1" x14ac:dyDescent="0.15">
      <c r="A369" s="14"/>
      <c r="B369" s="14"/>
      <c r="C369" s="9"/>
      <c r="D369" s="9"/>
      <c r="E369" s="9"/>
      <c r="F369" s="10"/>
      <c r="G369" s="10"/>
      <c r="H369" s="11"/>
      <c r="I369" s="12"/>
      <c r="J369" t="str">
        <f>IF(OR(B369="",C369=""),"",B369&amp;"-"&amp;COUNTIFS($B$5:B369,B369,$C$5:C369,"&lt;&gt;"))</f>
        <v/>
      </c>
    </row>
    <row r="370" spans="1:10" ht="21" customHeight="1" x14ac:dyDescent="0.15">
      <c r="A370" s="14"/>
      <c r="B370" s="14"/>
      <c r="C370" s="9"/>
      <c r="D370" s="9"/>
      <c r="E370" s="9"/>
      <c r="F370" s="10"/>
      <c r="G370" s="10"/>
      <c r="H370" s="11"/>
      <c r="I370" s="12"/>
      <c r="J370" t="str">
        <f>IF(OR(B370="",C370=""),"",B370&amp;"-"&amp;COUNTIFS($B$5:B370,B370,$C$5:C370,"&lt;&gt;"))</f>
        <v/>
      </c>
    </row>
    <row r="371" spans="1:10" ht="21" customHeight="1" x14ac:dyDescent="0.15">
      <c r="A371" s="14"/>
      <c r="B371" s="14"/>
      <c r="C371" s="9"/>
      <c r="D371" s="9"/>
      <c r="E371" s="9"/>
      <c r="F371" s="10"/>
      <c r="G371" s="10"/>
      <c r="H371" s="11"/>
      <c r="I371" s="12"/>
      <c r="J371" t="str">
        <f>IF(OR(B371="",C371=""),"",B371&amp;"-"&amp;COUNTIFS($B$5:B371,B371,$C$5:C371,"&lt;&gt;"))</f>
        <v/>
      </c>
    </row>
    <row r="372" spans="1:10" ht="21" customHeight="1" x14ac:dyDescent="0.15">
      <c r="A372" s="14"/>
      <c r="B372" s="14"/>
      <c r="C372" s="9"/>
      <c r="D372" s="9"/>
      <c r="E372" s="9"/>
      <c r="F372" s="10"/>
      <c r="G372" s="10"/>
      <c r="H372" s="11"/>
      <c r="I372" s="12"/>
      <c r="J372" t="str">
        <f>IF(OR(B372="",C372=""),"",B372&amp;"-"&amp;COUNTIFS($B$5:B372,B372,$C$5:C372,"&lt;&gt;"))</f>
        <v/>
      </c>
    </row>
    <row r="373" spans="1:10" ht="21" customHeight="1" x14ac:dyDescent="0.15">
      <c r="A373" s="14"/>
      <c r="B373" s="14"/>
      <c r="C373" s="9"/>
      <c r="D373" s="9"/>
      <c r="E373" s="9"/>
      <c r="F373" s="10"/>
      <c r="G373" s="10"/>
      <c r="H373" s="11"/>
      <c r="I373" s="12"/>
      <c r="J373" t="str">
        <f>IF(OR(B373="",C373=""),"",B373&amp;"-"&amp;COUNTIFS($B$5:B373,B373,$C$5:C373,"&lt;&gt;"))</f>
        <v/>
      </c>
    </row>
    <row r="374" spans="1:10" ht="21" customHeight="1" x14ac:dyDescent="0.15">
      <c r="A374" s="14"/>
      <c r="B374" s="14"/>
      <c r="C374" s="9"/>
      <c r="D374" s="9"/>
      <c r="E374" s="9"/>
      <c r="F374" s="10"/>
      <c r="G374" s="10"/>
      <c r="H374" s="11"/>
      <c r="I374" s="12"/>
      <c r="J374" t="str">
        <f>IF(OR(B374="",C374=""),"",B374&amp;"-"&amp;COUNTIFS($B$5:B374,B374,$C$5:C374,"&lt;&gt;"))</f>
        <v/>
      </c>
    </row>
    <row r="375" spans="1:10" ht="21" customHeight="1" x14ac:dyDescent="0.15">
      <c r="A375" s="14"/>
      <c r="B375" s="14"/>
      <c r="C375" s="9"/>
      <c r="D375" s="9"/>
      <c r="E375" s="9"/>
      <c r="F375" s="10"/>
      <c r="G375" s="10"/>
      <c r="H375" s="11"/>
      <c r="I375" s="12"/>
      <c r="J375" t="str">
        <f>IF(OR(B375="",C375=""),"",B375&amp;"-"&amp;COUNTIFS($B$5:B375,B375,$C$5:C375,"&lt;&gt;"))</f>
        <v/>
      </c>
    </row>
    <row r="376" spans="1:10" ht="21" customHeight="1" x14ac:dyDescent="0.15">
      <c r="A376" s="14"/>
      <c r="B376" s="14"/>
      <c r="C376" s="9"/>
      <c r="D376" s="9"/>
      <c r="E376" s="9"/>
      <c r="F376" s="10"/>
      <c r="G376" s="10"/>
      <c r="H376" s="11"/>
      <c r="I376" s="12"/>
      <c r="J376" t="str">
        <f>IF(OR(B376="",C376=""),"",B376&amp;"-"&amp;COUNTIFS($B$5:B376,B376,$C$5:C376,"&lt;&gt;"))</f>
        <v/>
      </c>
    </row>
    <row r="377" spans="1:10" ht="21" customHeight="1" x14ac:dyDescent="0.15">
      <c r="A377" s="14"/>
      <c r="B377" s="14"/>
      <c r="C377" s="9"/>
      <c r="D377" s="9"/>
      <c r="E377" s="9"/>
      <c r="F377" s="10"/>
      <c r="G377" s="10"/>
      <c r="H377" s="11"/>
      <c r="I377" s="12"/>
      <c r="J377" t="str">
        <f>IF(OR(B377="",C377=""),"",B377&amp;"-"&amp;COUNTIFS($B$5:B377,B377,$C$5:C377,"&lt;&gt;"))</f>
        <v/>
      </c>
    </row>
    <row r="378" spans="1:10" ht="21" customHeight="1" x14ac:dyDescent="0.15">
      <c r="A378" s="14"/>
      <c r="B378" s="14"/>
      <c r="C378" s="9"/>
      <c r="D378" s="9"/>
      <c r="E378" s="9"/>
      <c r="F378" s="10"/>
      <c r="G378" s="10"/>
      <c r="H378" s="11"/>
      <c r="I378" s="12"/>
      <c r="J378" t="str">
        <f>IF(OR(B378="",C378=""),"",B378&amp;"-"&amp;COUNTIFS($B$5:B378,B378,$C$5:C378,"&lt;&gt;"))</f>
        <v/>
      </c>
    </row>
    <row r="379" spans="1:10" ht="21" customHeight="1" x14ac:dyDescent="0.15">
      <c r="A379" s="14"/>
      <c r="B379" s="14"/>
      <c r="C379" s="9"/>
      <c r="D379" s="9"/>
      <c r="E379" s="9"/>
      <c r="F379" s="10"/>
      <c r="G379" s="10"/>
      <c r="H379" s="11"/>
      <c r="I379" s="12"/>
      <c r="J379" t="str">
        <f>IF(OR(B379="",C379=""),"",B379&amp;"-"&amp;COUNTIFS($B$5:B379,B379,$C$5:C379,"&lt;&gt;"))</f>
        <v/>
      </c>
    </row>
    <row r="380" spans="1:10" ht="21" customHeight="1" x14ac:dyDescent="0.15">
      <c r="A380" s="14"/>
      <c r="B380" s="14"/>
      <c r="C380" s="9"/>
      <c r="D380" s="9"/>
      <c r="E380" s="9"/>
      <c r="F380" s="10"/>
      <c r="G380" s="10"/>
      <c r="H380" s="11"/>
      <c r="I380" s="12"/>
      <c r="J380" t="str">
        <f>IF(OR(B380="",C380=""),"",B380&amp;"-"&amp;COUNTIFS($B$5:B380,B380,$C$5:C380,"&lt;&gt;"))</f>
        <v/>
      </c>
    </row>
    <row r="381" spans="1:10" ht="21" customHeight="1" x14ac:dyDescent="0.15">
      <c r="A381" s="14"/>
      <c r="B381" s="14"/>
      <c r="C381" s="9"/>
      <c r="D381" s="9"/>
      <c r="E381" s="9"/>
      <c r="F381" s="10"/>
      <c r="G381" s="10"/>
      <c r="H381" s="11"/>
      <c r="I381" s="12"/>
      <c r="J381" t="str">
        <f>IF(OR(B381="",C381=""),"",B381&amp;"-"&amp;COUNTIFS($B$5:B381,B381,$C$5:C381,"&lt;&gt;"))</f>
        <v/>
      </c>
    </row>
    <row r="382" spans="1:10" ht="21" customHeight="1" x14ac:dyDescent="0.15">
      <c r="A382" s="14"/>
      <c r="B382" s="14"/>
      <c r="C382" s="9"/>
      <c r="D382" s="9"/>
      <c r="E382" s="9"/>
      <c r="F382" s="10"/>
      <c r="G382" s="10"/>
      <c r="H382" s="11"/>
      <c r="I382" s="12"/>
      <c r="J382" t="str">
        <f>IF(OR(B382="",C382=""),"",B382&amp;"-"&amp;COUNTIFS($B$5:B382,B382,$C$5:C382,"&lt;&gt;"))</f>
        <v/>
      </c>
    </row>
    <row r="383" spans="1:10" ht="21" customHeight="1" x14ac:dyDescent="0.15">
      <c r="A383" s="14"/>
      <c r="B383" s="14"/>
      <c r="C383" s="9"/>
      <c r="D383" s="9"/>
      <c r="E383" s="9"/>
      <c r="F383" s="10"/>
      <c r="G383" s="10"/>
      <c r="H383" s="11"/>
      <c r="I383" s="12"/>
      <c r="J383" t="str">
        <f>IF(OR(B383="",C383=""),"",B383&amp;"-"&amp;COUNTIFS($B$5:B383,B383,$C$5:C383,"&lt;&gt;"))</f>
        <v/>
      </c>
    </row>
    <row r="384" spans="1:10" ht="21" customHeight="1" x14ac:dyDescent="0.15">
      <c r="A384" s="14"/>
      <c r="B384" s="14"/>
      <c r="C384" s="9"/>
      <c r="D384" s="9"/>
      <c r="E384" s="9"/>
      <c r="F384" s="10"/>
      <c r="G384" s="10"/>
      <c r="H384" s="11"/>
      <c r="I384" s="12"/>
      <c r="J384" t="str">
        <f>IF(OR(B384="",C384=""),"",B384&amp;"-"&amp;COUNTIFS($B$5:B384,B384,$C$5:C384,"&lt;&gt;"))</f>
        <v/>
      </c>
    </row>
    <row r="385" spans="1:10" ht="21" customHeight="1" x14ac:dyDescent="0.15">
      <c r="A385" s="14"/>
      <c r="B385" s="14"/>
      <c r="C385" s="9"/>
      <c r="D385" s="9"/>
      <c r="E385" s="9"/>
      <c r="F385" s="10"/>
      <c r="G385" s="10"/>
      <c r="H385" s="11"/>
      <c r="I385" s="12"/>
      <c r="J385" t="str">
        <f>IF(OR(B385="",C385=""),"",B385&amp;"-"&amp;COUNTIFS($B$5:B385,B385,$C$5:C385,"&lt;&gt;"))</f>
        <v/>
      </c>
    </row>
    <row r="386" spans="1:10" ht="21" customHeight="1" x14ac:dyDescent="0.15">
      <c r="A386" s="14"/>
      <c r="B386" s="14"/>
      <c r="C386" s="9"/>
      <c r="D386" s="9"/>
      <c r="E386" s="9"/>
      <c r="F386" s="10"/>
      <c r="G386" s="10"/>
      <c r="H386" s="11"/>
      <c r="I386" s="12"/>
      <c r="J386" t="str">
        <f>IF(OR(B386="",C386=""),"",B386&amp;"-"&amp;COUNTIFS($B$5:B386,B386,$C$5:C386,"&lt;&gt;"))</f>
        <v/>
      </c>
    </row>
    <row r="387" spans="1:10" ht="21" customHeight="1" x14ac:dyDescent="0.15">
      <c r="A387" s="14"/>
      <c r="B387" s="14"/>
      <c r="C387" s="9"/>
      <c r="D387" s="9"/>
      <c r="E387" s="9"/>
      <c r="F387" s="10"/>
      <c r="G387" s="10"/>
      <c r="H387" s="11"/>
      <c r="I387" s="12"/>
      <c r="J387" t="str">
        <f>IF(OR(B387="",C387=""),"",B387&amp;"-"&amp;COUNTIFS($B$5:B387,B387,$C$5:C387,"&lt;&gt;"))</f>
        <v/>
      </c>
    </row>
    <row r="388" spans="1:10" ht="21" customHeight="1" x14ac:dyDescent="0.15">
      <c r="A388" s="14"/>
      <c r="B388" s="14"/>
      <c r="C388" s="9"/>
      <c r="D388" s="9"/>
      <c r="E388" s="9"/>
      <c r="F388" s="10"/>
      <c r="G388" s="10"/>
      <c r="H388" s="11"/>
      <c r="I388" s="12"/>
      <c r="J388" t="str">
        <f>IF(OR(B388="",C388=""),"",B388&amp;"-"&amp;COUNTIFS($B$5:B388,B388,$C$5:C388,"&lt;&gt;"))</f>
        <v/>
      </c>
    </row>
    <row r="389" spans="1:10" ht="21" customHeight="1" x14ac:dyDescent="0.15">
      <c r="A389" s="14"/>
      <c r="B389" s="14"/>
      <c r="C389" s="9"/>
      <c r="D389" s="9"/>
      <c r="E389" s="9"/>
      <c r="F389" s="10"/>
      <c r="G389" s="10"/>
      <c r="H389" s="11"/>
      <c r="I389" s="12"/>
      <c r="J389" t="str">
        <f>IF(OR(B389="",C389=""),"",B389&amp;"-"&amp;COUNTIFS($B$5:B389,B389,$C$5:C389,"&lt;&gt;"))</f>
        <v/>
      </c>
    </row>
    <row r="390" spans="1:10" ht="21" customHeight="1" x14ac:dyDescent="0.15">
      <c r="A390" s="14"/>
      <c r="B390" s="14"/>
      <c r="C390" s="9"/>
      <c r="D390" s="9"/>
      <c r="E390" s="9"/>
      <c r="F390" s="10"/>
      <c r="G390" s="10"/>
      <c r="H390" s="11"/>
      <c r="I390" s="12"/>
      <c r="J390" t="str">
        <f>IF(OR(B390="",C390=""),"",B390&amp;"-"&amp;COUNTIFS($B$5:B390,B390,$C$5:C390,"&lt;&gt;"))</f>
        <v/>
      </c>
    </row>
    <row r="391" spans="1:10" ht="21" customHeight="1" x14ac:dyDescent="0.15">
      <c r="A391" s="14"/>
      <c r="B391" s="14"/>
      <c r="C391" s="9"/>
      <c r="D391" s="9"/>
      <c r="E391" s="9"/>
      <c r="F391" s="10"/>
      <c r="G391" s="10"/>
      <c r="H391" s="11"/>
      <c r="I391" s="12"/>
      <c r="J391" t="str">
        <f>IF(OR(B391="",C391=""),"",B391&amp;"-"&amp;COUNTIFS($B$5:B391,B391,$C$5:C391,"&lt;&gt;"))</f>
        <v/>
      </c>
    </row>
    <row r="392" spans="1:10" ht="21" customHeight="1" x14ac:dyDescent="0.15">
      <c r="A392" s="14"/>
      <c r="B392" s="14"/>
      <c r="C392" s="9"/>
      <c r="D392" s="9"/>
      <c r="E392" s="9"/>
      <c r="F392" s="10"/>
      <c r="G392" s="10"/>
      <c r="H392" s="11"/>
      <c r="I392" s="12"/>
      <c r="J392" t="str">
        <f>IF(OR(B392="",C392=""),"",B392&amp;"-"&amp;COUNTIFS($B$5:B392,B392,$C$5:C392,"&lt;&gt;"))</f>
        <v/>
      </c>
    </row>
    <row r="393" spans="1:10" ht="21" customHeight="1" x14ac:dyDescent="0.15">
      <c r="A393" s="14"/>
      <c r="B393" s="14"/>
      <c r="C393" s="9"/>
      <c r="D393" s="9"/>
      <c r="E393" s="9"/>
      <c r="F393" s="10"/>
      <c r="G393" s="10"/>
      <c r="H393" s="11"/>
      <c r="I393" s="12"/>
      <c r="J393" t="str">
        <f>IF(OR(B393="",C393=""),"",B393&amp;"-"&amp;COUNTIFS($B$5:B393,B393,$C$5:C393,"&lt;&gt;"))</f>
        <v/>
      </c>
    </row>
    <row r="394" spans="1:10" ht="21" customHeight="1" x14ac:dyDescent="0.15">
      <c r="A394" s="14"/>
      <c r="B394" s="14"/>
      <c r="C394" s="9"/>
      <c r="D394" s="9"/>
      <c r="E394" s="9"/>
      <c r="F394" s="10"/>
      <c r="G394" s="10"/>
      <c r="H394" s="11"/>
      <c r="I394" s="12"/>
      <c r="J394" t="str">
        <f>IF(OR(B394="",C394=""),"",B394&amp;"-"&amp;COUNTIFS($B$5:B394,B394,$C$5:C394,"&lt;&gt;"))</f>
        <v/>
      </c>
    </row>
    <row r="395" spans="1:10" ht="21" customHeight="1" x14ac:dyDescent="0.15">
      <c r="A395" s="14"/>
      <c r="B395" s="14"/>
      <c r="C395" s="9"/>
      <c r="D395" s="9"/>
      <c r="E395" s="9"/>
      <c r="F395" s="10"/>
      <c r="G395" s="10"/>
      <c r="H395" s="11"/>
      <c r="I395" s="12"/>
      <c r="J395" t="str">
        <f>IF(OR(B395="",C395=""),"",B395&amp;"-"&amp;COUNTIFS($B$5:B395,B395,$C$5:C395,"&lt;&gt;"))</f>
        <v/>
      </c>
    </row>
    <row r="396" spans="1:10" ht="21" customHeight="1" x14ac:dyDescent="0.15">
      <c r="A396" s="14"/>
      <c r="B396" s="14"/>
      <c r="C396" s="9"/>
      <c r="D396" s="9"/>
      <c r="E396" s="9"/>
      <c r="F396" s="10"/>
      <c r="G396" s="10"/>
      <c r="H396" s="11"/>
      <c r="I396" s="12"/>
      <c r="J396" t="str">
        <f>IF(OR(B396="",C396=""),"",B396&amp;"-"&amp;COUNTIFS($B$5:B396,B396,$C$5:C396,"&lt;&gt;"))</f>
        <v/>
      </c>
    </row>
    <row r="397" spans="1:10" ht="21" customHeight="1" x14ac:dyDescent="0.15">
      <c r="A397" s="14"/>
      <c r="B397" s="14"/>
      <c r="C397" s="9"/>
      <c r="D397" s="9"/>
      <c r="E397" s="9"/>
      <c r="F397" s="10"/>
      <c r="G397" s="10"/>
      <c r="H397" s="11"/>
      <c r="I397" s="12"/>
      <c r="J397" t="str">
        <f>IF(OR(B397="",C397=""),"",B397&amp;"-"&amp;COUNTIFS($B$5:B397,B397,$C$5:C397,"&lt;&gt;"))</f>
        <v/>
      </c>
    </row>
    <row r="398" spans="1:10" ht="21" customHeight="1" x14ac:dyDescent="0.15">
      <c r="A398" s="14"/>
      <c r="B398" s="14"/>
      <c r="C398" s="9"/>
      <c r="D398" s="9"/>
      <c r="E398" s="9"/>
      <c r="F398" s="10"/>
      <c r="G398" s="10"/>
      <c r="H398" s="11"/>
      <c r="I398" s="12"/>
      <c r="J398" t="str">
        <f>IF(OR(B398="",C398=""),"",B398&amp;"-"&amp;COUNTIFS($B$5:B398,B398,$C$5:C398,"&lt;&gt;"))</f>
        <v/>
      </c>
    </row>
    <row r="399" spans="1:10" ht="21" customHeight="1" x14ac:dyDescent="0.15">
      <c r="A399" s="14"/>
      <c r="B399" s="14"/>
      <c r="C399" s="9"/>
      <c r="D399" s="9"/>
      <c r="E399" s="9"/>
      <c r="F399" s="10"/>
      <c r="G399" s="10"/>
      <c r="H399" s="11"/>
      <c r="I399" s="12"/>
      <c r="J399" t="str">
        <f>IF(OR(B399="",C399=""),"",B399&amp;"-"&amp;COUNTIFS($B$5:B399,B399,$C$5:C399,"&lt;&gt;"))</f>
        <v/>
      </c>
    </row>
    <row r="400" spans="1:10" ht="21" customHeight="1" x14ac:dyDescent="0.15">
      <c r="A400" s="14"/>
      <c r="B400" s="14"/>
      <c r="C400" s="9"/>
      <c r="D400" s="9"/>
      <c r="E400" s="9"/>
      <c r="F400" s="10"/>
      <c r="G400" s="10"/>
      <c r="H400" s="11"/>
      <c r="I400" s="12"/>
      <c r="J400" t="str">
        <f>IF(OR(B400="",C400=""),"",B400&amp;"-"&amp;COUNTIFS($B$5:B400,B400,$C$5:C400,"&lt;&gt;"))</f>
        <v/>
      </c>
    </row>
    <row r="401" spans="1:10" ht="21" customHeight="1" x14ac:dyDescent="0.15">
      <c r="A401" s="14"/>
      <c r="B401" s="14"/>
      <c r="C401" s="9"/>
      <c r="D401" s="9"/>
      <c r="E401" s="9"/>
      <c r="F401" s="10"/>
      <c r="G401" s="10"/>
      <c r="H401" s="11"/>
      <c r="I401" s="12"/>
      <c r="J401" t="str">
        <f>IF(OR(B401="",C401=""),"",B401&amp;"-"&amp;COUNTIFS($B$5:B401,B401,$C$5:C401,"&lt;&gt;"))</f>
        <v/>
      </c>
    </row>
    <row r="402" spans="1:10" ht="21" customHeight="1" x14ac:dyDescent="0.15">
      <c r="A402" s="14"/>
      <c r="B402" s="14"/>
      <c r="C402" s="9"/>
      <c r="D402" s="9"/>
      <c r="E402" s="9"/>
      <c r="F402" s="10"/>
      <c r="G402" s="10"/>
      <c r="H402" s="11"/>
      <c r="I402" s="12"/>
      <c r="J402" t="str">
        <f>IF(OR(B402="",C402=""),"",B402&amp;"-"&amp;COUNTIFS($B$5:B402,B402,$C$5:C402,"&lt;&gt;"))</f>
        <v/>
      </c>
    </row>
    <row r="403" spans="1:10" ht="21" customHeight="1" x14ac:dyDescent="0.15">
      <c r="A403" s="14"/>
      <c r="B403" s="14"/>
      <c r="C403" s="9"/>
      <c r="D403" s="9"/>
      <c r="E403" s="9"/>
      <c r="F403" s="10"/>
      <c r="G403" s="10"/>
      <c r="H403" s="11"/>
      <c r="I403" s="12"/>
      <c r="J403" t="str">
        <f>IF(OR(B403="",C403=""),"",B403&amp;"-"&amp;COUNTIFS($B$5:B403,B403,$C$5:C403,"&lt;&gt;"))</f>
        <v/>
      </c>
    </row>
    <row r="404" spans="1:10" ht="21" customHeight="1" x14ac:dyDescent="0.15">
      <c r="A404" s="14"/>
      <c r="B404" s="14"/>
      <c r="C404" s="9"/>
      <c r="D404" s="9"/>
      <c r="E404" s="9"/>
      <c r="F404" s="10"/>
      <c r="G404" s="10"/>
      <c r="H404" s="11"/>
      <c r="I404" s="12"/>
      <c r="J404" t="str">
        <f>IF(OR(B404="",C404=""),"",B404&amp;"-"&amp;COUNTIFS($B$5:B404,B404,$C$5:C404,"&lt;&gt;"))</f>
        <v/>
      </c>
    </row>
    <row r="405" spans="1:10" ht="21" customHeight="1" x14ac:dyDescent="0.15">
      <c r="A405" s="14"/>
      <c r="B405" s="14"/>
      <c r="C405" s="9"/>
      <c r="D405" s="9"/>
      <c r="E405" s="9"/>
      <c r="F405" s="10"/>
      <c r="G405" s="10"/>
      <c r="H405" s="11"/>
      <c r="I405" s="12"/>
      <c r="J405" t="str">
        <f>IF(OR(B405="",C405=""),"",B405&amp;"-"&amp;COUNTIFS($B$5:B405,B405,$C$5:C405,"&lt;&gt;"))</f>
        <v/>
      </c>
    </row>
    <row r="406" spans="1:10" ht="21" customHeight="1" x14ac:dyDescent="0.15">
      <c r="A406" s="14"/>
      <c r="B406" s="14"/>
      <c r="C406" s="9"/>
      <c r="D406" s="9"/>
      <c r="E406" s="9"/>
      <c r="F406" s="10"/>
      <c r="G406" s="10"/>
      <c r="H406" s="11"/>
      <c r="I406" s="12"/>
      <c r="J406" t="str">
        <f>IF(OR(B406="",C406=""),"",B406&amp;"-"&amp;COUNTIFS($B$5:B406,B406,$C$5:C406,"&lt;&gt;"))</f>
        <v/>
      </c>
    </row>
    <row r="407" spans="1:10" ht="21" customHeight="1" x14ac:dyDescent="0.15">
      <c r="A407" s="14"/>
      <c r="B407" s="14"/>
      <c r="C407" s="9"/>
      <c r="D407" s="9"/>
      <c r="E407" s="9"/>
      <c r="F407" s="10"/>
      <c r="G407" s="10"/>
      <c r="H407" s="11"/>
      <c r="I407" s="12"/>
      <c r="J407" t="str">
        <f>IF(OR(B407="",C407=""),"",B407&amp;"-"&amp;COUNTIFS($B$5:B407,B407,$C$5:C407,"&lt;&gt;"))</f>
        <v/>
      </c>
    </row>
    <row r="408" spans="1:10" ht="21" customHeight="1" x14ac:dyDescent="0.15">
      <c r="A408" s="14"/>
      <c r="B408" s="14"/>
      <c r="C408" s="9"/>
      <c r="D408" s="9"/>
      <c r="E408" s="9"/>
      <c r="F408" s="10"/>
      <c r="G408" s="10"/>
      <c r="H408" s="11"/>
      <c r="I408" s="12"/>
      <c r="J408" t="str">
        <f>IF(OR(B408="",C408=""),"",B408&amp;"-"&amp;COUNTIFS($B$5:B408,B408,$C$5:C408,"&lt;&gt;"))</f>
        <v/>
      </c>
    </row>
    <row r="409" spans="1:10" ht="21" customHeight="1" x14ac:dyDescent="0.15">
      <c r="A409" s="14"/>
      <c r="B409" s="14"/>
      <c r="C409" s="9"/>
      <c r="D409" s="9"/>
      <c r="E409" s="9"/>
      <c r="F409" s="10"/>
      <c r="G409" s="10"/>
      <c r="H409" s="11"/>
      <c r="I409" s="12"/>
      <c r="J409" t="str">
        <f>IF(OR(B409="",C409=""),"",B409&amp;"-"&amp;COUNTIFS($B$5:B409,B409,$C$5:C409,"&lt;&gt;"))</f>
        <v/>
      </c>
    </row>
    <row r="410" spans="1:10" ht="21" customHeight="1" x14ac:dyDescent="0.15">
      <c r="A410" s="14"/>
      <c r="B410" s="14"/>
      <c r="C410" s="9"/>
      <c r="D410" s="9"/>
      <c r="E410" s="9"/>
      <c r="F410" s="10"/>
      <c r="G410" s="10"/>
      <c r="H410" s="11"/>
      <c r="I410" s="12"/>
      <c r="J410" t="str">
        <f>IF(OR(B410="",C410=""),"",B410&amp;"-"&amp;COUNTIFS($B$5:B410,B410,$C$5:C410,"&lt;&gt;"))</f>
        <v/>
      </c>
    </row>
    <row r="411" spans="1:10" ht="21" customHeight="1" x14ac:dyDescent="0.15">
      <c r="A411" s="14"/>
      <c r="B411" s="14"/>
      <c r="C411" s="9"/>
      <c r="D411" s="9"/>
      <c r="E411" s="9"/>
      <c r="F411" s="10"/>
      <c r="G411" s="10"/>
      <c r="H411" s="11"/>
      <c r="I411" s="12"/>
      <c r="J411" t="str">
        <f>IF(OR(B411="",C411=""),"",B411&amp;"-"&amp;COUNTIFS($B$5:B411,B411,$C$5:C411,"&lt;&gt;"))</f>
        <v/>
      </c>
    </row>
    <row r="412" spans="1:10" ht="21" customHeight="1" x14ac:dyDescent="0.15">
      <c r="A412" s="14"/>
      <c r="B412" s="14"/>
      <c r="C412" s="9"/>
      <c r="D412" s="9"/>
      <c r="E412" s="9"/>
      <c r="F412" s="10"/>
      <c r="G412" s="10"/>
      <c r="H412" s="11"/>
      <c r="I412" s="12"/>
      <c r="J412" t="str">
        <f>IF(OR(B412="",C412=""),"",B412&amp;"-"&amp;COUNTIFS($B$5:B412,B412,$C$5:C412,"&lt;&gt;"))</f>
        <v/>
      </c>
    </row>
    <row r="413" spans="1:10" ht="21" customHeight="1" x14ac:dyDescent="0.15">
      <c r="A413" s="14"/>
      <c r="B413" s="14"/>
      <c r="C413" s="9"/>
      <c r="D413" s="9"/>
      <c r="E413" s="9"/>
      <c r="F413" s="10"/>
      <c r="G413" s="10"/>
      <c r="H413" s="11"/>
      <c r="I413" s="12"/>
      <c r="J413" t="str">
        <f>IF(OR(B413="",C413=""),"",B413&amp;"-"&amp;COUNTIFS($B$5:B413,B413,$C$5:C413,"&lt;&gt;"))</f>
        <v/>
      </c>
    </row>
    <row r="414" spans="1:10" ht="21" customHeight="1" x14ac:dyDescent="0.15">
      <c r="A414" s="14"/>
      <c r="B414" s="14"/>
      <c r="C414" s="9"/>
      <c r="D414" s="9"/>
      <c r="E414" s="9"/>
      <c r="F414" s="10"/>
      <c r="G414" s="10"/>
      <c r="H414" s="11"/>
      <c r="I414" s="12"/>
      <c r="J414" t="str">
        <f>IF(OR(B414="",C414=""),"",B414&amp;"-"&amp;COUNTIFS($B$5:B414,B414,$C$5:C414,"&lt;&gt;"))</f>
        <v/>
      </c>
    </row>
    <row r="415" spans="1:10" ht="21" customHeight="1" x14ac:dyDescent="0.15">
      <c r="A415" s="14"/>
      <c r="B415" s="14"/>
      <c r="C415" s="9"/>
      <c r="D415" s="9"/>
      <c r="E415" s="9"/>
      <c r="F415" s="10"/>
      <c r="G415" s="10"/>
      <c r="H415" s="11"/>
      <c r="I415" s="12"/>
      <c r="J415" t="str">
        <f>IF(OR(B415="",C415=""),"",B415&amp;"-"&amp;COUNTIFS($B$5:B415,B415,$C$5:C415,"&lt;&gt;"))</f>
        <v/>
      </c>
    </row>
    <row r="416" spans="1:10" ht="21" customHeight="1" x14ac:dyDescent="0.15">
      <c r="A416" s="14"/>
      <c r="B416" s="14"/>
      <c r="C416" s="9"/>
      <c r="D416" s="9"/>
      <c r="E416" s="9"/>
      <c r="F416" s="10"/>
      <c r="G416" s="10"/>
      <c r="H416" s="11"/>
      <c r="I416" s="12"/>
      <c r="J416" t="str">
        <f>IF(OR(B416="",C416=""),"",B416&amp;"-"&amp;COUNTIFS($B$5:B416,B416,$C$5:C416,"&lt;&gt;"))</f>
        <v/>
      </c>
    </row>
    <row r="417" spans="1:10" ht="21" customHeight="1" x14ac:dyDescent="0.15">
      <c r="A417" s="14"/>
      <c r="B417" s="14"/>
      <c r="C417" s="9"/>
      <c r="D417" s="9"/>
      <c r="E417" s="9"/>
      <c r="F417" s="10"/>
      <c r="G417" s="10"/>
      <c r="H417" s="11"/>
      <c r="I417" s="12"/>
      <c r="J417" t="str">
        <f>IF(OR(B417="",C417=""),"",B417&amp;"-"&amp;COUNTIFS($B$5:B417,B417,$C$5:C417,"&lt;&gt;"))</f>
        <v/>
      </c>
    </row>
    <row r="418" spans="1:10" ht="21" customHeight="1" x14ac:dyDescent="0.15">
      <c r="A418" s="14"/>
      <c r="B418" s="14"/>
      <c r="C418" s="9"/>
      <c r="D418" s="9"/>
      <c r="E418" s="9"/>
      <c r="F418" s="10"/>
      <c r="G418" s="10"/>
      <c r="H418" s="11"/>
      <c r="I418" s="12"/>
      <c r="J418" t="str">
        <f>IF(OR(B418="",C418=""),"",B418&amp;"-"&amp;COUNTIFS($B$5:B418,B418,$C$5:C418,"&lt;&gt;"))</f>
        <v/>
      </c>
    </row>
    <row r="419" spans="1:10" ht="21" customHeight="1" x14ac:dyDescent="0.15">
      <c r="A419" s="14"/>
      <c r="B419" s="14"/>
      <c r="C419" s="9"/>
      <c r="D419" s="9"/>
      <c r="E419" s="9"/>
      <c r="F419" s="10"/>
      <c r="G419" s="10"/>
      <c r="H419" s="11"/>
      <c r="I419" s="12"/>
      <c r="J419" t="str">
        <f>IF(OR(B419="",C419=""),"",B419&amp;"-"&amp;COUNTIFS($B$5:B419,B419,$C$5:C419,"&lt;&gt;"))</f>
        <v/>
      </c>
    </row>
    <row r="420" spans="1:10" ht="21" customHeight="1" x14ac:dyDescent="0.15">
      <c r="A420" s="14"/>
      <c r="B420" s="14"/>
      <c r="C420" s="9"/>
      <c r="D420" s="9"/>
      <c r="E420" s="9"/>
      <c r="F420" s="10"/>
      <c r="G420" s="10"/>
      <c r="H420" s="11"/>
      <c r="I420" s="12"/>
      <c r="J420" t="str">
        <f>IF(OR(B420="",C420=""),"",B420&amp;"-"&amp;COUNTIFS($B$5:B420,B420,$C$5:C420,"&lt;&gt;"))</f>
        <v/>
      </c>
    </row>
    <row r="421" spans="1:10" ht="21" customHeight="1" x14ac:dyDescent="0.15">
      <c r="A421" s="14"/>
      <c r="B421" s="14"/>
      <c r="C421" s="9"/>
      <c r="D421" s="9"/>
      <c r="E421" s="9"/>
      <c r="F421" s="10"/>
      <c r="G421" s="10"/>
      <c r="H421" s="11"/>
      <c r="I421" s="12"/>
      <c r="J421" t="str">
        <f>IF(OR(B421="",C421=""),"",B421&amp;"-"&amp;COUNTIFS($B$5:B421,B421,$C$5:C421,"&lt;&gt;"))</f>
        <v/>
      </c>
    </row>
    <row r="422" spans="1:10" ht="21" customHeight="1" x14ac:dyDescent="0.15">
      <c r="A422" s="14"/>
      <c r="B422" s="14"/>
      <c r="C422" s="9"/>
      <c r="D422" s="9"/>
      <c r="E422" s="9"/>
      <c r="F422" s="10"/>
      <c r="G422" s="10"/>
      <c r="H422" s="11"/>
      <c r="I422" s="12"/>
      <c r="J422" t="str">
        <f>IF(OR(B422="",C422=""),"",B422&amp;"-"&amp;COUNTIFS($B$5:B422,B422,$C$5:C422,"&lt;&gt;"))</f>
        <v/>
      </c>
    </row>
    <row r="423" spans="1:10" ht="21" customHeight="1" x14ac:dyDescent="0.15">
      <c r="A423" s="14"/>
      <c r="B423" s="14"/>
      <c r="C423" s="9"/>
      <c r="D423" s="9"/>
      <c r="E423" s="9"/>
      <c r="F423" s="10"/>
      <c r="G423" s="10"/>
      <c r="H423" s="11"/>
      <c r="I423" s="12"/>
      <c r="J423" t="str">
        <f>IF(OR(B423="",C423=""),"",B423&amp;"-"&amp;COUNTIFS($B$5:B423,B423,$C$5:C423,"&lt;&gt;"))</f>
        <v/>
      </c>
    </row>
    <row r="424" spans="1:10" ht="21" customHeight="1" x14ac:dyDescent="0.15">
      <c r="A424" s="14"/>
      <c r="B424" s="14"/>
      <c r="C424" s="9"/>
      <c r="D424" s="9"/>
      <c r="E424" s="9"/>
      <c r="F424" s="10"/>
      <c r="G424" s="10"/>
      <c r="H424" s="11"/>
      <c r="I424" s="12"/>
      <c r="J424" t="str">
        <f>IF(OR(B424="",C424=""),"",B424&amp;"-"&amp;COUNTIFS($B$5:B424,B424,$C$5:C424,"&lt;&gt;"))</f>
        <v/>
      </c>
    </row>
    <row r="425" spans="1:10" ht="21" customHeight="1" x14ac:dyDescent="0.15">
      <c r="A425" s="14"/>
      <c r="B425" s="14"/>
      <c r="C425" s="9"/>
      <c r="D425" s="9"/>
      <c r="E425" s="9"/>
      <c r="F425" s="10"/>
      <c r="G425" s="10"/>
      <c r="H425" s="11"/>
      <c r="I425" s="12"/>
      <c r="J425" t="str">
        <f>IF(OR(B425="",C425=""),"",B425&amp;"-"&amp;COUNTIFS($B$5:B425,B425,$C$5:C425,"&lt;&gt;"))</f>
        <v/>
      </c>
    </row>
    <row r="426" spans="1:10" ht="21" customHeight="1" x14ac:dyDescent="0.15">
      <c r="A426" s="14"/>
      <c r="B426" s="14"/>
      <c r="C426" s="9"/>
      <c r="D426" s="9"/>
      <c r="E426" s="9"/>
      <c r="F426" s="10"/>
      <c r="G426" s="10"/>
      <c r="H426" s="11"/>
      <c r="I426" s="12"/>
      <c r="J426" t="str">
        <f>IF(OR(B426="",C426=""),"",B426&amp;"-"&amp;COUNTIFS($B$5:B426,B426,$C$5:C426,"&lt;&gt;"))</f>
        <v/>
      </c>
    </row>
    <row r="427" spans="1:10" ht="21" customHeight="1" x14ac:dyDescent="0.15">
      <c r="A427" s="14"/>
      <c r="B427" s="14"/>
      <c r="C427" s="9"/>
      <c r="D427" s="9"/>
      <c r="E427" s="9"/>
      <c r="F427" s="10"/>
      <c r="G427" s="10"/>
      <c r="H427" s="11"/>
      <c r="I427" s="12"/>
      <c r="J427" t="str">
        <f>IF(OR(B427="",C427=""),"",B427&amp;"-"&amp;COUNTIFS($B$5:B427,B427,$C$5:C427,"&lt;&gt;"))</f>
        <v/>
      </c>
    </row>
    <row r="428" spans="1:10" ht="21" customHeight="1" x14ac:dyDescent="0.15">
      <c r="A428" s="14"/>
      <c r="B428" s="14"/>
      <c r="C428" s="9"/>
      <c r="D428" s="9"/>
      <c r="E428" s="9"/>
      <c r="F428" s="10"/>
      <c r="G428" s="10"/>
      <c r="H428" s="11"/>
      <c r="I428" s="12"/>
      <c r="J428" t="str">
        <f>IF(OR(B428="",C428=""),"",B428&amp;"-"&amp;COUNTIFS($B$5:B428,B428,$C$5:C428,"&lt;&gt;"))</f>
        <v/>
      </c>
    </row>
    <row r="429" spans="1:10" ht="21" customHeight="1" x14ac:dyDescent="0.15">
      <c r="A429" s="14"/>
      <c r="B429" s="14"/>
      <c r="C429" s="9"/>
      <c r="D429" s="9"/>
      <c r="E429" s="9"/>
      <c r="F429" s="10"/>
      <c r="G429" s="10"/>
      <c r="H429" s="11"/>
      <c r="I429" s="12"/>
      <c r="J429" t="str">
        <f>IF(OR(B429="",C429=""),"",B429&amp;"-"&amp;COUNTIFS($B$5:B429,B429,$C$5:C429,"&lt;&gt;"))</f>
        <v/>
      </c>
    </row>
    <row r="430" spans="1:10" ht="21" customHeight="1" x14ac:dyDescent="0.15">
      <c r="A430" s="14"/>
      <c r="B430" s="14"/>
      <c r="C430" s="9"/>
      <c r="D430" s="9"/>
      <c r="E430" s="9"/>
      <c r="F430" s="10"/>
      <c r="G430" s="10"/>
      <c r="H430" s="11"/>
      <c r="I430" s="12"/>
      <c r="J430" t="str">
        <f>IF(OR(B430="",C430=""),"",B430&amp;"-"&amp;COUNTIFS($B$5:B430,B430,$C$5:C430,"&lt;&gt;"))</f>
        <v/>
      </c>
    </row>
    <row r="431" spans="1:10" ht="21" customHeight="1" x14ac:dyDescent="0.15">
      <c r="A431" s="14"/>
      <c r="B431" s="14"/>
      <c r="C431" s="9"/>
      <c r="D431" s="9"/>
      <c r="E431" s="9"/>
      <c r="F431" s="10"/>
      <c r="G431" s="10"/>
      <c r="H431" s="11"/>
      <c r="I431" s="12"/>
      <c r="J431" t="str">
        <f>IF(OR(B431="",C431=""),"",B431&amp;"-"&amp;COUNTIFS($B$5:B431,B431,$C$5:C431,"&lt;&gt;"))</f>
        <v/>
      </c>
    </row>
    <row r="432" spans="1:10" ht="21" customHeight="1" x14ac:dyDescent="0.15">
      <c r="A432" s="14"/>
      <c r="B432" s="14"/>
      <c r="C432" s="9"/>
      <c r="D432" s="9"/>
      <c r="E432" s="9"/>
      <c r="F432" s="10"/>
      <c r="G432" s="10"/>
      <c r="H432" s="11"/>
      <c r="I432" s="12"/>
      <c r="J432" t="str">
        <f>IF(OR(B432="",C432=""),"",B432&amp;"-"&amp;COUNTIFS($B$5:B432,B432,$C$5:C432,"&lt;&gt;"))</f>
        <v/>
      </c>
    </row>
    <row r="433" spans="1:10" ht="21" customHeight="1" x14ac:dyDescent="0.15">
      <c r="A433" s="14"/>
      <c r="B433" s="14"/>
      <c r="C433" s="9"/>
      <c r="D433" s="9"/>
      <c r="E433" s="9"/>
      <c r="F433" s="10"/>
      <c r="G433" s="10"/>
      <c r="H433" s="11"/>
      <c r="I433" s="12"/>
      <c r="J433" t="str">
        <f>IF(OR(B433="",C433=""),"",B433&amp;"-"&amp;COUNTIFS($B$5:B433,B433,$C$5:C433,"&lt;&gt;"))</f>
        <v/>
      </c>
    </row>
    <row r="434" spans="1:10" ht="21" customHeight="1" x14ac:dyDescent="0.15">
      <c r="A434" s="14"/>
      <c r="B434" s="14"/>
      <c r="C434" s="9"/>
      <c r="D434" s="9"/>
      <c r="E434" s="9"/>
      <c r="F434" s="10"/>
      <c r="G434" s="10"/>
      <c r="H434" s="11"/>
      <c r="I434" s="12"/>
      <c r="J434" t="str">
        <f>IF(OR(B434="",C434=""),"",B434&amp;"-"&amp;COUNTIFS($B$5:B434,B434,$C$5:C434,"&lt;&gt;"))</f>
        <v/>
      </c>
    </row>
    <row r="435" spans="1:10" ht="21" customHeight="1" x14ac:dyDescent="0.15">
      <c r="A435" s="14"/>
      <c r="B435" s="14"/>
      <c r="C435" s="9"/>
      <c r="D435" s="9"/>
      <c r="E435" s="9"/>
      <c r="F435" s="10"/>
      <c r="G435" s="10"/>
      <c r="H435" s="11"/>
      <c r="I435" s="12"/>
      <c r="J435" t="str">
        <f>IF(OR(B435="",C435=""),"",B435&amp;"-"&amp;COUNTIFS($B$5:B435,B435,$C$5:C435,"&lt;&gt;"))</f>
        <v/>
      </c>
    </row>
    <row r="436" spans="1:10" ht="21" customHeight="1" x14ac:dyDescent="0.15">
      <c r="A436" s="14"/>
      <c r="B436" s="14"/>
      <c r="C436" s="9"/>
      <c r="D436" s="9"/>
      <c r="E436" s="9"/>
      <c r="F436" s="10"/>
      <c r="G436" s="10"/>
      <c r="H436" s="11"/>
      <c r="I436" s="12"/>
      <c r="J436" t="str">
        <f>IF(OR(B436="",C436=""),"",B436&amp;"-"&amp;COUNTIFS($B$5:B436,B436,$C$5:C436,"&lt;&gt;"))</f>
        <v/>
      </c>
    </row>
    <row r="437" spans="1:10" ht="21" customHeight="1" x14ac:dyDescent="0.15">
      <c r="A437" s="14"/>
      <c r="B437" s="14"/>
      <c r="C437" s="9"/>
      <c r="D437" s="9"/>
      <c r="E437" s="9"/>
      <c r="F437" s="10"/>
      <c r="G437" s="10"/>
      <c r="H437" s="11"/>
      <c r="I437" s="12"/>
      <c r="J437" t="str">
        <f>IF(OR(B437="",C437=""),"",B437&amp;"-"&amp;COUNTIFS($B$5:B437,B437,$C$5:C437,"&lt;&gt;"))</f>
        <v/>
      </c>
    </row>
    <row r="438" spans="1:10" ht="21" customHeight="1" x14ac:dyDescent="0.15">
      <c r="A438" s="14"/>
      <c r="B438" s="14"/>
      <c r="C438" s="9"/>
      <c r="D438" s="9"/>
      <c r="E438" s="9"/>
      <c r="F438" s="10"/>
      <c r="G438" s="10"/>
      <c r="H438" s="11"/>
      <c r="I438" s="12"/>
      <c r="J438" t="str">
        <f>IF(OR(B438="",C438=""),"",B438&amp;"-"&amp;COUNTIFS($B$5:B438,B438,$C$5:C438,"&lt;&gt;"))</f>
        <v/>
      </c>
    </row>
    <row r="439" spans="1:10" ht="21" customHeight="1" x14ac:dyDescent="0.15">
      <c r="A439" s="14"/>
      <c r="B439" s="14"/>
      <c r="C439" s="9"/>
      <c r="D439" s="9"/>
      <c r="E439" s="9"/>
      <c r="F439" s="10"/>
      <c r="G439" s="10"/>
      <c r="H439" s="11"/>
      <c r="I439" s="12"/>
      <c r="J439" t="str">
        <f>IF(OR(B439="",C439=""),"",B439&amp;"-"&amp;COUNTIFS($B$5:B439,B439,$C$5:C439,"&lt;&gt;"))</f>
        <v/>
      </c>
    </row>
    <row r="440" spans="1:10" ht="21" customHeight="1" x14ac:dyDescent="0.15">
      <c r="A440" s="14"/>
      <c r="B440" s="14"/>
      <c r="C440" s="9"/>
      <c r="D440" s="9"/>
      <c r="E440" s="9"/>
      <c r="F440" s="10"/>
      <c r="G440" s="10"/>
      <c r="H440" s="11"/>
      <c r="I440" s="12"/>
      <c r="J440" t="str">
        <f>IF(OR(B440="",C440=""),"",B440&amp;"-"&amp;COUNTIFS($B$5:B440,B440,$C$5:C440,"&lt;&gt;"))</f>
        <v/>
      </c>
    </row>
    <row r="441" spans="1:10" ht="21" customHeight="1" x14ac:dyDescent="0.15">
      <c r="A441" s="14"/>
      <c r="B441" s="14"/>
      <c r="C441" s="9"/>
      <c r="D441" s="9"/>
      <c r="E441" s="9"/>
      <c r="F441" s="10"/>
      <c r="G441" s="10"/>
      <c r="H441" s="11"/>
      <c r="I441" s="12"/>
      <c r="J441" t="str">
        <f>IF(OR(B441="",C441=""),"",B441&amp;"-"&amp;COUNTIFS($B$5:B441,B441,$C$5:C441,"&lt;&gt;"))</f>
        <v/>
      </c>
    </row>
    <row r="442" spans="1:10" ht="21" customHeight="1" x14ac:dyDescent="0.15">
      <c r="A442" s="14"/>
      <c r="B442" s="14"/>
      <c r="C442" s="9"/>
      <c r="D442" s="9"/>
      <c r="E442" s="9"/>
      <c r="F442" s="10"/>
      <c r="G442" s="10"/>
      <c r="H442" s="11"/>
      <c r="I442" s="12"/>
      <c r="J442" t="str">
        <f>IF(OR(B442="",C442=""),"",B442&amp;"-"&amp;COUNTIFS($B$5:B442,B442,$C$5:C442,"&lt;&gt;"))</f>
        <v/>
      </c>
    </row>
    <row r="443" spans="1:10" ht="21" customHeight="1" x14ac:dyDescent="0.15">
      <c r="A443" s="14"/>
      <c r="B443" s="14"/>
      <c r="C443" s="9"/>
      <c r="D443" s="9"/>
      <c r="E443" s="9"/>
      <c r="F443" s="10"/>
      <c r="G443" s="10"/>
      <c r="H443" s="11"/>
      <c r="I443" s="12"/>
      <c r="J443" t="str">
        <f>IF(OR(B443="",C443=""),"",B443&amp;"-"&amp;COUNTIFS($B$5:B443,B443,$C$5:C443,"&lt;&gt;"))</f>
        <v/>
      </c>
    </row>
    <row r="444" spans="1:10" ht="21" customHeight="1" x14ac:dyDescent="0.15">
      <c r="A444" s="14"/>
      <c r="B444" s="14"/>
      <c r="C444" s="9"/>
      <c r="D444" s="9"/>
      <c r="E444" s="9"/>
      <c r="F444" s="10"/>
      <c r="G444" s="10"/>
      <c r="H444" s="11"/>
      <c r="I444" s="12"/>
      <c r="J444" t="str">
        <f>IF(OR(B444="",C444=""),"",B444&amp;"-"&amp;COUNTIFS($B$5:B444,B444,$C$5:C444,"&lt;&gt;"))</f>
        <v/>
      </c>
    </row>
    <row r="445" spans="1:10" ht="21" customHeight="1" x14ac:dyDescent="0.15">
      <c r="A445" s="14"/>
      <c r="B445" s="14"/>
      <c r="C445" s="9"/>
      <c r="D445" s="9"/>
      <c r="E445" s="9"/>
      <c r="F445" s="10"/>
      <c r="G445" s="10"/>
      <c r="H445" s="11"/>
      <c r="I445" s="12"/>
      <c r="J445" t="str">
        <f>IF(OR(B445="",C445=""),"",B445&amp;"-"&amp;COUNTIFS($B$5:B445,B445,$C$5:C445,"&lt;&gt;"))</f>
        <v/>
      </c>
    </row>
    <row r="446" spans="1:10" ht="21" customHeight="1" x14ac:dyDescent="0.15">
      <c r="A446" s="14"/>
      <c r="B446" s="14"/>
      <c r="C446" s="9"/>
      <c r="D446" s="9"/>
      <c r="E446" s="9"/>
      <c r="F446" s="10"/>
      <c r="G446" s="10"/>
      <c r="H446" s="11"/>
      <c r="I446" s="12"/>
      <c r="J446" t="str">
        <f>IF(OR(B446="",C446=""),"",B446&amp;"-"&amp;COUNTIFS($B$5:B446,B446,$C$5:C446,"&lt;&gt;"))</f>
        <v/>
      </c>
    </row>
    <row r="447" spans="1:10" ht="21" customHeight="1" x14ac:dyDescent="0.15">
      <c r="A447" s="14"/>
      <c r="B447" s="14"/>
      <c r="C447" s="9"/>
      <c r="D447" s="9"/>
      <c r="E447" s="9"/>
      <c r="F447" s="10"/>
      <c r="G447" s="10"/>
      <c r="H447" s="11"/>
      <c r="I447" s="12"/>
      <c r="J447" t="str">
        <f>IF(OR(B447="",C447=""),"",B447&amp;"-"&amp;COUNTIFS($B$5:B447,B447,$C$5:C447,"&lt;&gt;"))</f>
        <v/>
      </c>
    </row>
    <row r="448" spans="1:10" ht="21" customHeight="1" x14ac:dyDescent="0.15">
      <c r="A448" s="14"/>
      <c r="B448" s="14"/>
      <c r="C448" s="9"/>
      <c r="D448" s="9"/>
      <c r="E448" s="9"/>
      <c r="F448" s="10"/>
      <c r="G448" s="10"/>
      <c r="H448" s="11"/>
      <c r="I448" s="12"/>
      <c r="J448" t="str">
        <f>IF(OR(B448="",C448=""),"",B448&amp;"-"&amp;COUNTIFS($B$5:B448,B448,$C$5:C448,"&lt;&gt;"))</f>
        <v/>
      </c>
    </row>
    <row r="449" spans="1:10" ht="21" customHeight="1" x14ac:dyDescent="0.15">
      <c r="A449" s="14"/>
      <c r="B449" s="14"/>
      <c r="C449" s="9"/>
      <c r="D449" s="9"/>
      <c r="E449" s="9"/>
      <c r="F449" s="10"/>
      <c r="G449" s="10"/>
      <c r="H449" s="11"/>
      <c r="I449" s="12"/>
      <c r="J449" t="str">
        <f>IF(OR(B449="",C449=""),"",B449&amp;"-"&amp;COUNTIFS($B$5:B449,B449,$C$5:C449,"&lt;&gt;"))</f>
        <v/>
      </c>
    </row>
    <row r="450" spans="1:10" ht="21" customHeight="1" x14ac:dyDescent="0.15">
      <c r="A450" s="14"/>
      <c r="B450" s="14"/>
      <c r="C450" s="9"/>
      <c r="D450" s="9"/>
      <c r="E450" s="9"/>
      <c r="F450" s="10"/>
      <c r="G450" s="10"/>
      <c r="H450" s="11"/>
      <c r="I450" s="12"/>
      <c r="J450" t="str">
        <f>IF(OR(B450="",C450=""),"",B450&amp;"-"&amp;COUNTIFS($B$5:B450,B450,$C$5:C450,"&lt;&gt;"))</f>
        <v/>
      </c>
    </row>
    <row r="451" spans="1:10" ht="21" customHeight="1" x14ac:dyDescent="0.15">
      <c r="A451" s="14"/>
      <c r="B451" s="14"/>
      <c r="C451" s="9"/>
      <c r="D451" s="9"/>
      <c r="E451" s="9"/>
      <c r="F451" s="10"/>
      <c r="G451" s="10"/>
      <c r="H451" s="11"/>
      <c r="I451" s="12"/>
      <c r="J451" t="str">
        <f>IF(OR(B451="",C451=""),"",B451&amp;"-"&amp;COUNTIFS($B$5:B451,B451,$C$5:C451,"&lt;&gt;"))</f>
        <v/>
      </c>
    </row>
    <row r="452" spans="1:10" ht="21" customHeight="1" x14ac:dyDescent="0.15">
      <c r="A452" s="14"/>
      <c r="B452" s="14"/>
      <c r="C452" s="9"/>
      <c r="D452" s="9"/>
      <c r="E452" s="9"/>
      <c r="F452" s="10"/>
      <c r="G452" s="10"/>
      <c r="H452" s="11"/>
      <c r="I452" s="12"/>
      <c r="J452" t="str">
        <f>IF(OR(B452="",C452=""),"",B452&amp;"-"&amp;COUNTIFS($B$5:B452,B452,$C$5:C452,"&lt;&gt;"))</f>
        <v/>
      </c>
    </row>
    <row r="453" spans="1:10" ht="21" customHeight="1" x14ac:dyDescent="0.15">
      <c r="A453" s="14"/>
      <c r="B453" s="14"/>
      <c r="C453" s="9"/>
      <c r="D453" s="9"/>
      <c r="E453" s="9"/>
      <c r="F453" s="10"/>
      <c r="G453" s="10"/>
      <c r="H453" s="11"/>
      <c r="I453" s="12"/>
      <c r="J453" t="str">
        <f>IF(OR(B453="",C453=""),"",B453&amp;"-"&amp;COUNTIFS($B$5:B453,B453,$C$5:C453,"&lt;&gt;"))</f>
        <v/>
      </c>
    </row>
    <row r="454" spans="1:10" ht="21" customHeight="1" x14ac:dyDescent="0.15">
      <c r="A454" s="14"/>
      <c r="B454" s="14"/>
      <c r="C454" s="9"/>
      <c r="D454" s="9"/>
      <c r="E454" s="9"/>
      <c r="F454" s="10"/>
      <c r="G454" s="10"/>
      <c r="H454" s="11"/>
      <c r="I454" s="12"/>
      <c r="J454" t="str">
        <f>IF(OR(B454="",C454=""),"",B454&amp;"-"&amp;COUNTIFS($B$5:B454,B454,$C$5:C454,"&lt;&gt;"))</f>
        <v/>
      </c>
    </row>
    <row r="455" spans="1:10" ht="21" customHeight="1" x14ac:dyDescent="0.15">
      <c r="A455" s="14"/>
      <c r="B455" s="14"/>
      <c r="C455" s="9"/>
      <c r="D455" s="9"/>
      <c r="E455" s="9"/>
      <c r="F455" s="10"/>
      <c r="G455" s="10"/>
      <c r="H455" s="11"/>
      <c r="I455" s="12"/>
      <c r="J455" t="str">
        <f>IF(OR(B455="",C455=""),"",B455&amp;"-"&amp;COUNTIFS($B$5:B455,B455,$C$5:C455,"&lt;&gt;"))</f>
        <v/>
      </c>
    </row>
    <row r="456" spans="1:10" ht="21" customHeight="1" x14ac:dyDescent="0.15">
      <c r="A456" s="14"/>
      <c r="B456" s="14"/>
      <c r="C456" s="9"/>
      <c r="D456" s="9"/>
      <c r="E456" s="9"/>
      <c r="F456" s="10"/>
      <c r="G456" s="10"/>
      <c r="H456" s="11"/>
      <c r="I456" s="12"/>
      <c r="J456" t="str">
        <f>IF(OR(B456="",C456=""),"",B456&amp;"-"&amp;COUNTIFS($B$5:B456,B456,$C$5:C456,"&lt;&gt;"))</f>
        <v/>
      </c>
    </row>
    <row r="457" spans="1:10" ht="21" customHeight="1" x14ac:dyDescent="0.15">
      <c r="A457" s="14"/>
      <c r="B457" s="14"/>
      <c r="C457" s="9"/>
      <c r="D457" s="9"/>
      <c r="E457" s="9"/>
      <c r="F457" s="10"/>
      <c r="G457" s="10"/>
      <c r="H457" s="11"/>
      <c r="I457" s="12"/>
      <c r="J457" t="str">
        <f>IF(OR(B457="",C457=""),"",B457&amp;"-"&amp;COUNTIFS($B$5:B457,B457,$C$5:C457,"&lt;&gt;"))</f>
        <v/>
      </c>
    </row>
    <row r="458" spans="1:10" ht="21" customHeight="1" x14ac:dyDescent="0.15">
      <c r="A458" s="14"/>
      <c r="B458" s="14"/>
      <c r="C458" s="9"/>
      <c r="D458" s="9"/>
      <c r="E458" s="9"/>
      <c r="F458" s="10"/>
      <c r="G458" s="10"/>
      <c r="H458" s="11"/>
      <c r="I458" s="12"/>
      <c r="J458" t="str">
        <f>IF(OR(B458="",C458=""),"",B458&amp;"-"&amp;COUNTIFS($B$5:B458,B458,$C$5:C458,"&lt;&gt;"))</f>
        <v/>
      </c>
    </row>
    <row r="459" spans="1:10" ht="21" customHeight="1" x14ac:dyDescent="0.15">
      <c r="A459" s="14"/>
      <c r="B459" s="14"/>
      <c r="C459" s="9"/>
      <c r="D459" s="9"/>
      <c r="E459" s="9"/>
      <c r="F459" s="10"/>
      <c r="G459" s="10"/>
      <c r="H459" s="11"/>
      <c r="I459" s="12"/>
      <c r="J459" t="str">
        <f>IF(OR(B459="",C459=""),"",B459&amp;"-"&amp;COUNTIFS($B$5:B459,B459,$C$5:C459,"&lt;&gt;"))</f>
        <v/>
      </c>
    </row>
    <row r="460" spans="1:10" ht="21" customHeight="1" x14ac:dyDescent="0.15">
      <c r="A460" s="14"/>
      <c r="B460" s="14"/>
      <c r="C460" s="9"/>
      <c r="D460" s="9"/>
      <c r="E460" s="9"/>
      <c r="F460" s="10"/>
      <c r="G460" s="10"/>
      <c r="H460" s="11"/>
      <c r="I460" s="12"/>
      <c r="J460" t="str">
        <f>IF(OR(B460="",C460=""),"",B460&amp;"-"&amp;COUNTIFS($B$5:B460,B460,$C$5:C460,"&lt;&gt;"))</f>
        <v/>
      </c>
    </row>
    <row r="461" spans="1:10" ht="21" customHeight="1" x14ac:dyDescent="0.15">
      <c r="A461" s="14"/>
      <c r="B461" s="14"/>
      <c r="C461" s="9"/>
      <c r="D461" s="9"/>
      <c r="E461" s="9"/>
      <c r="F461" s="10"/>
      <c r="G461" s="10"/>
      <c r="H461" s="11"/>
      <c r="I461" s="12"/>
      <c r="J461" t="str">
        <f>IF(OR(B461="",C461=""),"",B461&amp;"-"&amp;COUNTIFS($B$5:B461,B461,$C$5:C461,"&lt;&gt;"))</f>
        <v/>
      </c>
    </row>
    <row r="462" spans="1:10" ht="21" customHeight="1" x14ac:dyDescent="0.15">
      <c r="A462" s="14"/>
      <c r="B462" s="14"/>
      <c r="C462" s="9"/>
      <c r="D462" s="9"/>
      <c r="E462" s="9"/>
      <c r="F462" s="10"/>
      <c r="G462" s="10"/>
      <c r="H462" s="11"/>
      <c r="I462" s="12"/>
      <c r="J462" t="str">
        <f>IF(OR(B462="",C462=""),"",B462&amp;"-"&amp;COUNTIFS($B$5:B462,B462,$C$5:C462,"&lt;&gt;"))</f>
        <v/>
      </c>
    </row>
    <row r="463" spans="1:10" ht="21" customHeight="1" x14ac:dyDescent="0.15">
      <c r="A463" s="14"/>
      <c r="B463" s="14"/>
      <c r="C463" s="9"/>
      <c r="D463" s="9"/>
      <c r="E463" s="9"/>
      <c r="F463" s="10"/>
      <c r="G463" s="10"/>
      <c r="H463" s="11"/>
      <c r="I463" s="12"/>
      <c r="J463" t="str">
        <f>IF(OR(B463="",C463=""),"",B463&amp;"-"&amp;COUNTIFS($B$5:B463,B463,$C$5:C463,"&lt;&gt;"))</f>
        <v/>
      </c>
    </row>
    <row r="464" spans="1:10" ht="21" customHeight="1" x14ac:dyDescent="0.15">
      <c r="A464" s="14"/>
      <c r="B464" s="14"/>
      <c r="C464" s="9"/>
      <c r="D464" s="9"/>
      <c r="E464" s="9"/>
      <c r="F464" s="10"/>
      <c r="G464" s="10"/>
      <c r="H464" s="11"/>
      <c r="I464" s="12"/>
      <c r="J464" t="str">
        <f>IF(OR(B464="",C464=""),"",B464&amp;"-"&amp;COUNTIFS($B$5:B464,B464,$C$5:C464,"&lt;&gt;"))</f>
        <v/>
      </c>
    </row>
    <row r="465" spans="1:10" ht="21" customHeight="1" x14ac:dyDescent="0.15">
      <c r="A465" s="14"/>
      <c r="B465" s="14"/>
      <c r="C465" s="9"/>
      <c r="D465" s="9"/>
      <c r="E465" s="9"/>
      <c r="F465" s="10"/>
      <c r="G465" s="10"/>
      <c r="H465" s="11"/>
      <c r="I465" s="12"/>
      <c r="J465" t="str">
        <f>IF(OR(B465="",C465=""),"",B465&amp;"-"&amp;COUNTIFS($B$5:B465,B465,$C$5:C465,"&lt;&gt;"))</f>
        <v/>
      </c>
    </row>
    <row r="466" spans="1:10" ht="21" customHeight="1" x14ac:dyDescent="0.15">
      <c r="A466" s="14"/>
      <c r="B466" s="14"/>
      <c r="C466" s="9"/>
      <c r="D466" s="9"/>
      <c r="E466" s="9"/>
      <c r="F466" s="10"/>
      <c r="G466" s="10"/>
      <c r="H466" s="11"/>
      <c r="I466" s="12"/>
      <c r="J466" t="str">
        <f>IF(OR(B466="",C466=""),"",B466&amp;"-"&amp;COUNTIFS($B$5:B466,B466,$C$5:C466,"&lt;&gt;"))</f>
        <v/>
      </c>
    </row>
    <row r="467" spans="1:10" ht="21" customHeight="1" x14ac:dyDescent="0.15">
      <c r="A467" s="14"/>
      <c r="B467" s="14"/>
      <c r="C467" s="9"/>
      <c r="D467" s="9"/>
      <c r="E467" s="9"/>
      <c r="F467" s="10"/>
      <c r="G467" s="10"/>
      <c r="H467" s="11"/>
      <c r="I467" s="12"/>
      <c r="J467" t="str">
        <f>IF(OR(B467="",C467=""),"",B467&amp;"-"&amp;COUNTIFS($B$5:B467,B467,$C$5:C467,"&lt;&gt;"))</f>
        <v/>
      </c>
    </row>
    <row r="468" spans="1:10" ht="21" customHeight="1" x14ac:dyDescent="0.15">
      <c r="A468" s="14"/>
      <c r="B468" s="14"/>
      <c r="C468" s="9"/>
      <c r="D468" s="9"/>
      <c r="E468" s="9"/>
      <c r="F468" s="10"/>
      <c r="G468" s="10"/>
      <c r="H468" s="11"/>
      <c r="I468" s="12"/>
      <c r="J468" t="str">
        <f>IF(OR(B468="",C468=""),"",B468&amp;"-"&amp;COUNTIFS($B$5:B468,B468,$C$5:C468,"&lt;&gt;"))</f>
        <v/>
      </c>
    </row>
    <row r="469" spans="1:10" ht="21" customHeight="1" x14ac:dyDescent="0.15">
      <c r="A469" s="14"/>
      <c r="B469" s="14"/>
      <c r="C469" s="9"/>
      <c r="D469" s="9"/>
      <c r="E469" s="9"/>
      <c r="F469" s="10"/>
      <c r="G469" s="10"/>
      <c r="H469" s="11"/>
      <c r="I469" s="12"/>
      <c r="J469" t="str">
        <f>IF(OR(B469="",C469=""),"",B469&amp;"-"&amp;COUNTIFS($B$5:B469,B469,$C$5:C469,"&lt;&gt;"))</f>
        <v/>
      </c>
    </row>
    <row r="470" spans="1:10" ht="21" customHeight="1" x14ac:dyDescent="0.15">
      <c r="A470" s="14"/>
      <c r="B470" s="14"/>
      <c r="C470" s="9"/>
      <c r="D470" s="9"/>
      <c r="E470" s="9"/>
      <c r="F470" s="10"/>
      <c r="G470" s="10"/>
      <c r="H470" s="11"/>
      <c r="I470" s="12"/>
      <c r="J470" t="str">
        <f>IF(OR(B470="",C470=""),"",B470&amp;"-"&amp;COUNTIFS($B$5:B470,B470,$C$5:C470,"&lt;&gt;"))</f>
        <v/>
      </c>
    </row>
    <row r="471" spans="1:10" ht="21" customHeight="1" x14ac:dyDescent="0.15">
      <c r="A471" s="14"/>
      <c r="B471" s="14"/>
      <c r="C471" s="9"/>
      <c r="D471" s="9"/>
      <c r="E471" s="9"/>
      <c r="F471" s="10"/>
      <c r="G471" s="10"/>
      <c r="H471" s="11"/>
      <c r="I471" s="12"/>
      <c r="J471" t="str">
        <f>IF(OR(B471="",C471=""),"",B471&amp;"-"&amp;COUNTIFS($B$5:B471,B471,$C$5:C471,"&lt;&gt;"))</f>
        <v/>
      </c>
    </row>
    <row r="472" spans="1:10" ht="21" customHeight="1" x14ac:dyDescent="0.15">
      <c r="A472" s="14"/>
      <c r="B472" s="14"/>
      <c r="C472" s="9"/>
      <c r="D472" s="9"/>
      <c r="E472" s="9"/>
      <c r="F472" s="10"/>
      <c r="G472" s="10"/>
      <c r="H472" s="11"/>
      <c r="I472" s="12"/>
      <c r="J472" t="str">
        <f>IF(OR(B472="",C472=""),"",B472&amp;"-"&amp;COUNTIFS($B$5:B472,B472,$C$5:C472,"&lt;&gt;"))</f>
        <v/>
      </c>
    </row>
    <row r="473" spans="1:10" ht="21" customHeight="1" x14ac:dyDescent="0.15">
      <c r="A473" s="14"/>
      <c r="B473" s="14"/>
      <c r="C473" s="9"/>
      <c r="D473" s="9"/>
      <c r="E473" s="9"/>
      <c r="F473" s="10"/>
      <c r="G473" s="10"/>
      <c r="H473" s="11"/>
      <c r="I473" s="12"/>
      <c r="J473" t="str">
        <f>IF(OR(B473="",C473=""),"",B473&amp;"-"&amp;COUNTIFS($B$5:B473,B473,$C$5:C473,"&lt;&gt;"))</f>
        <v/>
      </c>
    </row>
    <row r="474" spans="1:10" ht="21" customHeight="1" x14ac:dyDescent="0.15">
      <c r="A474" s="14"/>
      <c r="B474" s="14"/>
      <c r="C474" s="9"/>
      <c r="D474" s="9"/>
      <c r="E474" s="9"/>
      <c r="F474" s="10"/>
      <c r="G474" s="10"/>
      <c r="H474" s="11"/>
      <c r="I474" s="12"/>
      <c r="J474" t="str">
        <f>IF(OR(B474="",C474=""),"",B474&amp;"-"&amp;COUNTIFS($B$5:B474,B474,$C$5:C474,"&lt;&gt;"))</f>
        <v/>
      </c>
    </row>
    <row r="475" spans="1:10" ht="21" customHeight="1" x14ac:dyDescent="0.15">
      <c r="A475" s="14"/>
      <c r="B475" s="14"/>
      <c r="C475" s="9"/>
      <c r="D475" s="9"/>
      <c r="E475" s="9"/>
      <c r="F475" s="10"/>
      <c r="G475" s="10"/>
      <c r="H475" s="11"/>
      <c r="I475" s="12"/>
      <c r="J475" t="str">
        <f>IF(OR(B475="",C475=""),"",B475&amp;"-"&amp;COUNTIFS($B$5:B475,B475,$C$5:C475,"&lt;&gt;"))</f>
        <v/>
      </c>
    </row>
    <row r="476" spans="1:10" ht="21" customHeight="1" x14ac:dyDescent="0.15">
      <c r="A476" s="14"/>
      <c r="B476" s="14"/>
      <c r="C476" s="9"/>
      <c r="D476" s="9"/>
      <c r="E476" s="9"/>
      <c r="F476" s="10"/>
      <c r="G476" s="10"/>
      <c r="H476" s="11"/>
      <c r="I476" s="12"/>
      <c r="J476" t="str">
        <f>IF(OR(B476="",C476=""),"",B476&amp;"-"&amp;COUNTIFS($B$5:B476,B476,$C$5:C476,"&lt;&gt;"))</f>
        <v/>
      </c>
    </row>
    <row r="477" spans="1:10" ht="21" customHeight="1" x14ac:dyDescent="0.15">
      <c r="A477" s="14"/>
      <c r="B477" s="14"/>
      <c r="C477" s="9"/>
      <c r="D477" s="9"/>
      <c r="E477" s="9"/>
      <c r="F477" s="10"/>
      <c r="G477" s="10"/>
      <c r="H477" s="11"/>
      <c r="I477" s="12"/>
      <c r="J477" t="str">
        <f>IF(OR(B477="",C477=""),"",B477&amp;"-"&amp;COUNTIFS($B$5:B477,B477,$C$5:C477,"&lt;&gt;"))</f>
        <v/>
      </c>
    </row>
    <row r="478" spans="1:10" ht="21" customHeight="1" x14ac:dyDescent="0.15">
      <c r="A478" s="14"/>
      <c r="B478" s="14"/>
      <c r="C478" s="9"/>
      <c r="D478" s="9"/>
      <c r="E478" s="9"/>
      <c r="F478" s="10"/>
      <c r="G478" s="10"/>
      <c r="H478" s="11"/>
      <c r="I478" s="12"/>
      <c r="J478" t="str">
        <f>IF(OR(B478="",C478=""),"",B478&amp;"-"&amp;COUNTIFS($B$5:B478,B478,$C$5:C478,"&lt;&gt;"))</f>
        <v/>
      </c>
    </row>
    <row r="479" spans="1:10" ht="21" customHeight="1" x14ac:dyDescent="0.15">
      <c r="A479" s="14"/>
      <c r="B479" s="14"/>
      <c r="C479" s="9"/>
      <c r="D479" s="9"/>
      <c r="E479" s="9"/>
      <c r="F479" s="10"/>
      <c r="G479" s="10"/>
      <c r="H479" s="11"/>
      <c r="I479" s="12"/>
      <c r="J479" t="str">
        <f>IF(OR(B479="",C479=""),"",B479&amp;"-"&amp;COUNTIFS($B$5:B479,B479,$C$5:C479,"&lt;&gt;"))</f>
        <v/>
      </c>
    </row>
    <row r="480" spans="1:10" ht="21" customHeight="1" x14ac:dyDescent="0.15">
      <c r="A480" s="14"/>
      <c r="B480" s="14"/>
      <c r="C480" s="9"/>
      <c r="D480" s="9"/>
      <c r="E480" s="9"/>
      <c r="F480" s="10"/>
      <c r="G480" s="10"/>
      <c r="H480" s="11"/>
      <c r="I480" s="12"/>
      <c r="J480" t="str">
        <f>IF(OR(B480="",C480=""),"",B480&amp;"-"&amp;COUNTIFS($B$5:B480,B480,$C$5:C480,"&lt;&gt;"))</f>
        <v/>
      </c>
    </row>
    <row r="481" spans="1:10" ht="21" customHeight="1" x14ac:dyDescent="0.15">
      <c r="A481" s="14"/>
      <c r="B481" s="14"/>
      <c r="C481" s="9"/>
      <c r="D481" s="9"/>
      <c r="E481" s="9"/>
      <c r="F481" s="10"/>
      <c r="G481" s="10"/>
      <c r="H481" s="11"/>
      <c r="I481" s="12"/>
      <c r="J481" t="str">
        <f>IF(OR(B481="",C481=""),"",B481&amp;"-"&amp;COUNTIFS($B$5:B481,B481,$C$5:C481,"&lt;&gt;"))</f>
        <v/>
      </c>
    </row>
    <row r="482" spans="1:10" ht="21" customHeight="1" x14ac:dyDescent="0.15">
      <c r="A482" s="14"/>
      <c r="B482" s="14"/>
      <c r="C482" s="9"/>
      <c r="D482" s="9"/>
      <c r="E482" s="9"/>
      <c r="F482" s="10"/>
      <c r="G482" s="10"/>
      <c r="H482" s="11"/>
      <c r="I482" s="12"/>
      <c r="J482" t="str">
        <f>IF(OR(B482="",C482=""),"",B482&amp;"-"&amp;COUNTIFS($B$5:B482,B482,$C$5:C482,"&lt;&gt;"))</f>
        <v/>
      </c>
    </row>
    <row r="483" spans="1:10" ht="21" customHeight="1" x14ac:dyDescent="0.15">
      <c r="A483" s="14"/>
      <c r="B483" s="14"/>
      <c r="C483" s="9"/>
      <c r="D483" s="9"/>
      <c r="E483" s="9"/>
      <c r="F483" s="10"/>
      <c r="G483" s="10"/>
      <c r="H483" s="11"/>
      <c r="I483" s="12"/>
      <c r="J483" t="str">
        <f>IF(OR(B483="",C483=""),"",B483&amp;"-"&amp;COUNTIFS($B$5:B483,B483,$C$5:C483,"&lt;&gt;"))</f>
        <v/>
      </c>
    </row>
    <row r="484" spans="1:10" ht="21" customHeight="1" x14ac:dyDescent="0.15">
      <c r="A484" s="14"/>
      <c r="B484" s="14"/>
      <c r="C484" s="9"/>
      <c r="D484" s="9"/>
      <c r="E484" s="9"/>
      <c r="F484" s="10"/>
      <c r="G484" s="10"/>
      <c r="H484" s="11"/>
      <c r="I484" s="12"/>
      <c r="J484" t="str">
        <f>IF(OR(B484="",C484=""),"",B484&amp;"-"&amp;COUNTIFS($B$5:B484,B484,$C$5:C484,"&lt;&gt;"))</f>
        <v/>
      </c>
    </row>
    <row r="485" spans="1:10" ht="21" customHeight="1" x14ac:dyDescent="0.15">
      <c r="A485" s="14"/>
      <c r="B485" s="14"/>
      <c r="C485" s="9"/>
      <c r="D485" s="9"/>
      <c r="E485" s="9"/>
      <c r="F485" s="10"/>
      <c r="G485" s="10"/>
      <c r="H485" s="11"/>
      <c r="I485" s="12"/>
      <c r="J485" t="str">
        <f>IF(OR(B485="",C485=""),"",B485&amp;"-"&amp;COUNTIFS($B$5:B485,B485,$C$5:C485,"&lt;&gt;"))</f>
        <v/>
      </c>
    </row>
    <row r="486" spans="1:10" ht="21" customHeight="1" x14ac:dyDescent="0.15">
      <c r="A486" s="14"/>
      <c r="B486" s="14"/>
      <c r="C486" s="9"/>
      <c r="D486" s="9"/>
      <c r="E486" s="9"/>
      <c r="F486" s="10"/>
      <c r="G486" s="10"/>
      <c r="H486" s="11"/>
      <c r="I486" s="12"/>
      <c r="J486" t="str">
        <f>IF(OR(B486="",C486=""),"",B486&amp;"-"&amp;COUNTIFS($B$5:B486,B486,$C$5:C486,"&lt;&gt;"))</f>
        <v/>
      </c>
    </row>
    <row r="487" spans="1:10" ht="21" customHeight="1" x14ac:dyDescent="0.15">
      <c r="A487" s="14"/>
      <c r="B487" s="14"/>
      <c r="C487" s="9"/>
      <c r="D487" s="9"/>
      <c r="E487" s="9"/>
      <c r="F487" s="10"/>
      <c r="G487" s="10"/>
      <c r="H487" s="11"/>
      <c r="I487" s="12"/>
      <c r="J487" t="str">
        <f>IF(OR(B487="",C487=""),"",B487&amp;"-"&amp;COUNTIFS($B$5:B487,B487,$C$5:C487,"&lt;&gt;"))</f>
        <v/>
      </c>
    </row>
    <row r="488" spans="1:10" ht="21" customHeight="1" x14ac:dyDescent="0.15">
      <c r="A488" s="14"/>
      <c r="B488" s="14"/>
      <c r="C488" s="9"/>
      <c r="D488" s="9"/>
      <c r="E488" s="9"/>
      <c r="F488" s="10"/>
      <c r="G488" s="10"/>
      <c r="H488" s="11"/>
      <c r="I488" s="12"/>
      <c r="J488" t="str">
        <f>IF(OR(B488="",C488=""),"",B488&amp;"-"&amp;COUNTIFS($B$5:B488,B488,$C$5:C488,"&lt;&gt;"))</f>
        <v/>
      </c>
    </row>
    <row r="489" spans="1:10" ht="21" customHeight="1" x14ac:dyDescent="0.15">
      <c r="A489" s="14"/>
      <c r="B489" s="14"/>
      <c r="C489" s="9"/>
      <c r="D489" s="9"/>
      <c r="E489" s="9"/>
      <c r="F489" s="10"/>
      <c r="G489" s="10"/>
      <c r="H489" s="11"/>
      <c r="I489" s="12"/>
      <c r="J489" t="str">
        <f>IF(OR(B489="",C489=""),"",B489&amp;"-"&amp;COUNTIFS($B$5:B489,B489,$C$5:C489,"&lt;&gt;"))</f>
        <v/>
      </c>
    </row>
    <row r="490" spans="1:10" ht="21" customHeight="1" x14ac:dyDescent="0.15">
      <c r="A490" s="14"/>
      <c r="B490" s="14"/>
      <c r="C490" s="9"/>
      <c r="D490" s="9"/>
      <c r="E490" s="9"/>
      <c r="F490" s="10"/>
      <c r="G490" s="10"/>
      <c r="H490" s="11"/>
      <c r="I490" s="12"/>
      <c r="J490" t="str">
        <f>IF(OR(B490="",C490=""),"",B490&amp;"-"&amp;COUNTIFS($B$5:B490,B490,$C$5:C490,"&lt;&gt;"))</f>
        <v/>
      </c>
    </row>
    <row r="491" spans="1:10" ht="21" customHeight="1" x14ac:dyDescent="0.15">
      <c r="A491" s="14"/>
      <c r="B491" s="14"/>
      <c r="C491" s="9"/>
      <c r="D491" s="9"/>
      <c r="E491" s="9"/>
      <c r="F491" s="10"/>
      <c r="G491" s="10"/>
      <c r="H491" s="11"/>
      <c r="I491" s="12"/>
      <c r="J491" t="str">
        <f>IF(OR(B491="",C491=""),"",B491&amp;"-"&amp;COUNTIFS($B$5:B491,B491,$C$5:C491,"&lt;&gt;"))</f>
        <v/>
      </c>
    </row>
    <row r="492" spans="1:10" ht="21" customHeight="1" x14ac:dyDescent="0.15">
      <c r="A492" s="14"/>
      <c r="B492" s="14"/>
      <c r="C492" s="9"/>
      <c r="D492" s="9"/>
      <c r="E492" s="9"/>
      <c r="F492" s="10"/>
      <c r="G492" s="10"/>
      <c r="H492" s="11"/>
      <c r="I492" s="12"/>
      <c r="J492" t="str">
        <f>IF(OR(B492="",C492=""),"",B492&amp;"-"&amp;COUNTIFS($B$5:B492,B492,$C$5:C492,"&lt;&gt;"))</f>
        <v/>
      </c>
    </row>
    <row r="493" spans="1:10" ht="21" customHeight="1" x14ac:dyDescent="0.15">
      <c r="A493" s="14"/>
      <c r="B493" s="14"/>
      <c r="C493" s="9"/>
      <c r="D493" s="9"/>
      <c r="E493" s="9"/>
      <c r="F493" s="10"/>
      <c r="G493" s="10"/>
      <c r="H493" s="11"/>
      <c r="I493" s="12"/>
      <c r="J493" t="str">
        <f>IF(OR(B493="",C493=""),"",B493&amp;"-"&amp;COUNTIFS($B$5:B493,B493,$C$5:C493,"&lt;&gt;"))</f>
        <v/>
      </c>
    </row>
    <row r="494" spans="1:10" ht="21" customHeight="1" x14ac:dyDescent="0.15">
      <c r="A494" s="14"/>
      <c r="B494" s="14"/>
      <c r="C494" s="9"/>
      <c r="D494" s="9"/>
      <c r="E494" s="9"/>
      <c r="F494" s="10"/>
      <c r="G494" s="10"/>
      <c r="H494" s="11"/>
      <c r="I494" s="12"/>
      <c r="J494" t="str">
        <f>IF(OR(B494="",C494=""),"",B494&amp;"-"&amp;COUNTIFS($B$5:B494,B494,$C$5:C494,"&lt;&gt;"))</f>
        <v/>
      </c>
    </row>
    <row r="495" spans="1:10" ht="21" customHeight="1" x14ac:dyDescent="0.15">
      <c r="A495" s="14"/>
      <c r="B495" s="14"/>
      <c r="C495" s="9"/>
      <c r="D495" s="9"/>
      <c r="E495" s="9"/>
      <c r="F495" s="10"/>
      <c r="G495" s="10"/>
      <c r="H495" s="11"/>
      <c r="I495" s="12"/>
      <c r="J495" t="str">
        <f>IF(OR(B495="",C495=""),"",B495&amp;"-"&amp;COUNTIFS($B$5:B495,B495,$C$5:C495,"&lt;&gt;"))</f>
        <v/>
      </c>
    </row>
    <row r="496" spans="1:10" ht="21" customHeight="1" x14ac:dyDescent="0.15">
      <c r="A496" s="14"/>
      <c r="B496" s="14"/>
      <c r="C496" s="9"/>
      <c r="D496" s="9"/>
      <c r="E496" s="9"/>
      <c r="F496" s="10"/>
      <c r="G496" s="10"/>
      <c r="H496" s="11"/>
      <c r="I496" s="12"/>
      <c r="J496" t="str">
        <f>IF(OR(B496="",C496=""),"",B496&amp;"-"&amp;COUNTIFS($B$5:B496,B496,$C$5:C496,"&lt;&gt;"))</f>
        <v/>
      </c>
    </row>
    <row r="497" spans="1:10" ht="21" customHeight="1" x14ac:dyDescent="0.15">
      <c r="A497" s="14"/>
      <c r="B497" s="14"/>
      <c r="C497" s="9"/>
      <c r="D497" s="9"/>
      <c r="E497" s="9"/>
      <c r="F497" s="10"/>
      <c r="G497" s="10"/>
      <c r="H497" s="11"/>
      <c r="I497" s="12"/>
      <c r="J497" t="str">
        <f>IF(OR(B497="",C497=""),"",B497&amp;"-"&amp;COUNTIFS($B$5:B497,B497,$C$5:C497,"&lt;&gt;"))</f>
        <v/>
      </c>
    </row>
    <row r="498" spans="1:10" ht="21" customHeight="1" x14ac:dyDescent="0.15">
      <c r="A498" s="14"/>
      <c r="B498" s="14"/>
      <c r="C498" s="9"/>
      <c r="D498" s="9"/>
      <c r="E498" s="9"/>
      <c r="F498" s="10"/>
      <c r="G498" s="10"/>
      <c r="H498" s="11"/>
      <c r="I498" s="12"/>
      <c r="J498" t="str">
        <f>IF(OR(B498="",C498=""),"",B498&amp;"-"&amp;COUNTIFS($B$5:B498,B498,$C$5:C498,"&lt;&gt;"))</f>
        <v/>
      </c>
    </row>
    <row r="499" spans="1:10" ht="21" customHeight="1" x14ac:dyDescent="0.15">
      <c r="A499" s="14"/>
      <c r="B499" s="14"/>
      <c r="C499" s="9"/>
      <c r="D499" s="9"/>
      <c r="E499" s="9"/>
      <c r="F499" s="10"/>
      <c r="G499" s="10"/>
      <c r="H499" s="11"/>
      <c r="I499" s="12"/>
      <c r="J499" t="str">
        <f>IF(OR(B499="",C499=""),"",B499&amp;"-"&amp;COUNTIFS($B$5:B499,B499,$C$5:C499,"&lt;&gt;"))</f>
        <v/>
      </c>
    </row>
    <row r="500" spans="1:10" ht="21" customHeight="1" x14ac:dyDescent="0.15">
      <c r="A500" s="14"/>
      <c r="B500" s="14"/>
      <c r="C500" s="9"/>
      <c r="D500" s="9"/>
      <c r="E500" s="9"/>
      <c r="F500" s="10"/>
      <c r="G500" s="10"/>
      <c r="H500" s="11"/>
      <c r="I500" s="12"/>
      <c r="J500" t="str">
        <f>IF(OR(B500="",C500=""),"",B500&amp;"-"&amp;COUNTIFS($B$5:B500,B500,$C$5:C500,"&lt;&gt;"))</f>
        <v/>
      </c>
    </row>
    <row r="501" spans="1:10" ht="21" customHeight="1" x14ac:dyDescent="0.15">
      <c r="A501" s="14"/>
      <c r="B501" s="14"/>
      <c r="C501" s="9"/>
      <c r="D501" s="9"/>
      <c r="E501" s="9"/>
      <c r="F501" s="10"/>
      <c r="G501" s="10"/>
      <c r="H501" s="11"/>
      <c r="I501" s="12"/>
      <c r="J501" t="str">
        <f>IF(OR(B501="",C501=""),"",B501&amp;"-"&amp;COUNTIFS($B$5:B501,B501,$C$5:C501,"&lt;&gt;"))</f>
        <v/>
      </c>
    </row>
    <row r="502" spans="1:10" ht="21" customHeight="1" x14ac:dyDescent="0.15">
      <c r="A502" s="14"/>
      <c r="B502" s="14"/>
      <c r="C502" s="9"/>
      <c r="D502" s="9"/>
      <c r="E502" s="9"/>
      <c r="F502" s="10"/>
      <c r="G502" s="10"/>
      <c r="H502" s="11"/>
      <c r="I502" s="12"/>
      <c r="J502" t="str">
        <f>IF(OR(B502="",C502=""),"",B502&amp;"-"&amp;COUNTIFS($B$5:B502,B502,$C$5:C502,"&lt;&gt;"))</f>
        <v/>
      </c>
    </row>
    <row r="503" spans="1:10" ht="21" customHeight="1" x14ac:dyDescent="0.15">
      <c r="A503" s="14"/>
      <c r="B503" s="14"/>
      <c r="C503" s="9"/>
      <c r="D503" s="9"/>
      <c r="E503" s="9"/>
      <c r="F503" s="10"/>
      <c r="G503" s="10"/>
      <c r="H503" s="11"/>
      <c r="I503" s="12"/>
      <c r="J503" t="str">
        <f>IF(OR(B503="",C503=""),"",B503&amp;"-"&amp;COUNTIFS($B$5:B503,B503,$C$5:C503,"&lt;&gt;"))</f>
        <v/>
      </c>
    </row>
    <row r="504" spans="1:10" ht="21" customHeight="1" x14ac:dyDescent="0.15">
      <c r="A504" s="15"/>
      <c r="B504" s="15"/>
      <c r="C504" s="16"/>
      <c r="D504" s="16"/>
      <c r="E504" s="16"/>
      <c r="F504" s="17"/>
      <c r="G504" s="17"/>
      <c r="H504" s="18"/>
      <c r="I504" s="19"/>
      <c r="J504" t="str">
        <f>IF(OR(B504="",C504=""),"",B504&amp;"-"&amp;COUNTIFS($B$5:B504,B504,$C$5:C504,"&lt;&gt;"))</f>
        <v/>
      </c>
    </row>
    <row r="505" spans="1:10" ht="14" x14ac:dyDescent="0.15">
      <c r="A505" s="20"/>
      <c r="B505" s="20"/>
      <c r="C505" s="20"/>
      <c r="D505" s="20"/>
      <c r="E505" s="20"/>
      <c r="F505" s="20"/>
      <c r="G505" s="20"/>
      <c r="H505" s="20"/>
      <c r="I505" s="20"/>
    </row>
    <row r="506" spans="1:10" ht="14" x14ac:dyDescent="0.15">
      <c r="A506" s="20"/>
      <c r="B506" s="20"/>
      <c r="C506" s="20"/>
      <c r="D506" s="20"/>
      <c r="E506" s="20"/>
      <c r="F506" s="20"/>
      <c r="G506" s="20"/>
      <c r="H506" s="20"/>
      <c r="I506" s="20"/>
    </row>
    <row r="507" spans="1:10" x14ac:dyDescent="0.15">
      <c r="A507" s="21"/>
      <c r="B507" s="21"/>
      <c r="C507" s="21"/>
      <c r="D507" s="21"/>
      <c r="E507" s="21"/>
      <c r="F507" s="21"/>
      <c r="G507" s="21"/>
      <c r="H507" s="21"/>
      <c r="I507" s="21"/>
    </row>
  </sheetData>
  <mergeCells count="1">
    <mergeCell ref="A1:I1"/>
  </mergeCells>
  <dataValidations count="3">
    <dataValidation type="whole" sqref="B5:B504" xr:uid="{00000000-0002-0000-0000-000000000000}">
      <formula1>1</formula1>
      <formula2>6</formula2>
    </dataValidation>
    <dataValidation type="decimal" operator="greaterThanOrEqual" sqref="H5:H504" xr:uid="{00000000-0002-0000-0000-000001000000}">
      <formula1>0</formula1>
      <formula2>0</formula2>
    </dataValidation>
    <dataValidation type="whole" sqref="I5:I504" xr:uid="{00000000-0002-0000-0000-000002000000}">
      <formula1>0</formula1>
      <formula2>1000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9"/>
  <sheetViews>
    <sheetView showGridLines="0" zoomScale="140" workbookViewId="0">
      <pane ySplit="25" topLeftCell="A26" activePane="bottomLeft" state="frozen"/>
      <selection pane="bottomLeft" activeCell="N15" sqref="N15"/>
    </sheetView>
  </sheetViews>
  <sheetFormatPr baseColWidth="10" defaultColWidth="8.83203125" defaultRowHeight="13" x14ac:dyDescent="0.15"/>
  <cols>
    <col min="1" max="1" width="14" customWidth="1"/>
    <col min="2" max="3" width="23" customWidth="1"/>
    <col min="4" max="4" width="21" customWidth="1"/>
    <col min="5" max="9" width="12" customWidth="1"/>
    <col min="10" max="10" width="3" customWidth="1"/>
    <col min="11" max="11" width="17" customWidth="1"/>
    <col min="12" max="15" width="16" customWidth="1"/>
  </cols>
  <sheetData>
    <row r="1" spans="1:15" ht="32" customHeight="1" x14ac:dyDescent="0.15">
      <c r="A1" s="58" t="s">
        <v>19</v>
      </c>
      <c r="B1" s="58" t="s">
        <v>19</v>
      </c>
      <c r="C1" s="58" t="s">
        <v>19</v>
      </c>
      <c r="D1" s="58" t="s">
        <v>19</v>
      </c>
      <c r="E1" s="58" t="s">
        <v>19</v>
      </c>
      <c r="F1" s="58" t="s">
        <v>19</v>
      </c>
      <c r="G1" s="58" t="s">
        <v>19</v>
      </c>
      <c r="H1" s="58" t="s">
        <v>19</v>
      </c>
      <c r="I1" s="58" t="s">
        <v>19</v>
      </c>
      <c r="J1" s="58" t="s">
        <v>19</v>
      </c>
      <c r="K1" s="58" t="s">
        <v>19</v>
      </c>
      <c r="L1" s="58" t="s">
        <v>19</v>
      </c>
      <c r="M1" s="58" t="s">
        <v>19</v>
      </c>
    </row>
    <row r="2" spans="1:15" ht="27" customHeight="1" x14ac:dyDescent="0.15">
      <c r="A2" s="59" t="s">
        <v>20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4" spans="1:15" ht="30" customHeight="1" x14ac:dyDescent="0.15">
      <c r="K4" s="2" t="s">
        <v>21</v>
      </c>
      <c r="L4" s="2" t="s">
        <v>22</v>
      </c>
      <c r="M4" s="2" t="s">
        <v>23</v>
      </c>
      <c r="N4" s="22"/>
      <c r="O4" s="22"/>
    </row>
    <row r="5" spans="1:15" ht="14" x14ac:dyDescent="0.2">
      <c r="K5" s="23">
        <v>1</v>
      </c>
      <c r="L5" s="24">
        <f>'Sprint 1'!$E$4</f>
        <v>46274</v>
      </c>
      <c r="M5" s="24">
        <f>'Sprint 1'!$H$4</f>
        <v>46283</v>
      </c>
      <c r="N5" s="25"/>
      <c r="O5" s="25"/>
    </row>
    <row r="6" spans="1:15" ht="14" x14ac:dyDescent="0.2">
      <c r="K6" s="26">
        <v>2</v>
      </c>
      <c r="L6" s="27">
        <f>'Sprint 2'!$E$4</f>
        <v>46288</v>
      </c>
      <c r="M6" s="27">
        <f>'Sprint 2'!$H$4</f>
        <v>46297</v>
      </c>
      <c r="N6" s="28"/>
      <c r="O6" s="28"/>
    </row>
    <row r="7" spans="1:15" ht="14" x14ac:dyDescent="0.2">
      <c r="K7" s="26">
        <v>3</v>
      </c>
      <c r="L7" s="27">
        <f>'Sprint 3'!$E$4</f>
        <v>46302</v>
      </c>
      <c r="M7" s="27">
        <f>'Sprint 3'!$H$4</f>
        <v>46311</v>
      </c>
      <c r="N7" s="28"/>
      <c r="O7" s="28"/>
    </row>
    <row r="8" spans="1:15" ht="14" x14ac:dyDescent="0.2">
      <c r="K8" s="26">
        <v>4</v>
      </c>
      <c r="L8" s="27">
        <f>'Sprint 4'!$E$4</f>
        <v>46316</v>
      </c>
      <c r="M8" s="27">
        <f>'Sprint 4'!$H$4</f>
        <v>46325</v>
      </c>
      <c r="N8" s="28"/>
      <c r="O8" s="28"/>
    </row>
    <row r="9" spans="1:15" ht="14" x14ac:dyDescent="0.2">
      <c r="K9" s="26">
        <v>5</v>
      </c>
      <c r="L9" s="27">
        <f>'Sprint 5'!$E$4</f>
        <v>46330</v>
      </c>
      <c r="M9" s="27">
        <f>'Sprint 5'!$H$4</f>
        <v>46339</v>
      </c>
      <c r="N9" s="28"/>
      <c r="O9" s="28"/>
    </row>
    <row r="10" spans="1:15" ht="14" x14ac:dyDescent="0.2">
      <c r="K10" s="29">
        <v>6</v>
      </c>
      <c r="L10" s="30">
        <f>'Sprint 6'!$E$4</f>
        <v>46344</v>
      </c>
      <c r="M10" s="30">
        <f>'Sprint 6'!$H$4</f>
        <v>46358</v>
      </c>
      <c r="N10" s="31"/>
      <c r="O10" s="31"/>
    </row>
    <row r="13" spans="1:15" ht="15" x14ac:dyDescent="0.2">
      <c r="K13" s="32" t="s">
        <v>24</v>
      </c>
      <c r="L13" s="33">
        <v>1000</v>
      </c>
    </row>
    <row r="14" spans="1:15" ht="30" x14ac:dyDescent="0.2">
      <c r="K14" s="34" t="s">
        <v>25</v>
      </c>
      <c r="L14" s="35">
        <f>SUM('Product Backlog'!$I$5:$I$504)</f>
        <v>1005</v>
      </c>
    </row>
    <row r="15" spans="1:15" ht="30" x14ac:dyDescent="0.2">
      <c r="K15" s="34" t="s">
        <v>26</v>
      </c>
      <c r="L15" s="35">
        <f>SUMIFS('Product Backlog'!$I$5:$I$504,'Product Backlog'!$G$5:$G$504,"&gt;0",'Product Backlog'!$I$5:$I$504,"&gt;0")</f>
        <v>395</v>
      </c>
    </row>
    <row r="16" spans="1:15" ht="30" x14ac:dyDescent="0.2">
      <c r="K16" s="34" t="s">
        <v>27</v>
      </c>
      <c r="L16" s="35">
        <f>MAX(0,L13-L15)</f>
        <v>605</v>
      </c>
    </row>
    <row r="17" spans="1:18" ht="15" x14ac:dyDescent="0.2">
      <c r="K17" s="36" t="s">
        <v>28</v>
      </c>
      <c r="L17" s="37">
        <f>IF(COUNTIFS('Product Backlog'!$G$5:$G$504,"&gt;0",'Product Backlog'!$I$5:$I$504,"&gt;=0",'Product Backlog'!$I$5:$I$504,"&lt;&gt;")=0,'Sprint 1'!$E$4,MAX(_xlfn._xlws.FILTER('Product Backlog'!$G$5:$G$504,('Product Backlog'!$G$5:$G$504&gt;0)*('Product Backlog'!$I$5:$I$504&gt;=0)*('Product Backlog'!$I$5:$I$504&lt;&gt;""),'Sprint 1'!$E$4)))</f>
        <v>46309</v>
      </c>
    </row>
    <row r="19" spans="1:18" ht="14" customHeight="1" x14ac:dyDescent="0.15">
      <c r="K19" s="60"/>
      <c r="L19" s="60"/>
      <c r="M19" s="60"/>
      <c r="N19" s="60"/>
      <c r="O19" s="60"/>
    </row>
    <row r="20" spans="1:18" x14ac:dyDescent="0.15">
      <c r="K20" s="60"/>
      <c r="L20" s="60"/>
      <c r="M20" s="60"/>
      <c r="N20" s="60"/>
      <c r="O20" s="60"/>
    </row>
    <row r="21" spans="1:18" x14ac:dyDescent="0.15">
      <c r="K21" s="60"/>
      <c r="L21" s="60"/>
      <c r="M21" s="60"/>
      <c r="N21" s="60"/>
      <c r="O21" s="60"/>
    </row>
    <row r="25" spans="1:18" ht="30" customHeight="1" x14ac:dyDescent="0.15">
      <c r="A25" s="38" t="s">
        <v>29</v>
      </c>
      <c r="B25" s="39" t="s">
        <v>30</v>
      </c>
      <c r="C25" s="39" t="s">
        <v>31</v>
      </c>
      <c r="D25" s="39" t="s">
        <v>32</v>
      </c>
      <c r="P25" s="57" t="s">
        <v>54</v>
      </c>
      <c r="Q25" s="57" t="s">
        <v>31</v>
      </c>
      <c r="R25" s="57" t="s">
        <v>55</v>
      </c>
    </row>
    <row r="26" spans="1:18" x14ac:dyDescent="0.15">
      <c r="A26" s="52">
        <f>$L$5+0</f>
        <v>46274</v>
      </c>
      <c r="B26" s="53" t="str">
        <f t="shared" ref="B26:B57" si="0">IF(A26=$L$5,"Sprint 1 ("&amp;TEXT(A26,"m/d")&amp;")",IF(A26=$L$6,"Sprint 2 ("&amp;TEXT(A26,"m/d")&amp;")",IF(A26=$L$7,"Sprint 3 ("&amp;TEXT(A26,"m/d")&amp;")",IF(A26=$L$8,"Sprint 4 ("&amp;TEXT(A26,"m/d")&amp;")",IF(A26=$L$9,"Sprint 5 ("&amp;TEXT(A26,"m/d")&amp;")",IF(A26=$L$10,"Sprint 6 ("&amp;TEXT(A26,"m/d")&amp;")",IF(A26=$M$10,"Sprint 6 end ("&amp;TEXT(A26,"m/d")&amp;")",IF(D26&gt;0,TEXT(A26,"m/d")," "))))))))</f>
        <v>Sprint 1 (9/9)</v>
      </c>
      <c r="C26" s="53">
        <f>MAX(0,$L$13-SUMIFS('Product Backlog'!$I$5:$I$504,'Product Backlog'!$G$5:$G$504,"&lt;="&amp;A26,'Product Backlog'!$G$5:$G$504,"&gt;0",'Product Backlog'!$I$5:$I$504,"&gt;0"))</f>
        <v>1000</v>
      </c>
      <c r="D26" s="53">
        <f>SUMIFS('Product Backlog'!$I$5:$I$504,'Product Backlog'!$G$5:$G$504,A26,'Product Backlog'!$G$5:$G$504,"&gt;0",'Product Backlog'!$I$5:$I$504,"&gt;0")</f>
        <v>0</v>
      </c>
      <c r="E26" s="55">
        <f t="shared" ref="E26:E57" si="1">MAX(0,MIN($L$13,$L$13*($M$10-A26)/($M$10-$L$5)))</f>
        <v>1000</v>
      </c>
      <c r="F26" s="54"/>
      <c r="G26" s="54"/>
      <c r="H26" s="54"/>
      <c r="I26" s="54"/>
      <c r="P26" t="str">
        <f t="shared" ref="P26:P57" si="2">B26</f>
        <v>Sprint 1 (9/9)</v>
      </c>
      <c r="Q26" s="56">
        <f t="shared" ref="Q26:Q57" si="3">C26</f>
        <v>1000</v>
      </c>
      <c r="R26" s="56">
        <f t="shared" ref="R26:R57" si="4">E26</f>
        <v>1000</v>
      </c>
    </row>
    <row r="27" spans="1:18" x14ac:dyDescent="0.15">
      <c r="A27" s="52">
        <f>$L$5+1</f>
        <v>46275</v>
      </c>
      <c r="B27" s="53" t="str">
        <f t="shared" si="0"/>
        <v xml:space="preserve"> </v>
      </c>
      <c r="C27" s="53">
        <f>MAX(0,$L$13-SUMIFS('Product Backlog'!$I$5:$I$504,'Product Backlog'!$G$5:$G$504,"&lt;="&amp;A27,'Product Backlog'!$G$5:$G$504,"&gt;0",'Product Backlog'!$I$5:$I$504,"&gt;0"))</f>
        <v>1000</v>
      </c>
      <c r="D27" s="53">
        <f>SUMIFS('Product Backlog'!$I$5:$I$504,'Product Backlog'!$G$5:$G$504,A27,'Product Backlog'!$G$5:$G$504,"&gt;0",'Product Backlog'!$I$5:$I$504,"&gt;0")</f>
        <v>0</v>
      </c>
      <c r="E27" s="55">
        <f t="shared" si="1"/>
        <v>988.09523809523807</v>
      </c>
      <c r="F27" s="54"/>
      <c r="G27" s="54"/>
      <c r="H27" s="54"/>
      <c r="I27" s="54"/>
      <c r="P27" t="str">
        <f t="shared" si="2"/>
        <v xml:space="preserve"> </v>
      </c>
      <c r="Q27" s="56">
        <f t="shared" si="3"/>
        <v>1000</v>
      </c>
      <c r="R27" s="56">
        <f t="shared" si="4"/>
        <v>988.09523809523807</v>
      </c>
    </row>
    <row r="28" spans="1:18" x14ac:dyDescent="0.15">
      <c r="A28" s="52">
        <f>$L$5+2</f>
        <v>46276</v>
      </c>
      <c r="B28" s="53" t="str">
        <f t="shared" si="0"/>
        <v>9/11</v>
      </c>
      <c r="C28" s="53">
        <f>MAX(0,$L$13-SUMIFS('Product Backlog'!$I$5:$I$504,'Product Backlog'!$G$5:$G$504,"&lt;="&amp;A28,'Product Backlog'!$G$5:$G$504,"&gt;0",'Product Backlog'!$I$5:$I$504,"&gt;0"))</f>
        <v>975</v>
      </c>
      <c r="D28" s="53">
        <f>SUMIFS('Product Backlog'!$I$5:$I$504,'Product Backlog'!$G$5:$G$504,A28,'Product Backlog'!$G$5:$G$504,"&gt;0",'Product Backlog'!$I$5:$I$504,"&gt;0")</f>
        <v>25</v>
      </c>
      <c r="E28" s="55">
        <f t="shared" si="1"/>
        <v>976.19047619047615</v>
      </c>
      <c r="F28" s="54"/>
      <c r="G28" s="54"/>
      <c r="H28" s="54"/>
      <c r="I28" s="54"/>
      <c r="P28" t="str">
        <f t="shared" si="2"/>
        <v>9/11</v>
      </c>
      <c r="Q28" s="56">
        <f t="shared" si="3"/>
        <v>975</v>
      </c>
      <c r="R28" s="56">
        <f t="shared" si="4"/>
        <v>976.19047619047615</v>
      </c>
    </row>
    <row r="29" spans="1:18" x14ac:dyDescent="0.15">
      <c r="A29" s="52">
        <f>$L$5+3</f>
        <v>46277</v>
      </c>
      <c r="B29" s="53" t="str">
        <f t="shared" si="0"/>
        <v xml:space="preserve"> </v>
      </c>
      <c r="C29" s="53">
        <f>MAX(0,$L$13-SUMIFS('Product Backlog'!$I$5:$I$504,'Product Backlog'!$G$5:$G$504,"&lt;="&amp;A29,'Product Backlog'!$G$5:$G$504,"&gt;0",'Product Backlog'!$I$5:$I$504,"&gt;0"))</f>
        <v>975</v>
      </c>
      <c r="D29" s="53">
        <f>SUMIFS('Product Backlog'!$I$5:$I$504,'Product Backlog'!$G$5:$G$504,A29,'Product Backlog'!$G$5:$G$504,"&gt;0",'Product Backlog'!$I$5:$I$504,"&gt;0")</f>
        <v>0</v>
      </c>
      <c r="E29" s="55">
        <f t="shared" si="1"/>
        <v>964.28571428571433</v>
      </c>
      <c r="F29" s="54"/>
      <c r="G29" s="54"/>
      <c r="H29" s="54"/>
      <c r="I29" s="54"/>
      <c r="P29" t="str">
        <f t="shared" si="2"/>
        <v xml:space="preserve"> </v>
      </c>
      <c r="Q29" s="56">
        <f t="shared" si="3"/>
        <v>975</v>
      </c>
      <c r="R29" s="56">
        <f t="shared" si="4"/>
        <v>964.28571428571433</v>
      </c>
    </row>
    <row r="30" spans="1:18" x14ac:dyDescent="0.15">
      <c r="A30" s="52">
        <f>$L$5+4</f>
        <v>46278</v>
      </c>
      <c r="B30" s="53" t="str">
        <f t="shared" si="0"/>
        <v xml:space="preserve"> </v>
      </c>
      <c r="C30" s="53">
        <f>MAX(0,$L$13-SUMIFS('Product Backlog'!$I$5:$I$504,'Product Backlog'!$G$5:$G$504,"&lt;="&amp;A30,'Product Backlog'!$G$5:$G$504,"&gt;0",'Product Backlog'!$I$5:$I$504,"&gt;0"))</f>
        <v>975</v>
      </c>
      <c r="D30" s="53">
        <f>SUMIFS('Product Backlog'!$I$5:$I$504,'Product Backlog'!$G$5:$G$504,A30,'Product Backlog'!$G$5:$G$504,"&gt;0",'Product Backlog'!$I$5:$I$504,"&gt;0")</f>
        <v>0</v>
      </c>
      <c r="E30" s="55">
        <f t="shared" si="1"/>
        <v>952.38095238095241</v>
      </c>
      <c r="F30" s="54"/>
      <c r="G30" s="54"/>
      <c r="H30" s="54"/>
      <c r="I30" s="54"/>
      <c r="P30" t="str">
        <f t="shared" si="2"/>
        <v xml:space="preserve"> </v>
      </c>
      <c r="Q30" s="56">
        <f t="shared" si="3"/>
        <v>975</v>
      </c>
      <c r="R30" s="56">
        <f t="shared" si="4"/>
        <v>952.38095238095241</v>
      </c>
    </row>
    <row r="31" spans="1:18" x14ac:dyDescent="0.15">
      <c r="A31" s="52">
        <f>$L$5+5</f>
        <v>46279</v>
      </c>
      <c r="B31" s="53" t="str">
        <f t="shared" si="0"/>
        <v xml:space="preserve"> </v>
      </c>
      <c r="C31" s="53">
        <f>MAX(0,$L$13-SUMIFS('Product Backlog'!$I$5:$I$504,'Product Backlog'!$G$5:$G$504,"&lt;="&amp;A31,'Product Backlog'!$G$5:$G$504,"&gt;0",'Product Backlog'!$I$5:$I$504,"&gt;0"))</f>
        <v>975</v>
      </c>
      <c r="D31" s="53">
        <f>SUMIFS('Product Backlog'!$I$5:$I$504,'Product Backlog'!$G$5:$G$504,A31,'Product Backlog'!$G$5:$G$504,"&gt;0",'Product Backlog'!$I$5:$I$504,"&gt;0")</f>
        <v>0</v>
      </c>
      <c r="E31" s="55">
        <f t="shared" si="1"/>
        <v>940.47619047619048</v>
      </c>
      <c r="F31" s="54"/>
      <c r="G31" s="54"/>
      <c r="H31" s="54"/>
      <c r="I31" s="54"/>
      <c r="P31" t="str">
        <f t="shared" si="2"/>
        <v xml:space="preserve"> </v>
      </c>
      <c r="Q31" s="56">
        <f t="shared" si="3"/>
        <v>975</v>
      </c>
      <c r="R31" s="56">
        <f t="shared" si="4"/>
        <v>940.47619047619048</v>
      </c>
    </row>
    <row r="32" spans="1:18" x14ac:dyDescent="0.15">
      <c r="A32" s="52">
        <f>$L$5+6</f>
        <v>46280</v>
      </c>
      <c r="B32" s="53" t="str">
        <f t="shared" si="0"/>
        <v xml:space="preserve"> </v>
      </c>
      <c r="C32" s="53">
        <f>MAX(0,$L$13-SUMIFS('Product Backlog'!$I$5:$I$504,'Product Backlog'!$G$5:$G$504,"&lt;="&amp;A32,'Product Backlog'!$G$5:$G$504,"&gt;0",'Product Backlog'!$I$5:$I$504,"&gt;0"))</f>
        <v>975</v>
      </c>
      <c r="D32" s="53">
        <f>SUMIFS('Product Backlog'!$I$5:$I$504,'Product Backlog'!$G$5:$G$504,A32,'Product Backlog'!$G$5:$G$504,"&gt;0",'Product Backlog'!$I$5:$I$504,"&gt;0")</f>
        <v>0</v>
      </c>
      <c r="E32" s="55">
        <f t="shared" si="1"/>
        <v>928.57142857142856</v>
      </c>
      <c r="F32" s="54"/>
      <c r="G32" s="54"/>
      <c r="H32" s="54"/>
      <c r="I32" s="54"/>
      <c r="P32" t="str">
        <f t="shared" si="2"/>
        <v xml:space="preserve"> </v>
      </c>
      <c r="Q32" s="56">
        <f t="shared" si="3"/>
        <v>975</v>
      </c>
      <c r="R32" s="56">
        <f t="shared" si="4"/>
        <v>928.57142857142856</v>
      </c>
    </row>
    <row r="33" spans="1:18" x14ac:dyDescent="0.15">
      <c r="A33" s="52">
        <f>$L$5+7</f>
        <v>46281</v>
      </c>
      <c r="B33" s="53" t="str">
        <f t="shared" si="0"/>
        <v>9/16</v>
      </c>
      <c r="C33" s="53">
        <f>MAX(0,$L$13-SUMIFS('Product Backlog'!$I$5:$I$504,'Product Backlog'!$G$5:$G$504,"&lt;="&amp;A33,'Product Backlog'!$G$5:$G$504,"&gt;0",'Product Backlog'!$I$5:$I$504,"&gt;0"))</f>
        <v>920</v>
      </c>
      <c r="D33" s="53">
        <f>SUMIFS('Product Backlog'!$I$5:$I$504,'Product Backlog'!$G$5:$G$504,A33,'Product Backlog'!$G$5:$G$504,"&gt;0",'Product Backlog'!$I$5:$I$504,"&gt;0")</f>
        <v>55</v>
      </c>
      <c r="E33" s="55">
        <f t="shared" si="1"/>
        <v>916.66666666666663</v>
      </c>
      <c r="F33" s="54"/>
      <c r="G33" s="54"/>
      <c r="H33" s="54"/>
      <c r="I33" s="54"/>
      <c r="P33" t="str">
        <f t="shared" si="2"/>
        <v>9/16</v>
      </c>
      <c r="Q33" s="56">
        <f t="shared" si="3"/>
        <v>920</v>
      </c>
      <c r="R33" s="56">
        <f t="shared" si="4"/>
        <v>916.66666666666663</v>
      </c>
    </row>
    <row r="34" spans="1:18" x14ac:dyDescent="0.15">
      <c r="A34" s="52">
        <f>$L$5+8</f>
        <v>46282</v>
      </c>
      <c r="B34" s="53" t="str">
        <f t="shared" si="0"/>
        <v xml:space="preserve"> </v>
      </c>
      <c r="C34" s="53">
        <f>MAX(0,$L$13-SUMIFS('Product Backlog'!$I$5:$I$504,'Product Backlog'!$G$5:$G$504,"&lt;="&amp;A34,'Product Backlog'!$G$5:$G$504,"&gt;0",'Product Backlog'!$I$5:$I$504,"&gt;0"))</f>
        <v>920</v>
      </c>
      <c r="D34" s="53">
        <f>SUMIFS('Product Backlog'!$I$5:$I$504,'Product Backlog'!$G$5:$G$504,A34,'Product Backlog'!$G$5:$G$504,"&gt;0",'Product Backlog'!$I$5:$I$504,"&gt;0")</f>
        <v>0</v>
      </c>
      <c r="E34" s="55">
        <f t="shared" si="1"/>
        <v>904.76190476190482</v>
      </c>
      <c r="F34" s="54"/>
      <c r="G34" s="54"/>
      <c r="H34" s="54"/>
      <c r="I34" s="54"/>
      <c r="P34" t="str">
        <f t="shared" si="2"/>
        <v xml:space="preserve"> </v>
      </c>
      <c r="Q34" s="56">
        <f t="shared" si="3"/>
        <v>920</v>
      </c>
      <c r="R34" s="56">
        <f t="shared" si="4"/>
        <v>904.76190476190482</v>
      </c>
    </row>
    <row r="35" spans="1:18" x14ac:dyDescent="0.15">
      <c r="A35" s="52">
        <f>$L$5+9</f>
        <v>46283</v>
      </c>
      <c r="B35" s="53" t="str">
        <f t="shared" si="0"/>
        <v>9/18</v>
      </c>
      <c r="C35" s="53">
        <f>MAX(0,$L$13-SUMIFS('Product Backlog'!$I$5:$I$504,'Product Backlog'!$G$5:$G$504,"&lt;="&amp;A35,'Product Backlog'!$G$5:$G$504,"&gt;0",'Product Backlog'!$I$5:$I$504,"&gt;0"))</f>
        <v>905</v>
      </c>
      <c r="D35" s="53">
        <f>SUMIFS('Product Backlog'!$I$5:$I$504,'Product Backlog'!$G$5:$G$504,A35,'Product Backlog'!$G$5:$G$504,"&gt;0",'Product Backlog'!$I$5:$I$504,"&gt;0")</f>
        <v>15</v>
      </c>
      <c r="E35" s="55">
        <f t="shared" si="1"/>
        <v>892.85714285714289</v>
      </c>
      <c r="F35" s="54"/>
      <c r="G35" s="54"/>
      <c r="H35" s="54"/>
      <c r="I35" s="54"/>
      <c r="P35" t="str">
        <f t="shared" si="2"/>
        <v>9/18</v>
      </c>
      <c r="Q35" s="56">
        <f t="shared" si="3"/>
        <v>905</v>
      </c>
      <c r="R35" s="56">
        <f t="shared" si="4"/>
        <v>892.85714285714289</v>
      </c>
    </row>
    <row r="36" spans="1:18" x14ac:dyDescent="0.15">
      <c r="A36" s="52">
        <f>$L$5+10</f>
        <v>46284</v>
      </c>
      <c r="B36" s="53" t="str">
        <f t="shared" si="0"/>
        <v xml:space="preserve"> </v>
      </c>
      <c r="C36" s="53">
        <f>MAX(0,$L$13-SUMIFS('Product Backlog'!$I$5:$I$504,'Product Backlog'!$G$5:$G$504,"&lt;="&amp;A36,'Product Backlog'!$G$5:$G$504,"&gt;0",'Product Backlog'!$I$5:$I$504,"&gt;0"))</f>
        <v>905</v>
      </c>
      <c r="D36" s="53">
        <f>SUMIFS('Product Backlog'!$I$5:$I$504,'Product Backlog'!$G$5:$G$504,A36,'Product Backlog'!$G$5:$G$504,"&gt;0",'Product Backlog'!$I$5:$I$504,"&gt;0")</f>
        <v>0</v>
      </c>
      <c r="E36" s="55">
        <f t="shared" si="1"/>
        <v>880.95238095238096</v>
      </c>
      <c r="F36" s="54"/>
      <c r="G36" s="54"/>
      <c r="H36" s="54"/>
      <c r="I36" s="54"/>
      <c r="P36" t="str">
        <f t="shared" si="2"/>
        <v xml:space="preserve"> </v>
      </c>
      <c r="Q36" s="56">
        <f t="shared" si="3"/>
        <v>905</v>
      </c>
      <c r="R36" s="56">
        <f t="shared" si="4"/>
        <v>880.95238095238096</v>
      </c>
    </row>
    <row r="37" spans="1:18" x14ac:dyDescent="0.15">
      <c r="A37" s="52">
        <f>$L$5+11</f>
        <v>46285</v>
      </c>
      <c r="B37" s="53" t="str">
        <f t="shared" si="0"/>
        <v xml:space="preserve"> </v>
      </c>
      <c r="C37" s="53">
        <f>MAX(0,$L$13-SUMIFS('Product Backlog'!$I$5:$I$504,'Product Backlog'!$G$5:$G$504,"&lt;="&amp;A37,'Product Backlog'!$G$5:$G$504,"&gt;0",'Product Backlog'!$I$5:$I$504,"&gt;0"))</f>
        <v>905</v>
      </c>
      <c r="D37" s="53">
        <f>SUMIFS('Product Backlog'!$I$5:$I$504,'Product Backlog'!$G$5:$G$504,A37,'Product Backlog'!$G$5:$G$504,"&gt;0",'Product Backlog'!$I$5:$I$504,"&gt;0")</f>
        <v>0</v>
      </c>
      <c r="E37" s="55">
        <f t="shared" si="1"/>
        <v>869.04761904761904</v>
      </c>
      <c r="F37" s="54"/>
      <c r="G37" s="54"/>
      <c r="H37" s="54"/>
      <c r="I37" s="54"/>
      <c r="P37" t="str">
        <f t="shared" si="2"/>
        <v xml:space="preserve"> </v>
      </c>
      <c r="Q37" s="56">
        <f t="shared" si="3"/>
        <v>905</v>
      </c>
      <c r="R37" s="56">
        <f t="shared" si="4"/>
        <v>869.04761904761904</v>
      </c>
    </row>
    <row r="38" spans="1:18" x14ac:dyDescent="0.15">
      <c r="A38" s="52">
        <f>$L$5+12</f>
        <v>46286</v>
      </c>
      <c r="B38" s="53" t="str">
        <f t="shared" si="0"/>
        <v xml:space="preserve"> </v>
      </c>
      <c r="C38" s="53">
        <f>MAX(0,$L$13-SUMIFS('Product Backlog'!$I$5:$I$504,'Product Backlog'!$G$5:$G$504,"&lt;="&amp;A38,'Product Backlog'!$G$5:$G$504,"&gt;0",'Product Backlog'!$I$5:$I$504,"&gt;0"))</f>
        <v>905</v>
      </c>
      <c r="D38" s="53">
        <f>SUMIFS('Product Backlog'!$I$5:$I$504,'Product Backlog'!$G$5:$G$504,A38,'Product Backlog'!$G$5:$G$504,"&gt;0",'Product Backlog'!$I$5:$I$504,"&gt;0")</f>
        <v>0</v>
      </c>
      <c r="E38" s="55">
        <f t="shared" si="1"/>
        <v>857.14285714285711</v>
      </c>
      <c r="F38" s="54"/>
      <c r="G38" s="54"/>
      <c r="H38" s="54"/>
      <c r="I38" s="54"/>
      <c r="P38" t="str">
        <f t="shared" si="2"/>
        <v xml:space="preserve"> </v>
      </c>
      <c r="Q38" s="56">
        <f t="shared" si="3"/>
        <v>905</v>
      </c>
      <c r="R38" s="56">
        <f t="shared" si="4"/>
        <v>857.14285714285711</v>
      </c>
    </row>
    <row r="39" spans="1:18" x14ac:dyDescent="0.15">
      <c r="A39" s="52">
        <f>$L$5+13</f>
        <v>46287</v>
      </c>
      <c r="B39" s="53" t="str">
        <f t="shared" si="0"/>
        <v xml:space="preserve"> </v>
      </c>
      <c r="C39" s="53">
        <f>MAX(0,$L$13-SUMIFS('Product Backlog'!$I$5:$I$504,'Product Backlog'!$G$5:$G$504,"&lt;="&amp;A39,'Product Backlog'!$G$5:$G$504,"&gt;0",'Product Backlog'!$I$5:$I$504,"&gt;0"))</f>
        <v>905</v>
      </c>
      <c r="D39" s="53">
        <f>SUMIFS('Product Backlog'!$I$5:$I$504,'Product Backlog'!$G$5:$G$504,A39,'Product Backlog'!$G$5:$G$504,"&gt;0",'Product Backlog'!$I$5:$I$504,"&gt;0")</f>
        <v>0</v>
      </c>
      <c r="E39" s="55">
        <f t="shared" si="1"/>
        <v>845.23809523809518</v>
      </c>
      <c r="F39" s="54"/>
      <c r="G39" s="54"/>
      <c r="H39" s="54"/>
      <c r="I39" s="54"/>
      <c r="P39" t="str">
        <f t="shared" si="2"/>
        <v xml:space="preserve"> </v>
      </c>
      <c r="Q39" s="56">
        <f t="shared" si="3"/>
        <v>905</v>
      </c>
      <c r="R39" s="56">
        <f t="shared" si="4"/>
        <v>845.23809523809518</v>
      </c>
    </row>
    <row r="40" spans="1:18" x14ac:dyDescent="0.15">
      <c r="A40" s="52">
        <f>$L$5+14</f>
        <v>46288</v>
      </c>
      <c r="B40" s="53" t="str">
        <f t="shared" si="0"/>
        <v>Sprint 2 (9/23)</v>
      </c>
      <c r="C40" s="53">
        <f>MAX(0,$L$13-SUMIFS('Product Backlog'!$I$5:$I$504,'Product Backlog'!$G$5:$G$504,"&lt;="&amp;A40,'Product Backlog'!$G$5:$G$504,"&gt;0",'Product Backlog'!$I$5:$I$504,"&gt;0"))</f>
        <v>860</v>
      </c>
      <c r="D40" s="53">
        <f>SUMIFS('Product Backlog'!$I$5:$I$504,'Product Backlog'!$G$5:$G$504,A40,'Product Backlog'!$G$5:$G$504,"&gt;0",'Product Backlog'!$I$5:$I$504,"&gt;0")</f>
        <v>45</v>
      </c>
      <c r="E40" s="55">
        <f t="shared" si="1"/>
        <v>833.33333333333337</v>
      </c>
      <c r="F40" s="54"/>
      <c r="G40" s="54"/>
      <c r="H40" s="54"/>
      <c r="I40" s="54"/>
      <c r="P40" t="str">
        <f t="shared" si="2"/>
        <v>Sprint 2 (9/23)</v>
      </c>
      <c r="Q40" s="56">
        <f t="shared" si="3"/>
        <v>860</v>
      </c>
      <c r="R40" s="56">
        <f t="shared" si="4"/>
        <v>833.33333333333337</v>
      </c>
    </row>
    <row r="41" spans="1:18" x14ac:dyDescent="0.15">
      <c r="A41" s="52">
        <f>$L$5+15</f>
        <v>46289</v>
      </c>
      <c r="B41" s="53" t="str">
        <f t="shared" si="0"/>
        <v xml:space="preserve"> </v>
      </c>
      <c r="C41" s="53">
        <f>MAX(0,$L$13-SUMIFS('Product Backlog'!$I$5:$I$504,'Product Backlog'!$G$5:$G$504,"&lt;="&amp;A41,'Product Backlog'!$G$5:$G$504,"&gt;0",'Product Backlog'!$I$5:$I$504,"&gt;0"))</f>
        <v>860</v>
      </c>
      <c r="D41" s="53">
        <f>SUMIFS('Product Backlog'!$I$5:$I$504,'Product Backlog'!$G$5:$G$504,A41,'Product Backlog'!$G$5:$G$504,"&gt;0",'Product Backlog'!$I$5:$I$504,"&gt;0")</f>
        <v>0</v>
      </c>
      <c r="E41" s="55">
        <f t="shared" si="1"/>
        <v>821.42857142857144</v>
      </c>
      <c r="F41" s="54"/>
      <c r="G41" s="54"/>
      <c r="H41" s="54"/>
      <c r="I41" s="54"/>
      <c r="P41" t="str">
        <f t="shared" si="2"/>
        <v xml:space="preserve"> </v>
      </c>
      <c r="Q41" s="56">
        <f t="shared" si="3"/>
        <v>860</v>
      </c>
      <c r="R41" s="56">
        <f t="shared" si="4"/>
        <v>821.42857142857144</v>
      </c>
    </row>
    <row r="42" spans="1:18" x14ac:dyDescent="0.15">
      <c r="A42" s="52">
        <f>$L$5+16</f>
        <v>46290</v>
      </c>
      <c r="B42" s="53" t="str">
        <f t="shared" si="0"/>
        <v xml:space="preserve"> </v>
      </c>
      <c r="C42" s="53">
        <f>MAX(0,$L$13-SUMIFS('Product Backlog'!$I$5:$I$504,'Product Backlog'!$G$5:$G$504,"&lt;="&amp;A42,'Product Backlog'!$G$5:$G$504,"&gt;0",'Product Backlog'!$I$5:$I$504,"&gt;0"))</f>
        <v>860</v>
      </c>
      <c r="D42" s="53">
        <f>SUMIFS('Product Backlog'!$I$5:$I$504,'Product Backlog'!$G$5:$G$504,A42,'Product Backlog'!$G$5:$G$504,"&gt;0",'Product Backlog'!$I$5:$I$504,"&gt;0")</f>
        <v>0</v>
      </c>
      <c r="E42" s="55">
        <f t="shared" si="1"/>
        <v>809.52380952380952</v>
      </c>
      <c r="F42" s="54"/>
      <c r="G42" s="54"/>
      <c r="H42" s="54"/>
      <c r="I42" s="54"/>
      <c r="P42" t="str">
        <f t="shared" si="2"/>
        <v xml:space="preserve"> </v>
      </c>
      <c r="Q42" s="56">
        <f t="shared" si="3"/>
        <v>860</v>
      </c>
      <c r="R42" s="56">
        <f t="shared" si="4"/>
        <v>809.52380952380952</v>
      </c>
    </row>
    <row r="43" spans="1:18" x14ac:dyDescent="0.15">
      <c r="A43" s="52">
        <f>$L$5+17</f>
        <v>46291</v>
      </c>
      <c r="B43" s="53" t="str">
        <f t="shared" si="0"/>
        <v xml:space="preserve"> </v>
      </c>
      <c r="C43" s="53">
        <f>MAX(0,$L$13-SUMIFS('Product Backlog'!$I$5:$I$504,'Product Backlog'!$G$5:$G$504,"&lt;="&amp;A43,'Product Backlog'!$G$5:$G$504,"&gt;0",'Product Backlog'!$I$5:$I$504,"&gt;0"))</f>
        <v>860</v>
      </c>
      <c r="D43" s="53">
        <f>SUMIFS('Product Backlog'!$I$5:$I$504,'Product Backlog'!$G$5:$G$504,A43,'Product Backlog'!$G$5:$G$504,"&gt;0",'Product Backlog'!$I$5:$I$504,"&gt;0")</f>
        <v>0</v>
      </c>
      <c r="E43" s="55">
        <f t="shared" si="1"/>
        <v>797.61904761904759</v>
      </c>
      <c r="F43" s="54"/>
      <c r="G43" s="54"/>
      <c r="H43" s="54"/>
      <c r="I43" s="54"/>
      <c r="P43" t="str">
        <f t="shared" si="2"/>
        <v xml:space="preserve"> </v>
      </c>
      <c r="Q43" s="56">
        <f t="shared" si="3"/>
        <v>860</v>
      </c>
      <c r="R43" s="56">
        <f t="shared" si="4"/>
        <v>797.61904761904759</v>
      </c>
    </row>
    <row r="44" spans="1:18" x14ac:dyDescent="0.15">
      <c r="A44" s="52">
        <f>$L$5+18</f>
        <v>46292</v>
      </c>
      <c r="B44" s="53" t="str">
        <f t="shared" si="0"/>
        <v xml:space="preserve"> </v>
      </c>
      <c r="C44" s="53">
        <f>MAX(0,$L$13-SUMIFS('Product Backlog'!$I$5:$I$504,'Product Backlog'!$G$5:$G$504,"&lt;="&amp;A44,'Product Backlog'!$G$5:$G$504,"&gt;0",'Product Backlog'!$I$5:$I$504,"&gt;0"))</f>
        <v>860</v>
      </c>
      <c r="D44" s="53">
        <f>SUMIFS('Product Backlog'!$I$5:$I$504,'Product Backlog'!$G$5:$G$504,A44,'Product Backlog'!$G$5:$G$504,"&gt;0",'Product Backlog'!$I$5:$I$504,"&gt;0")</f>
        <v>0</v>
      </c>
      <c r="E44" s="55">
        <f t="shared" si="1"/>
        <v>785.71428571428567</v>
      </c>
      <c r="F44" s="54"/>
      <c r="G44" s="54"/>
      <c r="H44" s="54"/>
      <c r="I44" s="54"/>
      <c r="P44" t="str">
        <f t="shared" si="2"/>
        <v xml:space="preserve"> </v>
      </c>
      <c r="Q44" s="56">
        <f t="shared" si="3"/>
        <v>860</v>
      </c>
      <c r="R44" s="56">
        <f t="shared" si="4"/>
        <v>785.71428571428567</v>
      </c>
    </row>
    <row r="45" spans="1:18" x14ac:dyDescent="0.15">
      <c r="A45" s="52">
        <f>$L$5+19</f>
        <v>46293</v>
      </c>
      <c r="B45" s="53" t="str">
        <f t="shared" si="0"/>
        <v>9/28</v>
      </c>
      <c r="C45" s="53">
        <f>MAX(0,$L$13-SUMIFS('Product Backlog'!$I$5:$I$504,'Product Backlog'!$G$5:$G$504,"&lt;="&amp;A45,'Product Backlog'!$G$5:$G$504,"&gt;0",'Product Backlog'!$I$5:$I$504,"&gt;0"))</f>
        <v>815</v>
      </c>
      <c r="D45" s="53">
        <f>SUMIFS('Product Backlog'!$I$5:$I$504,'Product Backlog'!$G$5:$G$504,A45,'Product Backlog'!$G$5:$G$504,"&gt;0",'Product Backlog'!$I$5:$I$504,"&gt;0")</f>
        <v>45</v>
      </c>
      <c r="E45" s="55">
        <f t="shared" si="1"/>
        <v>773.80952380952385</v>
      </c>
      <c r="F45" s="54"/>
      <c r="G45" s="54"/>
      <c r="H45" s="54"/>
      <c r="I45" s="54"/>
      <c r="P45" t="str">
        <f t="shared" si="2"/>
        <v>9/28</v>
      </c>
      <c r="Q45" s="56">
        <f t="shared" si="3"/>
        <v>815</v>
      </c>
      <c r="R45" s="56">
        <f t="shared" si="4"/>
        <v>773.80952380952385</v>
      </c>
    </row>
    <row r="46" spans="1:18" x14ac:dyDescent="0.15">
      <c r="A46" s="52">
        <f>$L$5+20</f>
        <v>46294</v>
      </c>
      <c r="B46" s="53" t="str">
        <f t="shared" si="0"/>
        <v xml:space="preserve"> </v>
      </c>
      <c r="C46" s="53">
        <f>MAX(0,$L$13-SUMIFS('Product Backlog'!$I$5:$I$504,'Product Backlog'!$G$5:$G$504,"&lt;="&amp;A46,'Product Backlog'!$G$5:$G$504,"&gt;0",'Product Backlog'!$I$5:$I$504,"&gt;0"))</f>
        <v>815</v>
      </c>
      <c r="D46" s="53">
        <f>SUMIFS('Product Backlog'!$I$5:$I$504,'Product Backlog'!$G$5:$G$504,A46,'Product Backlog'!$G$5:$G$504,"&gt;0",'Product Backlog'!$I$5:$I$504,"&gt;0")</f>
        <v>0</v>
      </c>
      <c r="E46" s="55">
        <f t="shared" si="1"/>
        <v>761.90476190476193</v>
      </c>
      <c r="F46" s="54"/>
      <c r="G46" s="54"/>
      <c r="H46" s="54"/>
      <c r="I46" s="54"/>
      <c r="P46" t="str">
        <f t="shared" si="2"/>
        <v xml:space="preserve"> </v>
      </c>
      <c r="Q46" s="56">
        <f t="shared" si="3"/>
        <v>815</v>
      </c>
      <c r="R46" s="56">
        <f t="shared" si="4"/>
        <v>761.90476190476193</v>
      </c>
    </row>
    <row r="47" spans="1:18" x14ac:dyDescent="0.15">
      <c r="A47" s="52">
        <f>$L$5+21</f>
        <v>46295</v>
      </c>
      <c r="B47" s="53" t="str">
        <f t="shared" si="0"/>
        <v>9/30</v>
      </c>
      <c r="C47" s="53">
        <f>MAX(0,$L$13-SUMIFS('Product Backlog'!$I$5:$I$504,'Product Backlog'!$G$5:$G$504,"&lt;="&amp;A47,'Product Backlog'!$G$5:$G$504,"&gt;0",'Product Backlog'!$I$5:$I$504,"&gt;0"))</f>
        <v>765</v>
      </c>
      <c r="D47" s="53">
        <f>SUMIFS('Product Backlog'!$I$5:$I$504,'Product Backlog'!$G$5:$G$504,A47,'Product Backlog'!$G$5:$G$504,"&gt;0",'Product Backlog'!$I$5:$I$504,"&gt;0")</f>
        <v>50</v>
      </c>
      <c r="E47" s="55">
        <f t="shared" si="1"/>
        <v>750</v>
      </c>
      <c r="F47" s="54"/>
      <c r="G47" s="54"/>
      <c r="H47" s="54"/>
      <c r="I47" s="54"/>
      <c r="P47" t="str">
        <f t="shared" si="2"/>
        <v>9/30</v>
      </c>
      <c r="Q47" s="56">
        <f t="shared" si="3"/>
        <v>765</v>
      </c>
      <c r="R47" s="56">
        <f t="shared" si="4"/>
        <v>750</v>
      </c>
    </row>
    <row r="48" spans="1:18" x14ac:dyDescent="0.15">
      <c r="A48" s="52">
        <f>$L$5+22</f>
        <v>46296</v>
      </c>
      <c r="B48" s="53" t="str">
        <f t="shared" si="0"/>
        <v xml:space="preserve"> </v>
      </c>
      <c r="C48" s="53">
        <f>MAX(0,$L$13-SUMIFS('Product Backlog'!$I$5:$I$504,'Product Backlog'!$G$5:$G$504,"&lt;="&amp;A48,'Product Backlog'!$G$5:$G$504,"&gt;0",'Product Backlog'!$I$5:$I$504,"&gt;0"))</f>
        <v>765</v>
      </c>
      <c r="D48" s="53">
        <f>SUMIFS('Product Backlog'!$I$5:$I$504,'Product Backlog'!$G$5:$G$504,A48,'Product Backlog'!$G$5:$G$504,"&gt;0",'Product Backlog'!$I$5:$I$504,"&gt;0")</f>
        <v>0</v>
      </c>
      <c r="E48" s="55">
        <f t="shared" si="1"/>
        <v>738.09523809523807</v>
      </c>
      <c r="F48" s="54"/>
      <c r="G48" s="54"/>
      <c r="H48" s="54"/>
      <c r="I48" s="54"/>
      <c r="P48" t="str">
        <f t="shared" si="2"/>
        <v xml:space="preserve"> </v>
      </c>
      <c r="Q48" s="56">
        <f t="shared" si="3"/>
        <v>765</v>
      </c>
      <c r="R48" s="56">
        <f t="shared" si="4"/>
        <v>738.09523809523807</v>
      </c>
    </row>
    <row r="49" spans="1:18" x14ac:dyDescent="0.15">
      <c r="A49" s="52">
        <f>$L$5+23</f>
        <v>46297</v>
      </c>
      <c r="B49" s="53" t="str">
        <f t="shared" si="0"/>
        <v xml:space="preserve"> </v>
      </c>
      <c r="C49" s="53">
        <f>MAX(0,$L$13-SUMIFS('Product Backlog'!$I$5:$I$504,'Product Backlog'!$G$5:$G$504,"&lt;="&amp;A49,'Product Backlog'!$G$5:$G$504,"&gt;0",'Product Backlog'!$I$5:$I$504,"&gt;0"))</f>
        <v>765</v>
      </c>
      <c r="D49" s="53">
        <f>SUMIFS('Product Backlog'!$I$5:$I$504,'Product Backlog'!$G$5:$G$504,A49,'Product Backlog'!$G$5:$G$504,"&gt;0",'Product Backlog'!$I$5:$I$504,"&gt;0")</f>
        <v>0</v>
      </c>
      <c r="E49" s="55">
        <f t="shared" si="1"/>
        <v>726.19047619047615</v>
      </c>
      <c r="F49" s="54"/>
      <c r="G49" s="54"/>
      <c r="H49" s="54"/>
      <c r="I49" s="54"/>
      <c r="P49" t="str">
        <f t="shared" si="2"/>
        <v xml:space="preserve"> </v>
      </c>
      <c r="Q49" s="56">
        <f t="shared" si="3"/>
        <v>765</v>
      </c>
      <c r="R49" s="56">
        <f t="shared" si="4"/>
        <v>726.19047619047615</v>
      </c>
    </row>
    <row r="50" spans="1:18" x14ac:dyDescent="0.15">
      <c r="A50" s="52">
        <f>$L$5+24</f>
        <v>46298</v>
      </c>
      <c r="B50" s="53" t="str">
        <f t="shared" si="0"/>
        <v xml:space="preserve"> </v>
      </c>
      <c r="C50" s="53">
        <f>MAX(0,$L$13-SUMIFS('Product Backlog'!$I$5:$I$504,'Product Backlog'!$G$5:$G$504,"&lt;="&amp;A50,'Product Backlog'!$G$5:$G$504,"&gt;0",'Product Backlog'!$I$5:$I$504,"&gt;0"))</f>
        <v>765</v>
      </c>
      <c r="D50" s="53">
        <f>SUMIFS('Product Backlog'!$I$5:$I$504,'Product Backlog'!$G$5:$G$504,A50,'Product Backlog'!$G$5:$G$504,"&gt;0",'Product Backlog'!$I$5:$I$504,"&gt;0")</f>
        <v>0</v>
      </c>
      <c r="E50" s="55">
        <f t="shared" si="1"/>
        <v>714.28571428571433</v>
      </c>
      <c r="F50" s="54"/>
      <c r="G50" s="54"/>
      <c r="H50" s="54"/>
      <c r="I50" s="54"/>
      <c r="P50" t="str">
        <f t="shared" si="2"/>
        <v xml:space="preserve"> </v>
      </c>
      <c r="Q50" s="56">
        <f t="shared" si="3"/>
        <v>765</v>
      </c>
      <c r="R50" s="56">
        <f t="shared" si="4"/>
        <v>714.28571428571433</v>
      </c>
    </row>
    <row r="51" spans="1:18" x14ac:dyDescent="0.15">
      <c r="A51" s="52">
        <f>$L$5+25</f>
        <v>46299</v>
      </c>
      <c r="B51" s="53" t="str">
        <f t="shared" si="0"/>
        <v xml:space="preserve"> </v>
      </c>
      <c r="C51" s="53">
        <f>MAX(0,$L$13-SUMIFS('Product Backlog'!$I$5:$I$504,'Product Backlog'!$G$5:$G$504,"&lt;="&amp;A51,'Product Backlog'!$G$5:$G$504,"&gt;0",'Product Backlog'!$I$5:$I$504,"&gt;0"))</f>
        <v>765</v>
      </c>
      <c r="D51" s="53">
        <f>SUMIFS('Product Backlog'!$I$5:$I$504,'Product Backlog'!$G$5:$G$504,A51,'Product Backlog'!$G$5:$G$504,"&gt;0",'Product Backlog'!$I$5:$I$504,"&gt;0")</f>
        <v>0</v>
      </c>
      <c r="E51" s="55">
        <f t="shared" si="1"/>
        <v>702.38095238095241</v>
      </c>
      <c r="F51" s="54"/>
      <c r="G51" s="54"/>
      <c r="H51" s="54"/>
      <c r="I51" s="54"/>
      <c r="P51" t="str">
        <f t="shared" si="2"/>
        <v xml:space="preserve"> </v>
      </c>
      <c r="Q51" s="56">
        <f t="shared" si="3"/>
        <v>765</v>
      </c>
      <c r="R51" s="56">
        <f t="shared" si="4"/>
        <v>702.38095238095241</v>
      </c>
    </row>
    <row r="52" spans="1:18" x14ac:dyDescent="0.15">
      <c r="A52" s="52">
        <f>$L$5+26</f>
        <v>46300</v>
      </c>
      <c r="B52" s="53" t="str">
        <f t="shared" si="0"/>
        <v xml:space="preserve"> </v>
      </c>
      <c r="C52" s="53">
        <f>MAX(0,$L$13-SUMIFS('Product Backlog'!$I$5:$I$504,'Product Backlog'!$G$5:$G$504,"&lt;="&amp;A52,'Product Backlog'!$G$5:$G$504,"&gt;0",'Product Backlog'!$I$5:$I$504,"&gt;0"))</f>
        <v>765</v>
      </c>
      <c r="D52" s="53">
        <f>SUMIFS('Product Backlog'!$I$5:$I$504,'Product Backlog'!$G$5:$G$504,A52,'Product Backlog'!$G$5:$G$504,"&gt;0",'Product Backlog'!$I$5:$I$504,"&gt;0")</f>
        <v>0</v>
      </c>
      <c r="E52" s="55">
        <f t="shared" si="1"/>
        <v>690.47619047619048</v>
      </c>
      <c r="F52" s="54"/>
      <c r="G52" s="54"/>
      <c r="H52" s="54"/>
      <c r="I52" s="54"/>
      <c r="P52" t="str">
        <f t="shared" si="2"/>
        <v xml:space="preserve"> </v>
      </c>
      <c r="Q52" s="56">
        <f t="shared" si="3"/>
        <v>765</v>
      </c>
      <c r="R52" s="56">
        <f t="shared" si="4"/>
        <v>690.47619047619048</v>
      </c>
    </row>
    <row r="53" spans="1:18" x14ac:dyDescent="0.15">
      <c r="A53" s="52">
        <f>$L$5+27</f>
        <v>46301</v>
      </c>
      <c r="B53" s="53" t="str">
        <f t="shared" si="0"/>
        <v xml:space="preserve"> </v>
      </c>
      <c r="C53" s="53">
        <f>MAX(0,$L$13-SUMIFS('Product Backlog'!$I$5:$I$504,'Product Backlog'!$G$5:$G$504,"&lt;="&amp;A53,'Product Backlog'!$G$5:$G$504,"&gt;0",'Product Backlog'!$I$5:$I$504,"&gt;0"))</f>
        <v>765</v>
      </c>
      <c r="D53" s="53">
        <f>SUMIFS('Product Backlog'!$I$5:$I$504,'Product Backlog'!$G$5:$G$504,A53,'Product Backlog'!$G$5:$G$504,"&gt;0",'Product Backlog'!$I$5:$I$504,"&gt;0")</f>
        <v>0</v>
      </c>
      <c r="E53" s="55">
        <f t="shared" si="1"/>
        <v>678.57142857142856</v>
      </c>
      <c r="F53" s="54"/>
      <c r="G53" s="54"/>
      <c r="H53" s="54"/>
      <c r="I53" s="54"/>
      <c r="P53" t="str">
        <f t="shared" si="2"/>
        <v xml:space="preserve"> </v>
      </c>
      <c r="Q53" s="56">
        <f t="shared" si="3"/>
        <v>765</v>
      </c>
      <c r="R53" s="56">
        <f t="shared" si="4"/>
        <v>678.57142857142856</v>
      </c>
    </row>
    <row r="54" spans="1:18" x14ac:dyDescent="0.15">
      <c r="A54" s="52">
        <f>$L$5+28</f>
        <v>46302</v>
      </c>
      <c r="B54" s="53" t="str">
        <f t="shared" si="0"/>
        <v>Sprint 3 (10/7)</v>
      </c>
      <c r="C54" s="53">
        <f>MAX(0,$L$13-SUMIFS('Product Backlog'!$I$5:$I$504,'Product Backlog'!$G$5:$G$504,"&lt;="&amp;A54,'Product Backlog'!$G$5:$G$504,"&gt;0",'Product Backlog'!$I$5:$I$504,"&gt;0"))</f>
        <v>765</v>
      </c>
      <c r="D54" s="53">
        <f>SUMIFS('Product Backlog'!$I$5:$I$504,'Product Backlog'!$G$5:$G$504,A54,'Product Backlog'!$G$5:$G$504,"&gt;0",'Product Backlog'!$I$5:$I$504,"&gt;0")</f>
        <v>0</v>
      </c>
      <c r="E54" s="55">
        <f t="shared" si="1"/>
        <v>666.66666666666663</v>
      </c>
      <c r="F54" s="54"/>
      <c r="G54" s="54"/>
      <c r="H54" s="54"/>
      <c r="I54" s="54"/>
      <c r="P54" t="str">
        <f t="shared" si="2"/>
        <v>Sprint 3 (10/7)</v>
      </c>
      <c r="Q54" s="56">
        <f t="shared" si="3"/>
        <v>765</v>
      </c>
      <c r="R54" s="56">
        <f t="shared" si="4"/>
        <v>666.66666666666663</v>
      </c>
    </row>
    <row r="55" spans="1:18" x14ac:dyDescent="0.15">
      <c r="A55" s="52">
        <f>$L$5+29</f>
        <v>46303</v>
      </c>
      <c r="B55" s="53" t="str">
        <f t="shared" si="0"/>
        <v xml:space="preserve"> </v>
      </c>
      <c r="C55" s="53">
        <f>MAX(0,$L$13-SUMIFS('Product Backlog'!$I$5:$I$504,'Product Backlog'!$G$5:$G$504,"&lt;="&amp;A55,'Product Backlog'!$G$5:$G$504,"&gt;0",'Product Backlog'!$I$5:$I$504,"&gt;0"))</f>
        <v>765</v>
      </c>
      <c r="D55" s="53">
        <f>SUMIFS('Product Backlog'!$I$5:$I$504,'Product Backlog'!$G$5:$G$504,A55,'Product Backlog'!$G$5:$G$504,"&gt;0",'Product Backlog'!$I$5:$I$504,"&gt;0")</f>
        <v>0</v>
      </c>
      <c r="E55" s="55">
        <f t="shared" si="1"/>
        <v>654.76190476190482</v>
      </c>
      <c r="F55" s="54"/>
      <c r="G55" s="54"/>
      <c r="H55" s="54"/>
      <c r="I55" s="54"/>
      <c r="P55" t="str">
        <f t="shared" si="2"/>
        <v xml:space="preserve"> </v>
      </c>
      <c r="Q55" s="56">
        <f t="shared" si="3"/>
        <v>765</v>
      </c>
      <c r="R55" s="56">
        <f t="shared" si="4"/>
        <v>654.76190476190482</v>
      </c>
    </row>
    <row r="56" spans="1:18" x14ac:dyDescent="0.15">
      <c r="A56" s="52">
        <f>$L$5+30</f>
        <v>46304</v>
      </c>
      <c r="B56" s="53" t="str">
        <f t="shared" si="0"/>
        <v>10/9</v>
      </c>
      <c r="C56" s="53">
        <f>MAX(0,$L$13-SUMIFS('Product Backlog'!$I$5:$I$504,'Product Backlog'!$G$5:$G$504,"&lt;="&amp;A56,'Product Backlog'!$G$5:$G$504,"&gt;0",'Product Backlog'!$I$5:$I$504,"&gt;0"))</f>
        <v>730</v>
      </c>
      <c r="D56" s="53">
        <f>SUMIFS('Product Backlog'!$I$5:$I$504,'Product Backlog'!$G$5:$G$504,A56,'Product Backlog'!$G$5:$G$504,"&gt;0",'Product Backlog'!$I$5:$I$504,"&gt;0")</f>
        <v>35</v>
      </c>
      <c r="E56" s="55">
        <f t="shared" si="1"/>
        <v>642.85714285714289</v>
      </c>
      <c r="F56" s="54"/>
      <c r="G56" s="54"/>
      <c r="H56" s="54"/>
      <c r="I56" s="54"/>
      <c r="P56" t="str">
        <f t="shared" si="2"/>
        <v>10/9</v>
      </c>
      <c r="Q56" s="56">
        <f t="shared" si="3"/>
        <v>730</v>
      </c>
      <c r="R56" s="56">
        <f t="shared" si="4"/>
        <v>642.85714285714289</v>
      </c>
    </row>
    <row r="57" spans="1:18" x14ac:dyDescent="0.15">
      <c r="A57" s="52">
        <f>$L$5+31</f>
        <v>46305</v>
      </c>
      <c r="B57" s="53" t="str">
        <f t="shared" si="0"/>
        <v xml:space="preserve"> </v>
      </c>
      <c r="C57" s="53">
        <f>MAX(0,$L$13-SUMIFS('Product Backlog'!$I$5:$I$504,'Product Backlog'!$G$5:$G$504,"&lt;="&amp;A57,'Product Backlog'!$G$5:$G$504,"&gt;0",'Product Backlog'!$I$5:$I$504,"&gt;0"))</f>
        <v>730</v>
      </c>
      <c r="D57" s="53">
        <f>SUMIFS('Product Backlog'!$I$5:$I$504,'Product Backlog'!$G$5:$G$504,A57,'Product Backlog'!$G$5:$G$504,"&gt;0",'Product Backlog'!$I$5:$I$504,"&gt;0")</f>
        <v>0</v>
      </c>
      <c r="E57" s="55">
        <f t="shared" si="1"/>
        <v>630.95238095238096</v>
      </c>
      <c r="F57" s="54"/>
      <c r="G57" s="54"/>
      <c r="H57" s="54"/>
      <c r="I57" s="54"/>
      <c r="P57" t="str">
        <f t="shared" si="2"/>
        <v xml:space="preserve"> </v>
      </c>
      <c r="Q57" s="56">
        <f t="shared" si="3"/>
        <v>730</v>
      </c>
      <c r="R57" s="56">
        <f t="shared" si="4"/>
        <v>630.95238095238096</v>
      </c>
    </row>
    <row r="58" spans="1:18" x14ac:dyDescent="0.15">
      <c r="A58" s="52">
        <f>$L$5+32</f>
        <v>46306</v>
      </c>
      <c r="B58" s="53" t="str">
        <f t="shared" ref="B58:B89" si="5">IF(A58=$L$5,"Sprint 1 ("&amp;TEXT(A58,"m/d")&amp;")",IF(A58=$L$6,"Sprint 2 ("&amp;TEXT(A58,"m/d")&amp;")",IF(A58=$L$7,"Sprint 3 ("&amp;TEXT(A58,"m/d")&amp;")",IF(A58=$L$8,"Sprint 4 ("&amp;TEXT(A58,"m/d")&amp;")",IF(A58=$L$9,"Sprint 5 ("&amp;TEXT(A58,"m/d")&amp;")",IF(A58=$L$10,"Sprint 6 ("&amp;TEXT(A58,"m/d")&amp;")",IF(A58=$M$10,"Sprint 6 end ("&amp;TEXT(A58,"m/d")&amp;")",IF(D58&gt;0,TEXT(A58,"m/d")," "))))))))</f>
        <v xml:space="preserve"> </v>
      </c>
      <c r="C58" s="53">
        <f>MAX(0,$L$13-SUMIFS('Product Backlog'!$I$5:$I$504,'Product Backlog'!$G$5:$G$504,"&lt;="&amp;A58,'Product Backlog'!$G$5:$G$504,"&gt;0",'Product Backlog'!$I$5:$I$504,"&gt;0"))</f>
        <v>730</v>
      </c>
      <c r="D58" s="53">
        <f>SUMIFS('Product Backlog'!$I$5:$I$504,'Product Backlog'!$G$5:$G$504,A58,'Product Backlog'!$G$5:$G$504,"&gt;0",'Product Backlog'!$I$5:$I$504,"&gt;0")</f>
        <v>0</v>
      </c>
      <c r="E58" s="55">
        <f t="shared" ref="E58:E89" si="6">MAX(0,MIN($L$13,$L$13*($M$10-A58)/($M$10-$L$5)))</f>
        <v>619.04761904761904</v>
      </c>
      <c r="F58" s="54"/>
      <c r="G58" s="54"/>
      <c r="H58" s="54"/>
      <c r="I58" s="54"/>
      <c r="P58" t="str">
        <f t="shared" ref="P58:P89" si="7">B58</f>
        <v xml:space="preserve"> </v>
      </c>
      <c r="Q58" s="56">
        <f t="shared" ref="Q58:Q89" si="8">C58</f>
        <v>730</v>
      </c>
      <c r="R58" s="56">
        <f t="shared" ref="R58:R89" si="9">E58</f>
        <v>619.04761904761904</v>
      </c>
    </row>
    <row r="59" spans="1:18" x14ac:dyDescent="0.15">
      <c r="A59" s="52">
        <f>$L$5+33</f>
        <v>46307</v>
      </c>
      <c r="B59" s="53" t="str">
        <f t="shared" si="5"/>
        <v xml:space="preserve"> </v>
      </c>
      <c r="C59" s="53">
        <f>MAX(0,$L$13-SUMIFS('Product Backlog'!$I$5:$I$504,'Product Backlog'!$G$5:$G$504,"&lt;="&amp;A59,'Product Backlog'!$G$5:$G$504,"&gt;0",'Product Backlog'!$I$5:$I$504,"&gt;0"))</f>
        <v>730</v>
      </c>
      <c r="D59" s="53">
        <f>SUMIFS('Product Backlog'!$I$5:$I$504,'Product Backlog'!$G$5:$G$504,A59,'Product Backlog'!$G$5:$G$504,"&gt;0",'Product Backlog'!$I$5:$I$504,"&gt;0")</f>
        <v>0</v>
      </c>
      <c r="E59" s="55">
        <f t="shared" si="6"/>
        <v>607.14285714285711</v>
      </c>
      <c r="F59" s="54"/>
      <c r="G59" s="54"/>
      <c r="H59" s="54"/>
      <c r="I59" s="54"/>
      <c r="P59" t="str">
        <f t="shared" si="7"/>
        <v xml:space="preserve"> </v>
      </c>
      <c r="Q59" s="56">
        <f t="shared" si="8"/>
        <v>730</v>
      </c>
      <c r="R59" s="56">
        <f t="shared" si="9"/>
        <v>607.14285714285711</v>
      </c>
    </row>
    <row r="60" spans="1:18" x14ac:dyDescent="0.15">
      <c r="A60" s="52">
        <f>$L$5+34</f>
        <v>46308</v>
      </c>
      <c r="B60" s="53" t="str">
        <f t="shared" si="5"/>
        <v xml:space="preserve"> </v>
      </c>
      <c r="C60" s="53">
        <f>MAX(0,$L$13-SUMIFS('Product Backlog'!$I$5:$I$504,'Product Backlog'!$G$5:$G$504,"&lt;="&amp;A60,'Product Backlog'!$G$5:$G$504,"&gt;0",'Product Backlog'!$I$5:$I$504,"&gt;0"))</f>
        <v>730</v>
      </c>
      <c r="D60" s="53">
        <f>SUMIFS('Product Backlog'!$I$5:$I$504,'Product Backlog'!$G$5:$G$504,A60,'Product Backlog'!$G$5:$G$504,"&gt;0",'Product Backlog'!$I$5:$I$504,"&gt;0")</f>
        <v>0</v>
      </c>
      <c r="E60" s="55">
        <f t="shared" si="6"/>
        <v>595.23809523809518</v>
      </c>
      <c r="F60" s="54"/>
      <c r="G60" s="54"/>
      <c r="H60" s="54"/>
      <c r="I60" s="54"/>
      <c r="P60" t="str">
        <f t="shared" si="7"/>
        <v xml:space="preserve"> </v>
      </c>
      <c r="Q60" s="56">
        <f t="shared" si="8"/>
        <v>730</v>
      </c>
      <c r="R60" s="56">
        <f t="shared" si="9"/>
        <v>595.23809523809518</v>
      </c>
    </row>
    <row r="61" spans="1:18" x14ac:dyDescent="0.15">
      <c r="A61" s="52">
        <f>$L$5+35</f>
        <v>46309</v>
      </c>
      <c r="B61" s="53" t="str">
        <f t="shared" si="5"/>
        <v>10/14</v>
      </c>
      <c r="C61" s="53">
        <f>MAX(0,$L$13-SUMIFS('Product Backlog'!$I$5:$I$504,'Product Backlog'!$G$5:$G$504,"&lt;="&amp;A61,'Product Backlog'!$G$5:$G$504,"&gt;0",'Product Backlog'!$I$5:$I$504,"&gt;0"))</f>
        <v>605</v>
      </c>
      <c r="D61" s="53">
        <f>SUMIFS('Product Backlog'!$I$5:$I$504,'Product Backlog'!$G$5:$G$504,A61,'Product Backlog'!$G$5:$G$504,"&gt;0",'Product Backlog'!$I$5:$I$504,"&gt;0")</f>
        <v>125</v>
      </c>
      <c r="E61" s="55">
        <f t="shared" si="6"/>
        <v>583.33333333333337</v>
      </c>
      <c r="F61" s="54"/>
      <c r="G61" s="54"/>
      <c r="H61" s="54"/>
      <c r="I61" s="54"/>
      <c r="P61" t="str">
        <f t="shared" si="7"/>
        <v>10/14</v>
      </c>
      <c r="Q61" s="56">
        <f t="shared" si="8"/>
        <v>605</v>
      </c>
      <c r="R61" s="56">
        <f t="shared" si="9"/>
        <v>583.33333333333337</v>
      </c>
    </row>
    <row r="62" spans="1:18" x14ac:dyDescent="0.15">
      <c r="A62" s="52">
        <f>$L$5+36</f>
        <v>46310</v>
      </c>
      <c r="B62" s="53" t="str">
        <f t="shared" si="5"/>
        <v xml:space="preserve"> </v>
      </c>
      <c r="C62" s="53">
        <f>MAX(0,$L$13-SUMIFS('Product Backlog'!$I$5:$I$504,'Product Backlog'!$G$5:$G$504,"&lt;="&amp;A62,'Product Backlog'!$G$5:$G$504,"&gt;0",'Product Backlog'!$I$5:$I$504,"&gt;0"))</f>
        <v>605</v>
      </c>
      <c r="D62" s="53">
        <f>SUMIFS('Product Backlog'!$I$5:$I$504,'Product Backlog'!$G$5:$G$504,A62,'Product Backlog'!$G$5:$G$504,"&gt;0",'Product Backlog'!$I$5:$I$504,"&gt;0")</f>
        <v>0</v>
      </c>
      <c r="E62" s="55">
        <f t="shared" si="6"/>
        <v>571.42857142857144</v>
      </c>
      <c r="F62" s="54"/>
      <c r="G62" s="54"/>
      <c r="H62" s="54"/>
      <c r="I62" s="54"/>
      <c r="P62" t="str">
        <f t="shared" si="7"/>
        <v xml:space="preserve"> </v>
      </c>
      <c r="Q62" s="56">
        <f t="shared" si="8"/>
        <v>605</v>
      </c>
      <c r="R62" s="56">
        <f t="shared" si="9"/>
        <v>571.42857142857144</v>
      </c>
    </row>
    <row r="63" spans="1:18" x14ac:dyDescent="0.15">
      <c r="A63" s="52">
        <f>$L$5+37</f>
        <v>46311</v>
      </c>
      <c r="B63" s="53" t="str">
        <f t="shared" si="5"/>
        <v xml:space="preserve"> </v>
      </c>
      <c r="C63" s="53">
        <f>MAX(0,$L$13-SUMIFS('Product Backlog'!$I$5:$I$504,'Product Backlog'!$G$5:$G$504,"&lt;="&amp;A63,'Product Backlog'!$G$5:$G$504,"&gt;0",'Product Backlog'!$I$5:$I$504,"&gt;0"))</f>
        <v>605</v>
      </c>
      <c r="D63" s="53">
        <f>SUMIFS('Product Backlog'!$I$5:$I$504,'Product Backlog'!$G$5:$G$504,A63,'Product Backlog'!$G$5:$G$504,"&gt;0",'Product Backlog'!$I$5:$I$504,"&gt;0")</f>
        <v>0</v>
      </c>
      <c r="E63" s="55">
        <f t="shared" si="6"/>
        <v>559.52380952380952</v>
      </c>
      <c r="F63" s="54"/>
      <c r="G63" s="54"/>
      <c r="H63" s="54"/>
      <c r="I63" s="54"/>
      <c r="P63" t="str">
        <f t="shared" si="7"/>
        <v xml:space="preserve"> </v>
      </c>
      <c r="Q63" s="56">
        <f t="shared" si="8"/>
        <v>605</v>
      </c>
      <c r="R63" s="56">
        <f t="shared" si="9"/>
        <v>559.52380952380952</v>
      </c>
    </row>
    <row r="64" spans="1:18" x14ac:dyDescent="0.15">
      <c r="A64" s="52">
        <f>$L$5+38</f>
        <v>46312</v>
      </c>
      <c r="B64" s="53" t="str">
        <f t="shared" si="5"/>
        <v xml:space="preserve"> </v>
      </c>
      <c r="C64" s="53">
        <f>MAX(0,$L$13-SUMIFS('Product Backlog'!$I$5:$I$504,'Product Backlog'!$G$5:$G$504,"&lt;="&amp;A64,'Product Backlog'!$G$5:$G$504,"&gt;0",'Product Backlog'!$I$5:$I$504,"&gt;0"))</f>
        <v>605</v>
      </c>
      <c r="D64" s="53">
        <f>SUMIFS('Product Backlog'!$I$5:$I$504,'Product Backlog'!$G$5:$G$504,A64,'Product Backlog'!$G$5:$G$504,"&gt;0",'Product Backlog'!$I$5:$I$504,"&gt;0")</f>
        <v>0</v>
      </c>
      <c r="E64" s="55">
        <f t="shared" si="6"/>
        <v>547.61904761904759</v>
      </c>
      <c r="F64" s="54"/>
      <c r="G64" s="54"/>
      <c r="H64" s="54"/>
      <c r="I64" s="54"/>
      <c r="P64" t="str">
        <f t="shared" si="7"/>
        <v xml:space="preserve"> </v>
      </c>
      <c r="Q64" s="56">
        <f t="shared" si="8"/>
        <v>605</v>
      </c>
      <c r="R64" s="56">
        <f t="shared" si="9"/>
        <v>547.61904761904759</v>
      </c>
    </row>
    <row r="65" spans="1:18" x14ac:dyDescent="0.15">
      <c r="A65" s="52">
        <f>$L$5+39</f>
        <v>46313</v>
      </c>
      <c r="B65" s="53" t="str">
        <f t="shared" si="5"/>
        <v xml:space="preserve"> </v>
      </c>
      <c r="C65" s="53">
        <f>MAX(0,$L$13-SUMIFS('Product Backlog'!$I$5:$I$504,'Product Backlog'!$G$5:$G$504,"&lt;="&amp;A65,'Product Backlog'!$G$5:$G$504,"&gt;0",'Product Backlog'!$I$5:$I$504,"&gt;0"))</f>
        <v>605</v>
      </c>
      <c r="D65" s="53">
        <f>SUMIFS('Product Backlog'!$I$5:$I$504,'Product Backlog'!$G$5:$G$504,A65,'Product Backlog'!$G$5:$G$504,"&gt;0",'Product Backlog'!$I$5:$I$504,"&gt;0")</f>
        <v>0</v>
      </c>
      <c r="E65" s="55">
        <f t="shared" si="6"/>
        <v>535.71428571428567</v>
      </c>
      <c r="F65" s="54"/>
      <c r="G65" s="54"/>
      <c r="H65" s="54"/>
      <c r="I65" s="54"/>
      <c r="P65" t="str">
        <f t="shared" si="7"/>
        <v xml:space="preserve"> </v>
      </c>
      <c r="Q65" s="56">
        <f t="shared" si="8"/>
        <v>605</v>
      </c>
      <c r="R65" s="56">
        <f t="shared" si="9"/>
        <v>535.71428571428567</v>
      </c>
    </row>
    <row r="66" spans="1:18" x14ac:dyDescent="0.15">
      <c r="A66" s="52">
        <f>$L$5+40</f>
        <v>46314</v>
      </c>
      <c r="B66" s="53" t="str">
        <f t="shared" si="5"/>
        <v xml:space="preserve"> </v>
      </c>
      <c r="C66" s="53">
        <f>MAX(0,$L$13-SUMIFS('Product Backlog'!$I$5:$I$504,'Product Backlog'!$G$5:$G$504,"&lt;="&amp;A66,'Product Backlog'!$G$5:$G$504,"&gt;0",'Product Backlog'!$I$5:$I$504,"&gt;0"))</f>
        <v>605</v>
      </c>
      <c r="D66" s="53">
        <f>SUMIFS('Product Backlog'!$I$5:$I$504,'Product Backlog'!$G$5:$G$504,A66,'Product Backlog'!$G$5:$G$504,"&gt;0",'Product Backlog'!$I$5:$I$504,"&gt;0")</f>
        <v>0</v>
      </c>
      <c r="E66" s="55">
        <f t="shared" si="6"/>
        <v>523.80952380952385</v>
      </c>
      <c r="F66" s="54"/>
      <c r="G66" s="54"/>
      <c r="H66" s="54"/>
      <c r="I66" s="54"/>
      <c r="P66" t="str">
        <f t="shared" si="7"/>
        <v xml:space="preserve"> </v>
      </c>
      <c r="Q66" s="56">
        <f t="shared" si="8"/>
        <v>605</v>
      </c>
      <c r="R66" s="56">
        <f t="shared" si="9"/>
        <v>523.80952380952385</v>
      </c>
    </row>
    <row r="67" spans="1:18" x14ac:dyDescent="0.15">
      <c r="A67" s="52">
        <f>$L$5+41</f>
        <v>46315</v>
      </c>
      <c r="B67" s="53" t="str">
        <f t="shared" si="5"/>
        <v xml:space="preserve"> </v>
      </c>
      <c r="C67" s="53">
        <f>MAX(0,$L$13-SUMIFS('Product Backlog'!$I$5:$I$504,'Product Backlog'!$G$5:$G$504,"&lt;="&amp;A67,'Product Backlog'!$G$5:$G$504,"&gt;0",'Product Backlog'!$I$5:$I$504,"&gt;0"))</f>
        <v>605</v>
      </c>
      <c r="D67" s="53">
        <f>SUMIFS('Product Backlog'!$I$5:$I$504,'Product Backlog'!$G$5:$G$504,A67,'Product Backlog'!$G$5:$G$504,"&gt;0",'Product Backlog'!$I$5:$I$504,"&gt;0")</f>
        <v>0</v>
      </c>
      <c r="E67" s="55">
        <f t="shared" si="6"/>
        <v>511.90476190476193</v>
      </c>
      <c r="F67" s="54"/>
      <c r="G67" s="54"/>
      <c r="H67" s="54"/>
      <c r="I67" s="54"/>
      <c r="P67" t="str">
        <f t="shared" si="7"/>
        <v xml:space="preserve"> </v>
      </c>
      <c r="Q67" s="56">
        <f t="shared" si="8"/>
        <v>605</v>
      </c>
      <c r="R67" s="56">
        <f t="shared" si="9"/>
        <v>511.90476190476193</v>
      </c>
    </row>
    <row r="68" spans="1:18" x14ac:dyDescent="0.15">
      <c r="A68" s="52">
        <f>$L$5+42</f>
        <v>46316</v>
      </c>
      <c r="B68" s="53" t="str">
        <f t="shared" si="5"/>
        <v>Sprint 4 (10/21)</v>
      </c>
      <c r="C68" s="53">
        <f>MAX(0,$L$13-SUMIFS('Product Backlog'!$I$5:$I$504,'Product Backlog'!$G$5:$G$504,"&lt;="&amp;A68,'Product Backlog'!$G$5:$G$504,"&gt;0",'Product Backlog'!$I$5:$I$504,"&gt;0"))</f>
        <v>605</v>
      </c>
      <c r="D68" s="53">
        <f>SUMIFS('Product Backlog'!$I$5:$I$504,'Product Backlog'!$G$5:$G$504,A68,'Product Backlog'!$G$5:$G$504,"&gt;0",'Product Backlog'!$I$5:$I$504,"&gt;0")</f>
        <v>0</v>
      </c>
      <c r="E68" s="55">
        <f t="shared" si="6"/>
        <v>500</v>
      </c>
      <c r="F68" s="54"/>
      <c r="G68" s="54"/>
      <c r="H68" s="54"/>
      <c r="I68" s="54"/>
      <c r="P68" t="str">
        <f t="shared" si="7"/>
        <v>Sprint 4 (10/21)</v>
      </c>
      <c r="Q68" s="56">
        <f t="shared" si="8"/>
        <v>605</v>
      </c>
      <c r="R68" s="56">
        <f t="shared" si="9"/>
        <v>500</v>
      </c>
    </row>
    <row r="69" spans="1:18" x14ac:dyDescent="0.15">
      <c r="A69" s="52">
        <f>$L$5+43</f>
        <v>46317</v>
      </c>
      <c r="B69" s="53" t="str">
        <f t="shared" si="5"/>
        <v xml:space="preserve"> </v>
      </c>
      <c r="C69" s="53">
        <f>MAX(0,$L$13-SUMIFS('Product Backlog'!$I$5:$I$504,'Product Backlog'!$G$5:$G$504,"&lt;="&amp;A69,'Product Backlog'!$G$5:$G$504,"&gt;0",'Product Backlog'!$I$5:$I$504,"&gt;0"))</f>
        <v>605</v>
      </c>
      <c r="D69" s="53">
        <f>SUMIFS('Product Backlog'!$I$5:$I$504,'Product Backlog'!$G$5:$G$504,A69,'Product Backlog'!$G$5:$G$504,"&gt;0",'Product Backlog'!$I$5:$I$504,"&gt;0")</f>
        <v>0</v>
      </c>
      <c r="E69" s="55">
        <f t="shared" si="6"/>
        <v>488.09523809523807</v>
      </c>
      <c r="F69" s="54"/>
      <c r="G69" s="54"/>
      <c r="H69" s="54"/>
      <c r="I69" s="54"/>
      <c r="P69" t="str">
        <f t="shared" si="7"/>
        <v xml:space="preserve"> </v>
      </c>
      <c r="Q69" s="56">
        <f t="shared" si="8"/>
        <v>605</v>
      </c>
      <c r="R69" s="56">
        <f t="shared" si="9"/>
        <v>488.09523809523807</v>
      </c>
    </row>
    <row r="70" spans="1:18" x14ac:dyDescent="0.15">
      <c r="A70" s="52">
        <f>$L$5+44</f>
        <v>46318</v>
      </c>
      <c r="B70" s="53" t="str">
        <f t="shared" si="5"/>
        <v xml:space="preserve"> </v>
      </c>
      <c r="C70" s="53">
        <f>MAX(0,$L$13-SUMIFS('Product Backlog'!$I$5:$I$504,'Product Backlog'!$G$5:$G$504,"&lt;="&amp;A70,'Product Backlog'!$G$5:$G$504,"&gt;0",'Product Backlog'!$I$5:$I$504,"&gt;0"))</f>
        <v>605</v>
      </c>
      <c r="D70" s="53">
        <f>SUMIFS('Product Backlog'!$I$5:$I$504,'Product Backlog'!$G$5:$G$504,A70,'Product Backlog'!$G$5:$G$504,"&gt;0",'Product Backlog'!$I$5:$I$504,"&gt;0")</f>
        <v>0</v>
      </c>
      <c r="E70" s="55">
        <f t="shared" si="6"/>
        <v>476.1904761904762</v>
      </c>
      <c r="F70" s="54"/>
      <c r="G70" s="54"/>
      <c r="H70" s="54"/>
      <c r="I70" s="54"/>
      <c r="P70" t="str">
        <f t="shared" si="7"/>
        <v xml:space="preserve"> </v>
      </c>
      <c r="Q70" s="56">
        <f t="shared" si="8"/>
        <v>605</v>
      </c>
      <c r="R70" s="56">
        <f t="shared" si="9"/>
        <v>476.1904761904762</v>
      </c>
    </row>
    <row r="71" spans="1:18" x14ac:dyDescent="0.15">
      <c r="A71" s="52">
        <f>$L$5+45</f>
        <v>46319</v>
      </c>
      <c r="B71" s="53" t="str">
        <f t="shared" si="5"/>
        <v xml:space="preserve"> </v>
      </c>
      <c r="C71" s="53">
        <f>MAX(0,$L$13-SUMIFS('Product Backlog'!$I$5:$I$504,'Product Backlog'!$G$5:$G$504,"&lt;="&amp;A71,'Product Backlog'!$G$5:$G$504,"&gt;0",'Product Backlog'!$I$5:$I$504,"&gt;0"))</f>
        <v>605</v>
      </c>
      <c r="D71" s="53">
        <f>SUMIFS('Product Backlog'!$I$5:$I$504,'Product Backlog'!$G$5:$G$504,A71,'Product Backlog'!$G$5:$G$504,"&gt;0",'Product Backlog'!$I$5:$I$504,"&gt;0")</f>
        <v>0</v>
      </c>
      <c r="E71" s="55">
        <f t="shared" si="6"/>
        <v>464.28571428571428</v>
      </c>
      <c r="F71" s="54"/>
      <c r="G71" s="54"/>
      <c r="H71" s="54"/>
      <c r="I71" s="54"/>
      <c r="P71" t="str">
        <f t="shared" si="7"/>
        <v xml:space="preserve"> </v>
      </c>
      <c r="Q71" s="56">
        <f t="shared" si="8"/>
        <v>605</v>
      </c>
      <c r="R71" s="56">
        <f t="shared" si="9"/>
        <v>464.28571428571428</v>
      </c>
    </row>
    <row r="72" spans="1:18" x14ac:dyDescent="0.15">
      <c r="A72" s="52">
        <f>$L$5+46</f>
        <v>46320</v>
      </c>
      <c r="B72" s="53" t="str">
        <f t="shared" si="5"/>
        <v xml:space="preserve"> </v>
      </c>
      <c r="C72" s="53">
        <f>MAX(0,$L$13-SUMIFS('Product Backlog'!$I$5:$I$504,'Product Backlog'!$G$5:$G$504,"&lt;="&amp;A72,'Product Backlog'!$G$5:$G$504,"&gt;0",'Product Backlog'!$I$5:$I$504,"&gt;0"))</f>
        <v>605</v>
      </c>
      <c r="D72" s="53">
        <f>SUMIFS('Product Backlog'!$I$5:$I$504,'Product Backlog'!$G$5:$G$504,A72,'Product Backlog'!$G$5:$G$504,"&gt;0",'Product Backlog'!$I$5:$I$504,"&gt;0")</f>
        <v>0</v>
      </c>
      <c r="E72" s="55">
        <f t="shared" si="6"/>
        <v>452.38095238095241</v>
      </c>
      <c r="F72" s="54"/>
      <c r="G72" s="54"/>
      <c r="H72" s="54"/>
      <c r="I72" s="54"/>
      <c r="P72" t="str">
        <f t="shared" si="7"/>
        <v xml:space="preserve"> </v>
      </c>
      <c r="Q72" s="56">
        <f t="shared" si="8"/>
        <v>605</v>
      </c>
      <c r="R72" s="56">
        <f t="shared" si="9"/>
        <v>452.38095238095241</v>
      </c>
    </row>
    <row r="73" spans="1:18" x14ac:dyDescent="0.15">
      <c r="A73" s="52">
        <f>$L$5+47</f>
        <v>46321</v>
      </c>
      <c r="B73" s="53" t="str">
        <f t="shared" si="5"/>
        <v xml:space="preserve"> </v>
      </c>
      <c r="C73" s="53">
        <f>MAX(0,$L$13-SUMIFS('Product Backlog'!$I$5:$I$504,'Product Backlog'!$G$5:$G$504,"&lt;="&amp;A73,'Product Backlog'!$G$5:$G$504,"&gt;0",'Product Backlog'!$I$5:$I$504,"&gt;0"))</f>
        <v>605</v>
      </c>
      <c r="D73" s="53">
        <f>SUMIFS('Product Backlog'!$I$5:$I$504,'Product Backlog'!$G$5:$G$504,A73,'Product Backlog'!$G$5:$G$504,"&gt;0",'Product Backlog'!$I$5:$I$504,"&gt;0")</f>
        <v>0</v>
      </c>
      <c r="E73" s="55">
        <f t="shared" si="6"/>
        <v>440.47619047619048</v>
      </c>
      <c r="F73" s="54"/>
      <c r="G73" s="54"/>
      <c r="H73" s="54"/>
      <c r="I73" s="54"/>
      <c r="P73" t="str">
        <f t="shared" si="7"/>
        <v xml:space="preserve"> </v>
      </c>
      <c r="Q73" s="56">
        <f t="shared" si="8"/>
        <v>605</v>
      </c>
      <c r="R73" s="56">
        <f t="shared" si="9"/>
        <v>440.47619047619048</v>
      </c>
    </row>
    <row r="74" spans="1:18" x14ac:dyDescent="0.15">
      <c r="A74" s="52">
        <f>$L$5+48</f>
        <v>46322</v>
      </c>
      <c r="B74" s="53" t="str">
        <f t="shared" si="5"/>
        <v xml:space="preserve"> </v>
      </c>
      <c r="C74" s="53">
        <f>MAX(0,$L$13-SUMIFS('Product Backlog'!$I$5:$I$504,'Product Backlog'!$G$5:$G$504,"&lt;="&amp;A74,'Product Backlog'!$G$5:$G$504,"&gt;0",'Product Backlog'!$I$5:$I$504,"&gt;0"))</f>
        <v>605</v>
      </c>
      <c r="D74" s="53">
        <f>SUMIFS('Product Backlog'!$I$5:$I$504,'Product Backlog'!$G$5:$G$504,A74,'Product Backlog'!$G$5:$G$504,"&gt;0",'Product Backlog'!$I$5:$I$504,"&gt;0")</f>
        <v>0</v>
      </c>
      <c r="E74" s="55">
        <f t="shared" si="6"/>
        <v>428.57142857142856</v>
      </c>
      <c r="F74" s="54"/>
      <c r="G74" s="54"/>
      <c r="H74" s="54"/>
      <c r="I74" s="54"/>
      <c r="P74" t="str">
        <f t="shared" si="7"/>
        <v xml:space="preserve"> </v>
      </c>
      <c r="Q74" s="56">
        <f t="shared" si="8"/>
        <v>605</v>
      </c>
      <c r="R74" s="56">
        <f t="shared" si="9"/>
        <v>428.57142857142856</v>
      </c>
    </row>
    <row r="75" spans="1:18" x14ac:dyDescent="0.15">
      <c r="A75" s="52">
        <f>$L$5+49</f>
        <v>46323</v>
      </c>
      <c r="B75" s="53" t="str">
        <f t="shared" si="5"/>
        <v xml:space="preserve"> </v>
      </c>
      <c r="C75" s="53">
        <f>MAX(0,$L$13-SUMIFS('Product Backlog'!$I$5:$I$504,'Product Backlog'!$G$5:$G$504,"&lt;="&amp;A75,'Product Backlog'!$G$5:$G$504,"&gt;0",'Product Backlog'!$I$5:$I$504,"&gt;0"))</f>
        <v>605</v>
      </c>
      <c r="D75" s="53">
        <f>SUMIFS('Product Backlog'!$I$5:$I$504,'Product Backlog'!$G$5:$G$504,A75,'Product Backlog'!$G$5:$G$504,"&gt;0",'Product Backlog'!$I$5:$I$504,"&gt;0")</f>
        <v>0</v>
      </c>
      <c r="E75" s="55">
        <f t="shared" si="6"/>
        <v>416.66666666666669</v>
      </c>
      <c r="F75" s="54"/>
      <c r="G75" s="54"/>
      <c r="H75" s="54"/>
      <c r="I75" s="54"/>
      <c r="P75" t="str">
        <f t="shared" si="7"/>
        <v xml:space="preserve"> </v>
      </c>
      <c r="Q75" s="56">
        <f t="shared" si="8"/>
        <v>605</v>
      </c>
      <c r="R75" s="56">
        <f t="shared" si="9"/>
        <v>416.66666666666669</v>
      </c>
    </row>
    <row r="76" spans="1:18" x14ac:dyDescent="0.15">
      <c r="A76" s="52">
        <f>$L$5+50</f>
        <v>46324</v>
      </c>
      <c r="B76" s="53" t="str">
        <f t="shared" si="5"/>
        <v xml:space="preserve"> </v>
      </c>
      <c r="C76" s="53">
        <f>MAX(0,$L$13-SUMIFS('Product Backlog'!$I$5:$I$504,'Product Backlog'!$G$5:$G$504,"&lt;="&amp;A76,'Product Backlog'!$G$5:$G$504,"&gt;0",'Product Backlog'!$I$5:$I$504,"&gt;0"))</f>
        <v>605</v>
      </c>
      <c r="D76" s="53">
        <f>SUMIFS('Product Backlog'!$I$5:$I$504,'Product Backlog'!$G$5:$G$504,A76,'Product Backlog'!$G$5:$G$504,"&gt;0",'Product Backlog'!$I$5:$I$504,"&gt;0")</f>
        <v>0</v>
      </c>
      <c r="E76" s="55">
        <f t="shared" si="6"/>
        <v>404.76190476190476</v>
      </c>
      <c r="F76" s="54"/>
      <c r="G76" s="54"/>
      <c r="H76" s="54"/>
      <c r="I76" s="54"/>
      <c r="P76" t="str">
        <f t="shared" si="7"/>
        <v xml:space="preserve"> </v>
      </c>
      <c r="Q76" s="56">
        <f t="shared" si="8"/>
        <v>605</v>
      </c>
      <c r="R76" s="56">
        <f t="shared" si="9"/>
        <v>404.76190476190476</v>
      </c>
    </row>
    <row r="77" spans="1:18" x14ac:dyDescent="0.15">
      <c r="A77" s="52">
        <f>$L$5+51</f>
        <v>46325</v>
      </c>
      <c r="B77" s="53" t="str">
        <f t="shared" si="5"/>
        <v xml:space="preserve"> </v>
      </c>
      <c r="C77" s="53">
        <f>MAX(0,$L$13-SUMIFS('Product Backlog'!$I$5:$I$504,'Product Backlog'!$G$5:$G$504,"&lt;="&amp;A77,'Product Backlog'!$G$5:$G$504,"&gt;0",'Product Backlog'!$I$5:$I$504,"&gt;0"))</f>
        <v>605</v>
      </c>
      <c r="D77" s="53">
        <f>SUMIFS('Product Backlog'!$I$5:$I$504,'Product Backlog'!$G$5:$G$504,A77,'Product Backlog'!$G$5:$G$504,"&gt;0",'Product Backlog'!$I$5:$I$504,"&gt;0")</f>
        <v>0</v>
      </c>
      <c r="E77" s="55">
        <f t="shared" si="6"/>
        <v>392.85714285714283</v>
      </c>
      <c r="F77" s="54"/>
      <c r="G77" s="54"/>
      <c r="H77" s="54"/>
      <c r="I77" s="54"/>
      <c r="P77" t="str">
        <f t="shared" si="7"/>
        <v xml:space="preserve"> </v>
      </c>
      <c r="Q77" s="56">
        <f t="shared" si="8"/>
        <v>605</v>
      </c>
      <c r="R77" s="56">
        <f t="shared" si="9"/>
        <v>392.85714285714283</v>
      </c>
    </row>
    <row r="78" spans="1:18" x14ac:dyDescent="0.15">
      <c r="A78" s="52">
        <f>$L$5+52</f>
        <v>46326</v>
      </c>
      <c r="B78" s="53" t="str">
        <f t="shared" si="5"/>
        <v xml:space="preserve"> </v>
      </c>
      <c r="C78" s="53">
        <f>MAX(0,$L$13-SUMIFS('Product Backlog'!$I$5:$I$504,'Product Backlog'!$G$5:$G$504,"&lt;="&amp;A78,'Product Backlog'!$G$5:$G$504,"&gt;0",'Product Backlog'!$I$5:$I$504,"&gt;0"))</f>
        <v>605</v>
      </c>
      <c r="D78" s="53">
        <f>SUMIFS('Product Backlog'!$I$5:$I$504,'Product Backlog'!$G$5:$G$504,A78,'Product Backlog'!$G$5:$G$504,"&gt;0",'Product Backlog'!$I$5:$I$504,"&gt;0")</f>
        <v>0</v>
      </c>
      <c r="E78" s="55">
        <f t="shared" si="6"/>
        <v>380.95238095238096</v>
      </c>
      <c r="F78" s="54"/>
      <c r="G78" s="54"/>
      <c r="H78" s="54"/>
      <c r="I78" s="54"/>
      <c r="P78" t="str">
        <f t="shared" si="7"/>
        <v xml:space="preserve"> </v>
      </c>
      <c r="Q78" s="56">
        <f t="shared" si="8"/>
        <v>605</v>
      </c>
      <c r="R78" s="56">
        <f t="shared" si="9"/>
        <v>380.95238095238096</v>
      </c>
    </row>
    <row r="79" spans="1:18" x14ac:dyDescent="0.15">
      <c r="A79" s="52">
        <f>$L$5+53</f>
        <v>46327</v>
      </c>
      <c r="B79" s="53" t="str">
        <f t="shared" si="5"/>
        <v xml:space="preserve"> </v>
      </c>
      <c r="C79" s="53">
        <f>MAX(0,$L$13-SUMIFS('Product Backlog'!$I$5:$I$504,'Product Backlog'!$G$5:$G$504,"&lt;="&amp;A79,'Product Backlog'!$G$5:$G$504,"&gt;0",'Product Backlog'!$I$5:$I$504,"&gt;0"))</f>
        <v>605</v>
      </c>
      <c r="D79" s="53">
        <f>SUMIFS('Product Backlog'!$I$5:$I$504,'Product Backlog'!$G$5:$G$504,A79,'Product Backlog'!$G$5:$G$504,"&gt;0",'Product Backlog'!$I$5:$I$504,"&gt;0")</f>
        <v>0</v>
      </c>
      <c r="E79" s="55">
        <f t="shared" si="6"/>
        <v>369.04761904761904</v>
      </c>
      <c r="F79" s="54"/>
      <c r="G79" s="54"/>
      <c r="H79" s="54"/>
      <c r="I79" s="54"/>
      <c r="P79" t="str">
        <f t="shared" si="7"/>
        <v xml:space="preserve"> </v>
      </c>
      <c r="Q79" s="56">
        <f t="shared" si="8"/>
        <v>605</v>
      </c>
      <c r="R79" s="56">
        <f t="shared" si="9"/>
        <v>369.04761904761904</v>
      </c>
    </row>
    <row r="80" spans="1:18" x14ac:dyDescent="0.15">
      <c r="A80" s="52">
        <f>$L$5+54</f>
        <v>46328</v>
      </c>
      <c r="B80" s="53" t="str">
        <f t="shared" si="5"/>
        <v xml:space="preserve"> </v>
      </c>
      <c r="C80" s="53">
        <f>MAX(0,$L$13-SUMIFS('Product Backlog'!$I$5:$I$504,'Product Backlog'!$G$5:$G$504,"&lt;="&amp;A80,'Product Backlog'!$G$5:$G$504,"&gt;0",'Product Backlog'!$I$5:$I$504,"&gt;0"))</f>
        <v>605</v>
      </c>
      <c r="D80" s="53">
        <f>SUMIFS('Product Backlog'!$I$5:$I$504,'Product Backlog'!$G$5:$G$504,A80,'Product Backlog'!$G$5:$G$504,"&gt;0",'Product Backlog'!$I$5:$I$504,"&gt;0")</f>
        <v>0</v>
      </c>
      <c r="E80" s="55">
        <f t="shared" si="6"/>
        <v>357.14285714285717</v>
      </c>
      <c r="F80" s="54"/>
      <c r="G80" s="54"/>
      <c r="H80" s="54"/>
      <c r="I80" s="54"/>
      <c r="P80" t="str">
        <f t="shared" si="7"/>
        <v xml:space="preserve"> </v>
      </c>
      <c r="Q80" s="56">
        <f t="shared" si="8"/>
        <v>605</v>
      </c>
      <c r="R80" s="56">
        <f t="shared" si="9"/>
        <v>357.14285714285717</v>
      </c>
    </row>
    <row r="81" spans="1:18" x14ac:dyDescent="0.15">
      <c r="A81" s="52">
        <f>$L$5+55</f>
        <v>46329</v>
      </c>
      <c r="B81" s="53" t="str">
        <f t="shared" si="5"/>
        <v xml:space="preserve"> </v>
      </c>
      <c r="C81" s="53">
        <f>MAX(0,$L$13-SUMIFS('Product Backlog'!$I$5:$I$504,'Product Backlog'!$G$5:$G$504,"&lt;="&amp;A81,'Product Backlog'!$G$5:$G$504,"&gt;0",'Product Backlog'!$I$5:$I$504,"&gt;0"))</f>
        <v>605</v>
      </c>
      <c r="D81" s="53">
        <f>SUMIFS('Product Backlog'!$I$5:$I$504,'Product Backlog'!$G$5:$G$504,A81,'Product Backlog'!$G$5:$G$504,"&gt;0",'Product Backlog'!$I$5:$I$504,"&gt;0")</f>
        <v>0</v>
      </c>
      <c r="E81" s="55">
        <f t="shared" si="6"/>
        <v>345.23809523809524</v>
      </c>
      <c r="F81" s="54"/>
      <c r="G81" s="54"/>
      <c r="H81" s="54"/>
      <c r="I81" s="54"/>
      <c r="P81" t="str">
        <f t="shared" si="7"/>
        <v xml:space="preserve"> </v>
      </c>
      <c r="Q81" s="56">
        <f t="shared" si="8"/>
        <v>605</v>
      </c>
      <c r="R81" s="56">
        <f t="shared" si="9"/>
        <v>345.23809523809524</v>
      </c>
    </row>
    <row r="82" spans="1:18" x14ac:dyDescent="0.15">
      <c r="A82" s="52">
        <f>$L$5+56</f>
        <v>46330</v>
      </c>
      <c r="B82" s="53" t="str">
        <f t="shared" si="5"/>
        <v>Sprint 5 (11/4)</v>
      </c>
      <c r="C82" s="53">
        <f>MAX(0,$L$13-SUMIFS('Product Backlog'!$I$5:$I$504,'Product Backlog'!$G$5:$G$504,"&lt;="&amp;A82,'Product Backlog'!$G$5:$G$504,"&gt;0",'Product Backlog'!$I$5:$I$504,"&gt;0"))</f>
        <v>605</v>
      </c>
      <c r="D82" s="53">
        <f>SUMIFS('Product Backlog'!$I$5:$I$504,'Product Backlog'!$G$5:$G$504,A82,'Product Backlog'!$G$5:$G$504,"&gt;0",'Product Backlog'!$I$5:$I$504,"&gt;0")</f>
        <v>0</v>
      </c>
      <c r="E82" s="55">
        <f t="shared" si="6"/>
        <v>333.33333333333331</v>
      </c>
      <c r="F82" s="54"/>
      <c r="G82" s="54"/>
      <c r="H82" s="54"/>
      <c r="I82" s="54"/>
      <c r="P82" t="str">
        <f t="shared" si="7"/>
        <v>Sprint 5 (11/4)</v>
      </c>
      <c r="Q82" s="56">
        <f t="shared" si="8"/>
        <v>605</v>
      </c>
      <c r="R82" s="56">
        <f t="shared" si="9"/>
        <v>333.33333333333331</v>
      </c>
    </row>
    <row r="83" spans="1:18" x14ac:dyDescent="0.15">
      <c r="A83" s="52">
        <f>$L$5+57</f>
        <v>46331</v>
      </c>
      <c r="B83" s="53" t="str">
        <f t="shared" si="5"/>
        <v xml:space="preserve"> </v>
      </c>
      <c r="C83" s="53">
        <f>MAX(0,$L$13-SUMIFS('Product Backlog'!$I$5:$I$504,'Product Backlog'!$G$5:$G$504,"&lt;="&amp;A83,'Product Backlog'!$G$5:$G$504,"&gt;0",'Product Backlog'!$I$5:$I$504,"&gt;0"))</f>
        <v>605</v>
      </c>
      <c r="D83" s="53">
        <f>SUMIFS('Product Backlog'!$I$5:$I$504,'Product Backlog'!$G$5:$G$504,A83,'Product Backlog'!$G$5:$G$504,"&gt;0",'Product Backlog'!$I$5:$I$504,"&gt;0")</f>
        <v>0</v>
      </c>
      <c r="E83" s="55">
        <f t="shared" si="6"/>
        <v>321.42857142857144</v>
      </c>
      <c r="F83" s="54"/>
      <c r="G83" s="54"/>
      <c r="H83" s="54"/>
      <c r="I83" s="54"/>
      <c r="P83" t="str">
        <f t="shared" si="7"/>
        <v xml:space="preserve"> </v>
      </c>
      <c r="Q83" s="56">
        <f t="shared" si="8"/>
        <v>605</v>
      </c>
      <c r="R83" s="56">
        <f t="shared" si="9"/>
        <v>321.42857142857144</v>
      </c>
    </row>
    <row r="84" spans="1:18" x14ac:dyDescent="0.15">
      <c r="A84" s="52">
        <f>$L$5+58</f>
        <v>46332</v>
      </c>
      <c r="B84" s="53" t="str">
        <f t="shared" si="5"/>
        <v xml:space="preserve"> </v>
      </c>
      <c r="C84" s="53">
        <f>MAX(0,$L$13-SUMIFS('Product Backlog'!$I$5:$I$504,'Product Backlog'!$G$5:$G$504,"&lt;="&amp;A84,'Product Backlog'!$G$5:$G$504,"&gt;0",'Product Backlog'!$I$5:$I$504,"&gt;0"))</f>
        <v>605</v>
      </c>
      <c r="D84" s="53">
        <f>SUMIFS('Product Backlog'!$I$5:$I$504,'Product Backlog'!$G$5:$G$504,A84,'Product Backlog'!$G$5:$G$504,"&gt;0",'Product Backlog'!$I$5:$I$504,"&gt;0")</f>
        <v>0</v>
      </c>
      <c r="E84" s="55">
        <f t="shared" si="6"/>
        <v>309.52380952380952</v>
      </c>
      <c r="F84" s="54"/>
      <c r="G84" s="54"/>
      <c r="H84" s="54"/>
      <c r="I84" s="54"/>
      <c r="P84" t="str">
        <f t="shared" si="7"/>
        <v xml:space="preserve"> </v>
      </c>
      <c r="Q84" s="56">
        <f t="shared" si="8"/>
        <v>605</v>
      </c>
      <c r="R84" s="56">
        <f t="shared" si="9"/>
        <v>309.52380952380952</v>
      </c>
    </row>
    <row r="85" spans="1:18" x14ac:dyDescent="0.15">
      <c r="A85" s="52">
        <f>$L$5+59</f>
        <v>46333</v>
      </c>
      <c r="B85" s="53" t="str">
        <f t="shared" si="5"/>
        <v xml:space="preserve"> </v>
      </c>
      <c r="C85" s="53">
        <f>MAX(0,$L$13-SUMIFS('Product Backlog'!$I$5:$I$504,'Product Backlog'!$G$5:$G$504,"&lt;="&amp;A85,'Product Backlog'!$G$5:$G$504,"&gt;0",'Product Backlog'!$I$5:$I$504,"&gt;0"))</f>
        <v>605</v>
      </c>
      <c r="D85" s="53">
        <f>SUMIFS('Product Backlog'!$I$5:$I$504,'Product Backlog'!$G$5:$G$504,A85,'Product Backlog'!$G$5:$G$504,"&gt;0",'Product Backlog'!$I$5:$I$504,"&gt;0")</f>
        <v>0</v>
      </c>
      <c r="E85" s="55">
        <f t="shared" si="6"/>
        <v>297.61904761904759</v>
      </c>
      <c r="F85" s="54"/>
      <c r="G85" s="54"/>
      <c r="H85" s="54"/>
      <c r="I85" s="54"/>
      <c r="P85" t="str">
        <f t="shared" si="7"/>
        <v xml:space="preserve"> </v>
      </c>
      <c r="Q85" s="56">
        <f t="shared" si="8"/>
        <v>605</v>
      </c>
      <c r="R85" s="56">
        <f t="shared" si="9"/>
        <v>297.61904761904759</v>
      </c>
    </row>
    <row r="86" spans="1:18" x14ac:dyDescent="0.15">
      <c r="A86" s="52">
        <f>$L$5+60</f>
        <v>46334</v>
      </c>
      <c r="B86" s="53" t="str">
        <f t="shared" si="5"/>
        <v xml:space="preserve"> </v>
      </c>
      <c r="C86" s="53">
        <f>MAX(0,$L$13-SUMIFS('Product Backlog'!$I$5:$I$504,'Product Backlog'!$G$5:$G$504,"&lt;="&amp;A86,'Product Backlog'!$G$5:$G$504,"&gt;0",'Product Backlog'!$I$5:$I$504,"&gt;0"))</f>
        <v>605</v>
      </c>
      <c r="D86" s="53">
        <f>SUMIFS('Product Backlog'!$I$5:$I$504,'Product Backlog'!$G$5:$G$504,A86,'Product Backlog'!$G$5:$G$504,"&gt;0",'Product Backlog'!$I$5:$I$504,"&gt;0")</f>
        <v>0</v>
      </c>
      <c r="E86" s="55">
        <f t="shared" si="6"/>
        <v>285.71428571428572</v>
      </c>
      <c r="F86" s="54"/>
      <c r="G86" s="54"/>
      <c r="H86" s="54"/>
      <c r="I86" s="54"/>
      <c r="P86" t="str">
        <f t="shared" si="7"/>
        <v xml:space="preserve"> </v>
      </c>
      <c r="Q86" s="56">
        <f t="shared" si="8"/>
        <v>605</v>
      </c>
      <c r="R86" s="56">
        <f t="shared" si="9"/>
        <v>285.71428571428572</v>
      </c>
    </row>
    <row r="87" spans="1:18" x14ac:dyDescent="0.15">
      <c r="A87" s="52">
        <f>$L$5+61</f>
        <v>46335</v>
      </c>
      <c r="B87" s="53" t="str">
        <f t="shared" si="5"/>
        <v xml:space="preserve"> </v>
      </c>
      <c r="C87" s="53">
        <f>MAX(0,$L$13-SUMIFS('Product Backlog'!$I$5:$I$504,'Product Backlog'!$G$5:$G$504,"&lt;="&amp;A87,'Product Backlog'!$G$5:$G$504,"&gt;0",'Product Backlog'!$I$5:$I$504,"&gt;0"))</f>
        <v>605</v>
      </c>
      <c r="D87" s="53">
        <f>SUMIFS('Product Backlog'!$I$5:$I$504,'Product Backlog'!$G$5:$G$504,A87,'Product Backlog'!$G$5:$G$504,"&gt;0",'Product Backlog'!$I$5:$I$504,"&gt;0")</f>
        <v>0</v>
      </c>
      <c r="E87" s="55">
        <f t="shared" si="6"/>
        <v>273.8095238095238</v>
      </c>
      <c r="F87" s="54"/>
      <c r="G87" s="54"/>
      <c r="H87" s="54"/>
      <c r="I87" s="54"/>
      <c r="P87" t="str">
        <f t="shared" si="7"/>
        <v xml:space="preserve"> </v>
      </c>
      <c r="Q87" s="56">
        <f t="shared" si="8"/>
        <v>605</v>
      </c>
      <c r="R87" s="56">
        <f t="shared" si="9"/>
        <v>273.8095238095238</v>
      </c>
    </row>
    <row r="88" spans="1:18" x14ac:dyDescent="0.15">
      <c r="A88" s="52">
        <f>$L$5+62</f>
        <v>46336</v>
      </c>
      <c r="B88" s="53" t="str">
        <f t="shared" si="5"/>
        <v xml:space="preserve"> </v>
      </c>
      <c r="C88" s="53">
        <f>MAX(0,$L$13-SUMIFS('Product Backlog'!$I$5:$I$504,'Product Backlog'!$G$5:$G$504,"&lt;="&amp;A88,'Product Backlog'!$G$5:$G$504,"&gt;0",'Product Backlog'!$I$5:$I$504,"&gt;0"))</f>
        <v>605</v>
      </c>
      <c r="D88" s="53">
        <f>SUMIFS('Product Backlog'!$I$5:$I$504,'Product Backlog'!$G$5:$G$504,A88,'Product Backlog'!$G$5:$G$504,"&gt;0",'Product Backlog'!$I$5:$I$504,"&gt;0")</f>
        <v>0</v>
      </c>
      <c r="E88" s="55">
        <f t="shared" si="6"/>
        <v>261.90476190476193</v>
      </c>
      <c r="F88" s="54"/>
      <c r="G88" s="54"/>
      <c r="H88" s="54"/>
      <c r="I88" s="54"/>
      <c r="P88" t="str">
        <f t="shared" si="7"/>
        <v xml:space="preserve"> </v>
      </c>
      <c r="Q88" s="56">
        <f t="shared" si="8"/>
        <v>605</v>
      </c>
      <c r="R88" s="56">
        <f t="shared" si="9"/>
        <v>261.90476190476193</v>
      </c>
    </row>
    <row r="89" spans="1:18" x14ac:dyDescent="0.15">
      <c r="A89" s="52">
        <f>$L$5+63</f>
        <v>46337</v>
      </c>
      <c r="B89" s="53" t="str">
        <f t="shared" si="5"/>
        <v xml:space="preserve"> </v>
      </c>
      <c r="C89" s="53">
        <f>MAX(0,$L$13-SUMIFS('Product Backlog'!$I$5:$I$504,'Product Backlog'!$G$5:$G$504,"&lt;="&amp;A89,'Product Backlog'!$G$5:$G$504,"&gt;0",'Product Backlog'!$I$5:$I$504,"&gt;0"))</f>
        <v>605</v>
      </c>
      <c r="D89" s="53">
        <f>SUMIFS('Product Backlog'!$I$5:$I$504,'Product Backlog'!$G$5:$G$504,A89,'Product Backlog'!$G$5:$G$504,"&gt;0",'Product Backlog'!$I$5:$I$504,"&gt;0")</f>
        <v>0</v>
      </c>
      <c r="E89" s="55">
        <f t="shared" si="6"/>
        <v>250</v>
      </c>
      <c r="F89" s="54"/>
      <c r="G89" s="54"/>
      <c r="H89" s="54"/>
      <c r="I89" s="54"/>
      <c r="P89" t="str">
        <f t="shared" si="7"/>
        <v xml:space="preserve"> </v>
      </c>
      <c r="Q89" s="56">
        <f t="shared" si="8"/>
        <v>605</v>
      </c>
      <c r="R89" s="56">
        <f t="shared" si="9"/>
        <v>250</v>
      </c>
    </row>
    <row r="90" spans="1:18" x14ac:dyDescent="0.15">
      <c r="A90" s="52">
        <f>$L$5+64</f>
        <v>46338</v>
      </c>
      <c r="B90" s="53" t="str">
        <f t="shared" ref="B90:B110" si="10">IF(A90=$L$5,"Sprint 1 ("&amp;TEXT(A90,"m/d")&amp;")",IF(A90=$L$6,"Sprint 2 ("&amp;TEXT(A90,"m/d")&amp;")",IF(A90=$L$7,"Sprint 3 ("&amp;TEXT(A90,"m/d")&amp;")",IF(A90=$L$8,"Sprint 4 ("&amp;TEXT(A90,"m/d")&amp;")",IF(A90=$L$9,"Sprint 5 ("&amp;TEXT(A90,"m/d")&amp;")",IF(A90=$L$10,"Sprint 6 ("&amp;TEXT(A90,"m/d")&amp;")",IF(A90=$M$10,"Sprint 6 end ("&amp;TEXT(A90,"m/d")&amp;")",IF(D90&gt;0,TEXT(A90,"m/d")," "))))))))</f>
        <v xml:space="preserve"> </v>
      </c>
      <c r="C90" s="53">
        <f>MAX(0,$L$13-SUMIFS('Product Backlog'!$I$5:$I$504,'Product Backlog'!$G$5:$G$504,"&lt;="&amp;A90,'Product Backlog'!$G$5:$G$504,"&gt;0",'Product Backlog'!$I$5:$I$504,"&gt;0"))</f>
        <v>605</v>
      </c>
      <c r="D90" s="53">
        <f>SUMIFS('Product Backlog'!$I$5:$I$504,'Product Backlog'!$G$5:$G$504,A90,'Product Backlog'!$G$5:$G$504,"&gt;0",'Product Backlog'!$I$5:$I$504,"&gt;0")</f>
        <v>0</v>
      </c>
      <c r="E90" s="55">
        <f t="shared" ref="E90:E110" si="11">MAX(0,MIN($L$13,$L$13*($M$10-A90)/($M$10-$L$5)))</f>
        <v>238.0952380952381</v>
      </c>
      <c r="F90" s="54"/>
      <c r="G90" s="54"/>
      <c r="H90" s="54"/>
      <c r="I90" s="54"/>
      <c r="P90" t="str">
        <f t="shared" ref="P90:P110" si="12">B90</f>
        <v xml:space="preserve"> </v>
      </c>
      <c r="Q90" s="56">
        <f t="shared" ref="Q90:Q110" si="13">C90</f>
        <v>605</v>
      </c>
      <c r="R90" s="56">
        <f t="shared" ref="R90:R110" si="14">E90</f>
        <v>238.0952380952381</v>
      </c>
    </row>
    <row r="91" spans="1:18" x14ac:dyDescent="0.15">
      <c r="A91" s="52">
        <f>$L$5+65</f>
        <v>46339</v>
      </c>
      <c r="B91" s="53" t="str">
        <f t="shared" si="10"/>
        <v xml:space="preserve"> </v>
      </c>
      <c r="C91" s="53">
        <f>MAX(0,$L$13-SUMIFS('Product Backlog'!$I$5:$I$504,'Product Backlog'!$G$5:$G$504,"&lt;="&amp;A91,'Product Backlog'!$G$5:$G$504,"&gt;0",'Product Backlog'!$I$5:$I$504,"&gt;0"))</f>
        <v>605</v>
      </c>
      <c r="D91" s="53">
        <f>SUMIFS('Product Backlog'!$I$5:$I$504,'Product Backlog'!$G$5:$G$504,A91,'Product Backlog'!$G$5:$G$504,"&gt;0",'Product Backlog'!$I$5:$I$504,"&gt;0")</f>
        <v>0</v>
      </c>
      <c r="E91" s="55">
        <f t="shared" si="11"/>
        <v>226.1904761904762</v>
      </c>
      <c r="F91" s="54"/>
      <c r="G91" s="54"/>
      <c r="H91" s="54"/>
      <c r="I91" s="54"/>
      <c r="P91" t="str">
        <f t="shared" si="12"/>
        <v xml:space="preserve"> </v>
      </c>
      <c r="Q91" s="56">
        <f t="shared" si="13"/>
        <v>605</v>
      </c>
      <c r="R91" s="56">
        <f t="shared" si="14"/>
        <v>226.1904761904762</v>
      </c>
    </row>
    <row r="92" spans="1:18" x14ac:dyDescent="0.15">
      <c r="A92" s="52">
        <f>$L$5+66</f>
        <v>46340</v>
      </c>
      <c r="B92" s="53" t="str">
        <f t="shared" si="10"/>
        <v xml:space="preserve"> </v>
      </c>
      <c r="C92" s="53">
        <f>MAX(0,$L$13-SUMIFS('Product Backlog'!$I$5:$I$504,'Product Backlog'!$G$5:$G$504,"&lt;="&amp;A92,'Product Backlog'!$G$5:$G$504,"&gt;0",'Product Backlog'!$I$5:$I$504,"&gt;0"))</f>
        <v>605</v>
      </c>
      <c r="D92" s="53">
        <f>SUMIFS('Product Backlog'!$I$5:$I$504,'Product Backlog'!$G$5:$G$504,A92,'Product Backlog'!$G$5:$G$504,"&gt;0",'Product Backlog'!$I$5:$I$504,"&gt;0")</f>
        <v>0</v>
      </c>
      <c r="E92" s="55">
        <f t="shared" si="11"/>
        <v>214.28571428571428</v>
      </c>
      <c r="F92" s="54"/>
      <c r="G92" s="54"/>
      <c r="H92" s="54"/>
      <c r="I92" s="54"/>
      <c r="P92" t="str">
        <f t="shared" si="12"/>
        <v xml:space="preserve"> </v>
      </c>
      <c r="Q92" s="56">
        <f t="shared" si="13"/>
        <v>605</v>
      </c>
      <c r="R92" s="56">
        <f t="shared" si="14"/>
        <v>214.28571428571428</v>
      </c>
    </row>
    <row r="93" spans="1:18" x14ac:dyDescent="0.15">
      <c r="A93" s="52">
        <f>$L$5+67</f>
        <v>46341</v>
      </c>
      <c r="B93" s="53" t="str">
        <f t="shared" si="10"/>
        <v xml:space="preserve"> </v>
      </c>
      <c r="C93" s="53">
        <f>MAX(0,$L$13-SUMIFS('Product Backlog'!$I$5:$I$504,'Product Backlog'!$G$5:$G$504,"&lt;="&amp;A93,'Product Backlog'!$G$5:$G$504,"&gt;0",'Product Backlog'!$I$5:$I$504,"&gt;0"))</f>
        <v>605</v>
      </c>
      <c r="D93" s="53">
        <f>SUMIFS('Product Backlog'!$I$5:$I$504,'Product Backlog'!$G$5:$G$504,A93,'Product Backlog'!$G$5:$G$504,"&gt;0",'Product Backlog'!$I$5:$I$504,"&gt;0")</f>
        <v>0</v>
      </c>
      <c r="E93" s="55">
        <f t="shared" si="11"/>
        <v>202.38095238095238</v>
      </c>
      <c r="F93" s="54"/>
      <c r="G93" s="54"/>
      <c r="H93" s="54"/>
      <c r="I93" s="54"/>
      <c r="P93" t="str">
        <f t="shared" si="12"/>
        <v xml:space="preserve"> </v>
      </c>
      <c r="Q93" s="56">
        <f t="shared" si="13"/>
        <v>605</v>
      </c>
      <c r="R93" s="56">
        <f t="shared" si="14"/>
        <v>202.38095238095238</v>
      </c>
    </row>
    <row r="94" spans="1:18" x14ac:dyDescent="0.15">
      <c r="A94" s="52">
        <f>$L$5+68</f>
        <v>46342</v>
      </c>
      <c r="B94" s="53" t="str">
        <f t="shared" si="10"/>
        <v xml:space="preserve"> </v>
      </c>
      <c r="C94" s="53">
        <f>MAX(0,$L$13-SUMIFS('Product Backlog'!$I$5:$I$504,'Product Backlog'!$G$5:$G$504,"&lt;="&amp;A94,'Product Backlog'!$G$5:$G$504,"&gt;0",'Product Backlog'!$I$5:$I$504,"&gt;0"))</f>
        <v>605</v>
      </c>
      <c r="D94" s="53">
        <f>SUMIFS('Product Backlog'!$I$5:$I$504,'Product Backlog'!$G$5:$G$504,A94,'Product Backlog'!$G$5:$G$504,"&gt;0",'Product Backlog'!$I$5:$I$504,"&gt;0")</f>
        <v>0</v>
      </c>
      <c r="E94" s="55">
        <f t="shared" si="11"/>
        <v>190.47619047619048</v>
      </c>
      <c r="F94" s="54"/>
      <c r="G94" s="54"/>
      <c r="H94" s="54"/>
      <c r="I94" s="54"/>
      <c r="P94" t="str">
        <f t="shared" si="12"/>
        <v xml:space="preserve"> </v>
      </c>
      <c r="Q94" s="56">
        <f t="shared" si="13"/>
        <v>605</v>
      </c>
      <c r="R94" s="56">
        <f t="shared" si="14"/>
        <v>190.47619047619048</v>
      </c>
    </row>
    <row r="95" spans="1:18" x14ac:dyDescent="0.15">
      <c r="A95" s="52">
        <f>$L$5+69</f>
        <v>46343</v>
      </c>
      <c r="B95" s="53" t="str">
        <f t="shared" si="10"/>
        <v xml:space="preserve"> </v>
      </c>
      <c r="C95" s="53">
        <f>MAX(0,$L$13-SUMIFS('Product Backlog'!$I$5:$I$504,'Product Backlog'!$G$5:$G$504,"&lt;="&amp;A95,'Product Backlog'!$G$5:$G$504,"&gt;0",'Product Backlog'!$I$5:$I$504,"&gt;0"))</f>
        <v>605</v>
      </c>
      <c r="D95" s="53">
        <f>SUMIFS('Product Backlog'!$I$5:$I$504,'Product Backlog'!$G$5:$G$504,A95,'Product Backlog'!$G$5:$G$504,"&gt;0",'Product Backlog'!$I$5:$I$504,"&gt;0")</f>
        <v>0</v>
      </c>
      <c r="E95" s="55">
        <f t="shared" si="11"/>
        <v>178.57142857142858</v>
      </c>
      <c r="F95" s="54"/>
      <c r="G95" s="54"/>
      <c r="H95" s="54"/>
      <c r="I95" s="54"/>
      <c r="P95" t="str">
        <f t="shared" si="12"/>
        <v xml:space="preserve"> </v>
      </c>
      <c r="Q95" s="56">
        <f t="shared" si="13"/>
        <v>605</v>
      </c>
      <c r="R95" s="56">
        <f t="shared" si="14"/>
        <v>178.57142857142858</v>
      </c>
    </row>
    <row r="96" spans="1:18" x14ac:dyDescent="0.15">
      <c r="A96" s="52">
        <f>$L$5+70</f>
        <v>46344</v>
      </c>
      <c r="B96" s="53" t="str">
        <f t="shared" si="10"/>
        <v>Sprint 6 (11/18)</v>
      </c>
      <c r="C96" s="53">
        <f>MAX(0,$L$13-SUMIFS('Product Backlog'!$I$5:$I$504,'Product Backlog'!$G$5:$G$504,"&lt;="&amp;A96,'Product Backlog'!$G$5:$G$504,"&gt;0",'Product Backlog'!$I$5:$I$504,"&gt;0"))</f>
        <v>605</v>
      </c>
      <c r="D96" s="53">
        <f>SUMIFS('Product Backlog'!$I$5:$I$504,'Product Backlog'!$G$5:$G$504,A96,'Product Backlog'!$G$5:$G$504,"&gt;0",'Product Backlog'!$I$5:$I$504,"&gt;0")</f>
        <v>0</v>
      </c>
      <c r="E96" s="55">
        <f t="shared" si="11"/>
        <v>166.66666666666666</v>
      </c>
      <c r="F96" s="54"/>
      <c r="G96" s="54"/>
      <c r="H96" s="54"/>
      <c r="I96" s="54"/>
      <c r="P96" t="str">
        <f t="shared" si="12"/>
        <v>Sprint 6 (11/18)</v>
      </c>
      <c r="Q96" s="56">
        <f t="shared" si="13"/>
        <v>605</v>
      </c>
      <c r="R96" s="56">
        <f t="shared" si="14"/>
        <v>166.66666666666666</v>
      </c>
    </row>
    <row r="97" spans="1:18" x14ac:dyDescent="0.15">
      <c r="A97" s="52">
        <f>$L$5+71</f>
        <v>46345</v>
      </c>
      <c r="B97" s="53" t="str">
        <f t="shared" si="10"/>
        <v xml:space="preserve"> </v>
      </c>
      <c r="C97" s="53">
        <f>MAX(0,$L$13-SUMIFS('Product Backlog'!$I$5:$I$504,'Product Backlog'!$G$5:$G$504,"&lt;="&amp;A97,'Product Backlog'!$G$5:$G$504,"&gt;0",'Product Backlog'!$I$5:$I$504,"&gt;0"))</f>
        <v>605</v>
      </c>
      <c r="D97" s="53">
        <f>SUMIFS('Product Backlog'!$I$5:$I$504,'Product Backlog'!$G$5:$G$504,A97,'Product Backlog'!$G$5:$G$504,"&gt;0",'Product Backlog'!$I$5:$I$504,"&gt;0")</f>
        <v>0</v>
      </c>
      <c r="E97" s="55">
        <f t="shared" si="11"/>
        <v>154.76190476190476</v>
      </c>
      <c r="F97" s="54"/>
      <c r="G97" s="54"/>
      <c r="H97" s="54"/>
      <c r="I97" s="54"/>
      <c r="P97" t="str">
        <f t="shared" si="12"/>
        <v xml:space="preserve"> </v>
      </c>
      <c r="Q97" s="56">
        <f t="shared" si="13"/>
        <v>605</v>
      </c>
      <c r="R97" s="56">
        <f t="shared" si="14"/>
        <v>154.76190476190476</v>
      </c>
    </row>
    <row r="98" spans="1:18" x14ac:dyDescent="0.15">
      <c r="A98" s="52">
        <f>$L$5+72</f>
        <v>46346</v>
      </c>
      <c r="B98" s="53" t="str">
        <f t="shared" si="10"/>
        <v xml:space="preserve"> </v>
      </c>
      <c r="C98" s="53">
        <f>MAX(0,$L$13-SUMIFS('Product Backlog'!$I$5:$I$504,'Product Backlog'!$G$5:$G$504,"&lt;="&amp;A98,'Product Backlog'!$G$5:$G$504,"&gt;0",'Product Backlog'!$I$5:$I$504,"&gt;0"))</f>
        <v>605</v>
      </c>
      <c r="D98" s="53">
        <f>SUMIFS('Product Backlog'!$I$5:$I$504,'Product Backlog'!$G$5:$G$504,A98,'Product Backlog'!$G$5:$G$504,"&gt;0",'Product Backlog'!$I$5:$I$504,"&gt;0")</f>
        <v>0</v>
      </c>
      <c r="E98" s="55">
        <f t="shared" si="11"/>
        <v>142.85714285714286</v>
      </c>
      <c r="F98" s="54"/>
      <c r="G98" s="54"/>
      <c r="H98" s="54"/>
      <c r="I98" s="54"/>
      <c r="P98" t="str">
        <f t="shared" si="12"/>
        <v xml:space="preserve"> </v>
      </c>
      <c r="Q98" s="56">
        <f t="shared" si="13"/>
        <v>605</v>
      </c>
      <c r="R98" s="56">
        <f t="shared" si="14"/>
        <v>142.85714285714286</v>
      </c>
    </row>
    <row r="99" spans="1:18" x14ac:dyDescent="0.15">
      <c r="A99" s="52">
        <f>$L$5+73</f>
        <v>46347</v>
      </c>
      <c r="B99" s="53" t="str">
        <f t="shared" si="10"/>
        <v xml:space="preserve"> </v>
      </c>
      <c r="C99" s="53">
        <f>MAX(0,$L$13-SUMIFS('Product Backlog'!$I$5:$I$504,'Product Backlog'!$G$5:$G$504,"&lt;="&amp;A99,'Product Backlog'!$G$5:$G$504,"&gt;0",'Product Backlog'!$I$5:$I$504,"&gt;0"))</f>
        <v>605</v>
      </c>
      <c r="D99" s="53">
        <f>SUMIFS('Product Backlog'!$I$5:$I$504,'Product Backlog'!$G$5:$G$504,A99,'Product Backlog'!$G$5:$G$504,"&gt;0",'Product Backlog'!$I$5:$I$504,"&gt;0")</f>
        <v>0</v>
      </c>
      <c r="E99" s="55">
        <f t="shared" si="11"/>
        <v>130.95238095238096</v>
      </c>
      <c r="F99" s="54"/>
      <c r="G99" s="54"/>
      <c r="H99" s="54"/>
      <c r="I99" s="54"/>
      <c r="P99" t="str">
        <f t="shared" si="12"/>
        <v xml:space="preserve"> </v>
      </c>
      <c r="Q99" s="56">
        <f t="shared" si="13"/>
        <v>605</v>
      </c>
      <c r="R99" s="56">
        <f t="shared" si="14"/>
        <v>130.95238095238096</v>
      </c>
    </row>
    <row r="100" spans="1:18" x14ac:dyDescent="0.15">
      <c r="A100" s="52">
        <f>$L$5+74</f>
        <v>46348</v>
      </c>
      <c r="B100" s="53" t="str">
        <f t="shared" si="10"/>
        <v xml:space="preserve"> </v>
      </c>
      <c r="C100" s="53">
        <f>MAX(0,$L$13-SUMIFS('Product Backlog'!$I$5:$I$504,'Product Backlog'!$G$5:$G$504,"&lt;="&amp;A100,'Product Backlog'!$G$5:$G$504,"&gt;0",'Product Backlog'!$I$5:$I$504,"&gt;0"))</f>
        <v>605</v>
      </c>
      <c r="D100" s="53">
        <f>SUMIFS('Product Backlog'!$I$5:$I$504,'Product Backlog'!$G$5:$G$504,A100,'Product Backlog'!$G$5:$G$504,"&gt;0",'Product Backlog'!$I$5:$I$504,"&gt;0")</f>
        <v>0</v>
      </c>
      <c r="E100" s="55">
        <f t="shared" si="11"/>
        <v>119.04761904761905</v>
      </c>
      <c r="F100" s="54"/>
      <c r="G100" s="54"/>
      <c r="H100" s="54"/>
      <c r="I100" s="54"/>
      <c r="P100" t="str">
        <f t="shared" si="12"/>
        <v xml:space="preserve"> </v>
      </c>
      <c r="Q100" s="56">
        <f t="shared" si="13"/>
        <v>605</v>
      </c>
      <c r="R100" s="56">
        <f t="shared" si="14"/>
        <v>119.04761904761905</v>
      </c>
    </row>
    <row r="101" spans="1:18" x14ac:dyDescent="0.15">
      <c r="A101" s="52">
        <f>$L$5+75</f>
        <v>46349</v>
      </c>
      <c r="B101" s="53" t="str">
        <f t="shared" si="10"/>
        <v xml:space="preserve"> </v>
      </c>
      <c r="C101" s="53">
        <f>MAX(0,$L$13-SUMIFS('Product Backlog'!$I$5:$I$504,'Product Backlog'!$G$5:$G$504,"&lt;="&amp;A101,'Product Backlog'!$G$5:$G$504,"&gt;0",'Product Backlog'!$I$5:$I$504,"&gt;0"))</f>
        <v>605</v>
      </c>
      <c r="D101" s="53">
        <f>SUMIFS('Product Backlog'!$I$5:$I$504,'Product Backlog'!$G$5:$G$504,A101,'Product Backlog'!$G$5:$G$504,"&gt;0",'Product Backlog'!$I$5:$I$504,"&gt;0")</f>
        <v>0</v>
      </c>
      <c r="E101" s="55">
        <f t="shared" si="11"/>
        <v>107.14285714285714</v>
      </c>
      <c r="F101" s="54"/>
      <c r="G101" s="54"/>
      <c r="H101" s="54"/>
      <c r="I101" s="54"/>
      <c r="P101" t="str">
        <f t="shared" si="12"/>
        <v xml:space="preserve"> </v>
      </c>
      <c r="Q101" s="56">
        <f t="shared" si="13"/>
        <v>605</v>
      </c>
      <c r="R101" s="56">
        <f t="shared" si="14"/>
        <v>107.14285714285714</v>
      </c>
    </row>
    <row r="102" spans="1:18" x14ac:dyDescent="0.15">
      <c r="A102" s="52">
        <f>$L$5+76</f>
        <v>46350</v>
      </c>
      <c r="B102" s="53" t="str">
        <f t="shared" si="10"/>
        <v xml:space="preserve"> </v>
      </c>
      <c r="C102" s="53">
        <f>MAX(0,$L$13-SUMIFS('Product Backlog'!$I$5:$I$504,'Product Backlog'!$G$5:$G$504,"&lt;="&amp;A102,'Product Backlog'!$G$5:$G$504,"&gt;0",'Product Backlog'!$I$5:$I$504,"&gt;0"))</f>
        <v>605</v>
      </c>
      <c r="D102" s="53">
        <f>SUMIFS('Product Backlog'!$I$5:$I$504,'Product Backlog'!$G$5:$G$504,A102,'Product Backlog'!$G$5:$G$504,"&gt;0",'Product Backlog'!$I$5:$I$504,"&gt;0")</f>
        <v>0</v>
      </c>
      <c r="E102" s="55">
        <f t="shared" si="11"/>
        <v>95.238095238095241</v>
      </c>
      <c r="F102" s="54"/>
      <c r="G102" s="54"/>
      <c r="H102" s="54"/>
      <c r="I102" s="54"/>
      <c r="P102" t="str">
        <f t="shared" si="12"/>
        <v xml:space="preserve"> </v>
      </c>
      <c r="Q102" s="56">
        <f t="shared" si="13"/>
        <v>605</v>
      </c>
      <c r="R102" s="56">
        <f t="shared" si="14"/>
        <v>95.238095238095241</v>
      </c>
    </row>
    <row r="103" spans="1:18" x14ac:dyDescent="0.15">
      <c r="A103" s="52">
        <f>$L$5+77</f>
        <v>46351</v>
      </c>
      <c r="B103" s="53" t="str">
        <f t="shared" si="10"/>
        <v xml:space="preserve"> </v>
      </c>
      <c r="C103" s="53">
        <f>MAX(0,$L$13-SUMIFS('Product Backlog'!$I$5:$I$504,'Product Backlog'!$G$5:$G$504,"&lt;="&amp;A103,'Product Backlog'!$G$5:$G$504,"&gt;0",'Product Backlog'!$I$5:$I$504,"&gt;0"))</f>
        <v>605</v>
      </c>
      <c r="D103" s="53">
        <f>SUMIFS('Product Backlog'!$I$5:$I$504,'Product Backlog'!$G$5:$G$504,A103,'Product Backlog'!$G$5:$G$504,"&gt;0",'Product Backlog'!$I$5:$I$504,"&gt;0")</f>
        <v>0</v>
      </c>
      <c r="E103" s="55">
        <f t="shared" si="11"/>
        <v>83.333333333333329</v>
      </c>
      <c r="F103" s="54"/>
      <c r="G103" s="54"/>
      <c r="H103" s="54"/>
      <c r="I103" s="54"/>
      <c r="P103" t="str">
        <f t="shared" si="12"/>
        <v xml:space="preserve"> </v>
      </c>
      <c r="Q103" s="56">
        <f t="shared" si="13"/>
        <v>605</v>
      </c>
      <c r="R103" s="56">
        <f t="shared" si="14"/>
        <v>83.333333333333329</v>
      </c>
    </row>
    <row r="104" spans="1:18" x14ac:dyDescent="0.15">
      <c r="A104" s="52">
        <f>$L$5+78</f>
        <v>46352</v>
      </c>
      <c r="B104" s="53" t="str">
        <f t="shared" si="10"/>
        <v xml:space="preserve"> </v>
      </c>
      <c r="C104" s="53">
        <f>MAX(0,$L$13-SUMIFS('Product Backlog'!$I$5:$I$504,'Product Backlog'!$G$5:$G$504,"&lt;="&amp;A104,'Product Backlog'!$G$5:$G$504,"&gt;0",'Product Backlog'!$I$5:$I$504,"&gt;0"))</f>
        <v>605</v>
      </c>
      <c r="D104" s="53">
        <f>SUMIFS('Product Backlog'!$I$5:$I$504,'Product Backlog'!$G$5:$G$504,A104,'Product Backlog'!$G$5:$G$504,"&gt;0",'Product Backlog'!$I$5:$I$504,"&gt;0")</f>
        <v>0</v>
      </c>
      <c r="E104" s="55">
        <f t="shared" si="11"/>
        <v>71.428571428571431</v>
      </c>
      <c r="F104" s="54"/>
      <c r="G104" s="54"/>
      <c r="H104" s="54"/>
      <c r="I104" s="54"/>
      <c r="P104" t="str">
        <f t="shared" si="12"/>
        <v xml:space="preserve"> </v>
      </c>
      <c r="Q104" s="56">
        <f t="shared" si="13"/>
        <v>605</v>
      </c>
      <c r="R104" s="56">
        <f t="shared" si="14"/>
        <v>71.428571428571431</v>
      </c>
    </row>
    <row r="105" spans="1:18" x14ac:dyDescent="0.15">
      <c r="A105" s="52">
        <f>$L$5+79</f>
        <v>46353</v>
      </c>
      <c r="B105" s="53" t="str">
        <f t="shared" si="10"/>
        <v xml:space="preserve"> </v>
      </c>
      <c r="C105" s="53">
        <f>MAX(0,$L$13-SUMIFS('Product Backlog'!$I$5:$I$504,'Product Backlog'!$G$5:$G$504,"&lt;="&amp;A105,'Product Backlog'!$G$5:$G$504,"&gt;0",'Product Backlog'!$I$5:$I$504,"&gt;0"))</f>
        <v>605</v>
      </c>
      <c r="D105" s="53">
        <f>SUMIFS('Product Backlog'!$I$5:$I$504,'Product Backlog'!$G$5:$G$504,A105,'Product Backlog'!$G$5:$G$504,"&gt;0",'Product Backlog'!$I$5:$I$504,"&gt;0")</f>
        <v>0</v>
      </c>
      <c r="E105" s="55">
        <f t="shared" si="11"/>
        <v>59.523809523809526</v>
      </c>
      <c r="F105" s="54"/>
      <c r="G105" s="54"/>
      <c r="H105" s="54"/>
      <c r="I105" s="54"/>
      <c r="P105" t="str">
        <f t="shared" si="12"/>
        <v xml:space="preserve"> </v>
      </c>
      <c r="Q105" s="56">
        <f t="shared" si="13"/>
        <v>605</v>
      </c>
      <c r="R105" s="56">
        <f t="shared" si="14"/>
        <v>59.523809523809526</v>
      </c>
    </row>
    <row r="106" spans="1:18" x14ac:dyDescent="0.15">
      <c r="A106" s="52">
        <f>$L$5+80</f>
        <v>46354</v>
      </c>
      <c r="B106" s="53" t="str">
        <f t="shared" si="10"/>
        <v xml:space="preserve"> </v>
      </c>
      <c r="C106" s="53">
        <f>MAX(0,$L$13-SUMIFS('Product Backlog'!$I$5:$I$504,'Product Backlog'!$G$5:$G$504,"&lt;="&amp;A106,'Product Backlog'!$G$5:$G$504,"&gt;0",'Product Backlog'!$I$5:$I$504,"&gt;0"))</f>
        <v>605</v>
      </c>
      <c r="D106" s="53">
        <f>SUMIFS('Product Backlog'!$I$5:$I$504,'Product Backlog'!$G$5:$G$504,A106,'Product Backlog'!$G$5:$G$504,"&gt;0",'Product Backlog'!$I$5:$I$504,"&gt;0")</f>
        <v>0</v>
      </c>
      <c r="E106" s="55">
        <f t="shared" si="11"/>
        <v>47.61904761904762</v>
      </c>
      <c r="F106" s="54"/>
      <c r="G106" s="54"/>
      <c r="H106" s="54"/>
      <c r="I106" s="54"/>
      <c r="P106" t="str">
        <f t="shared" si="12"/>
        <v xml:space="preserve"> </v>
      </c>
      <c r="Q106" s="56">
        <f t="shared" si="13"/>
        <v>605</v>
      </c>
      <c r="R106" s="56">
        <f t="shared" si="14"/>
        <v>47.61904761904762</v>
      </c>
    </row>
    <row r="107" spans="1:18" x14ac:dyDescent="0.15">
      <c r="A107" s="52">
        <f>$L$5+81</f>
        <v>46355</v>
      </c>
      <c r="B107" s="53" t="str">
        <f t="shared" si="10"/>
        <v xml:space="preserve"> </v>
      </c>
      <c r="C107" s="53">
        <f>MAX(0,$L$13-SUMIFS('Product Backlog'!$I$5:$I$504,'Product Backlog'!$G$5:$G$504,"&lt;="&amp;A107,'Product Backlog'!$G$5:$G$504,"&gt;0",'Product Backlog'!$I$5:$I$504,"&gt;0"))</f>
        <v>605</v>
      </c>
      <c r="D107" s="53">
        <f>SUMIFS('Product Backlog'!$I$5:$I$504,'Product Backlog'!$G$5:$G$504,A107,'Product Backlog'!$G$5:$G$504,"&gt;0",'Product Backlog'!$I$5:$I$504,"&gt;0")</f>
        <v>0</v>
      </c>
      <c r="E107" s="55">
        <f t="shared" si="11"/>
        <v>35.714285714285715</v>
      </c>
      <c r="F107" s="54"/>
      <c r="G107" s="54"/>
      <c r="H107" s="54"/>
      <c r="I107" s="54"/>
      <c r="P107" t="str">
        <f t="shared" si="12"/>
        <v xml:space="preserve"> </v>
      </c>
      <c r="Q107" s="56">
        <f t="shared" si="13"/>
        <v>605</v>
      </c>
      <c r="R107" s="56">
        <f t="shared" si="14"/>
        <v>35.714285714285715</v>
      </c>
    </row>
    <row r="108" spans="1:18" x14ac:dyDescent="0.15">
      <c r="A108" s="52">
        <f>$L$5+82</f>
        <v>46356</v>
      </c>
      <c r="B108" s="53" t="str">
        <f t="shared" si="10"/>
        <v xml:space="preserve"> </v>
      </c>
      <c r="C108" s="53">
        <f>MAX(0,$L$13-SUMIFS('Product Backlog'!$I$5:$I$504,'Product Backlog'!$G$5:$G$504,"&lt;="&amp;A108,'Product Backlog'!$G$5:$G$504,"&gt;0",'Product Backlog'!$I$5:$I$504,"&gt;0"))</f>
        <v>605</v>
      </c>
      <c r="D108" s="53">
        <f>SUMIFS('Product Backlog'!$I$5:$I$504,'Product Backlog'!$G$5:$G$504,A108,'Product Backlog'!$G$5:$G$504,"&gt;0",'Product Backlog'!$I$5:$I$504,"&gt;0")</f>
        <v>0</v>
      </c>
      <c r="E108" s="55">
        <f t="shared" si="11"/>
        <v>23.80952380952381</v>
      </c>
      <c r="F108" s="54"/>
      <c r="G108" s="54"/>
      <c r="H108" s="54"/>
      <c r="I108" s="54"/>
      <c r="P108" t="str">
        <f t="shared" si="12"/>
        <v xml:space="preserve"> </v>
      </c>
      <c r="Q108" s="56">
        <f t="shared" si="13"/>
        <v>605</v>
      </c>
      <c r="R108" s="56">
        <f t="shared" si="14"/>
        <v>23.80952380952381</v>
      </c>
    </row>
    <row r="109" spans="1:18" x14ac:dyDescent="0.15">
      <c r="A109" s="52">
        <f>$L$5+83</f>
        <v>46357</v>
      </c>
      <c r="B109" s="53" t="str">
        <f t="shared" si="10"/>
        <v xml:space="preserve"> </v>
      </c>
      <c r="C109" s="53">
        <f>MAX(0,$L$13-SUMIFS('Product Backlog'!$I$5:$I$504,'Product Backlog'!$G$5:$G$504,"&lt;="&amp;A109,'Product Backlog'!$G$5:$G$504,"&gt;0",'Product Backlog'!$I$5:$I$504,"&gt;0"))</f>
        <v>605</v>
      </c>
      <c r="D109" s="53">
        <f>SUMIFS('Product Backlog'!$I$5:$I$504,'Product Backlog'!$G$5:$G$504,A109,'Product Backlog'!$G$5:$G$504,"&gt;0",'Product Backlog'!$I$5:$I$504,"&gt;0")</f>
        <v>0</v>
      </c>
      <c r="E109" s="55">
        <f t="shared" si="11"/>
        <v>11.904761904761905</v>
      </c>
      <c r="F109" s="54"/>
      <c r="G109" s="54"/>
      <c r="H109" s="54"/>
      <c r="I109" s="54"/>
      <c r="P109" t="str">
        <f t="shared" si="12"/>
        <v xml:space="preserve"> </v>
      </c>
      <c r="Q109" s="56">
        <f t="shared" si="13"/>
        <v>605</v>
      </c>
      <c r="R109" s="56">
        <f t="shared" si="14"/>
        <v>11.904761904761905</v>
      </c>
    </row>
    <row r="110" spans="1:18" x14ac:dyDescent="0.15">
      <c r="A110" s="52">
        <f>$L$5+84</f>
        <v>46358</v>
      </c>
      <c r="B110" s="53" t="str">
        <f t="shared" si="10"/>
        <v>Sprint 6 end (12/2)</v>
      </c>
      <c r="C110" s="53">
        <f>MAX(0,$L$13-SUMIFS('Product Backlog'!$I$5:$I$504,'Product Backlog'!$G$5:$G$504,"&lt;="&amp;A110,'Product Backlog'!$G$5:$G$504,"&gt;0",'Product Backlog'!$I$5:$I$504,"&gt;0"))</f>
        <v>605</v>
      </c>
      <c r="D110" s="53">
        <f>SUMIFS('Product Backlog'!$I$5:$I$504,'Product Backlog'!$G$5:$G$504,A110,'Product Backlog'!$G$5:$G$504,"&gt;0",'Product Backlog'!$I$5:$I$504,"&gt;0")</f>
        <v>0</v>
      </c>
      <c r="E110" s="55">
        <f t="shared" si="11"/>
        <v>0</v>
      </c>
      <c r="F110" s="54"/>
      <c r="G110" s="54"/>
      <c r="H110" s="54"/>
      <c r="I110" s="54"/>
      <c r="P110" t="str">
        <f t="shared" si="12"/>
        <v>Sprint 6 end (12/2)</v>
      </c>
      <c r="Q110" s="56">
        <f t="shared" si="13"/>
        <v>605</v>
      </c>
      <c r="R110" s="56">
        <f t="shared" si="14"/>
        <v>0</v>
      </c>
    </row>
    <row r="111" spans="1:18" ht="14" x14ac:dyDescent="0.2">
      <c r="A111" s="40" t="str">
        <f t="shared" ref="A111:A119" si="15">IF(A110="","",IF(A110+1&gt;$L$17,"",A110+1))</f>
        <v/>
      </c>
      <c r="B111" s="41" t="str">
        <f>IF(A111="","",IF(A111=$L$5,"Sprint 1 start ("&amp;TEXT(A111,"m/d")&amp;")",IF(A111=$M$5,"Sprint 1 end ("&amp;TEXT(A111,"m/d")&amp;")",IF(A111=$L$6,"Sprint 2 start ("&amp;TEXT(A111,"m/d")&amp;")",IF(A111=$M$6,"Sprint 2 end ("&amp;TEXT(A111,"m/d")&amp;")",IF(A111=$L$7,"Sprint 3 start ("&amp;TEXT(A111,"m/d")&amp;")",IF(A111=$M$7,"Sprint 3 end ("&amp;TEXT(A111,"m/d")&amp;")",IF(A111=$L$8,"Sprint 4 start ("&amp;TEXT(A111,"m/d")&amp;")",IF(A111=$M$8,"Sprint 4 end ("&amp;TEXT(A111,"m/d")&amp;")",IF(A111=$L$9,"Sprint 5 start ("&amp;TEXT(A111,"m/d")&amp;")",IF(A111=$M$9,"Sprint 5 end ("&amp;TEXT(A111,"m/d")&amp;")",IF(A111=$L$10,"Sprint 6 start ("&amp;TEXT(A111,"m/d")&amp;")",IF(A111=$M$10,"Sprint 6 end ("&amp;TEXT(A111,"m/d")&amp;")",IF(COUNTIFS('Product Backlog'!$G$5:$G$504,A111,'Product Backlog'!$I$5:$I$504,"&gt;=0",'Product Backlog'!$I$5:$I$504,"&lt;&gt;")&gt;0,TEXT(A111,"m/d"),""))))))))))))))</f>
        <v/>
      </c>
      <c r="C111" s="41" t="str">
        <f>IF(A111="","",MAX(0,1000-SUMIFS('Product Backlog'!$I$5:$I$504,'Product Backlog'!$G$5:$G$504,"&lt;="&amp;A111,'Product Backlog'!$G$5:$G$504,"&gt;0",'Product Backlog'!$I$5:$I$504,"&gt;=0",'Product Backlog'!$I$5:$I$504,"&lt;&gt;")))</f>
        <v/>
      </c>
      <c r="D111" s="41" t="str">
        <f>IF(A111="","",SUMIFS('Product Backlog'!$I$5:$I$504,'Product Backlog'!$G$5:$G$504,A111,'Product Backlog'!$I$5:$I$504,"&gt;=0",'Product Backlog'!$I$5:$I$504,"&lt;&gt;"))</f>
        <v/>
      </c>
    </row>
    <row r="112" spans="1:18" ht="14" x14ac:dyDescent="0.2">
      <c r="A112" s="40" t="str">
        <f t="shared" si="15"/>
        <v/>
      </c>
      <c r="B112" s="41" t="str">
        <f>IF(A112="","",IF(A112=$L$5,"Sprint 1 start ("&amp;TEXT(A112,"m/d")&amp;")",IF(A112=$M$5,"Sprint 1 end ("&amp;TEXT(A112,"m/d")&amp;")",IF(A112=$L$6,"Sprint 2 start ("&amp;TEXT(A112,"m/d")&amp;")",IF(A112=$M$6,"Sprint 2 end ("&amp;TEXT(A112,"m/d")&amp;")",IF(A112=$L$7,"Sprint 3 start ("&amp;TEXT(A112,"m/d")&amp;")",IF(A112=$M$7,"Sprint 3 end ("&amp;TEXT(A112,"m/d")&amp;")",IF(A112=$L$8,"Sprint 4 start ("&amp;TEXT(A112,"m/d")&amp;")",IF(A112=$M$8,"Sprint 4 end ("&amp;TEXT(A112,"m/d")&amp;")",IF(A112=$L$9,"Sprint 5 start ("&amp;TEXT(A112,"m/d")&amp;")",IF(A112=$M$9,"Sprint 5 end ("&amp;TEXT(A112,"m/d")&amp;")",IF(A112=$L$10,"Sprint 6 start ("&amp;TEXT(A112,"m/d")&amp;")",IF(A112=$M$10,"Sprint 6 end ("&amp;TEXT(A112,"m/d")&amp;")",IF(COUNTIFS('Product Backlog'!$G$5:$G$504,A112,'Product Backlog'!$I$5:$I$504,"&gt;=0",'Product Backlog'!$I$5:$I$504,"&lt;&gt;")&gt;0,TEXT(A112,"m/d"),""))))))))))))))</f>
        <v/>
      </c>
      <c r="C112" s="41" t="str">
        <f>IF(A112="","",MAX(0,1000-SUMIFS('Product Backlog'!$I$5:$I$504,'Product Backlog'!$G$5:$G$504,"&lt;="&amp;A112,'Product Backlog'!$G$5:$G$504,"&gt;0",'Product Backlog'!$I$5:$I$504,"&gt;=0",'Product Backlog'!$I$5:$I$504,"&lt;&gt;")))</f>
        <v/>
      </c>
      <c r="D112" s="41" t="str">
        <f>IF(A112="","",SUMIFS('Product Backlog'!$I$5:$I$504,'Product Backlog'!$G$5:$G$504,A112,'Product Backlog'!$I$5:$I$504,"&gt;=0",'Product Backlog'!$I$5:$I$504,"&lt;&gt;"))</f>
        <v/>
      </c>
    </row>
    <row r="113" spans="1:4" ht="14" x14ac:dyDescent="0.2">
      <c r="A113" s="40" t="str">
        <f t="shared" si="15"/>
        <v/>
      </c>
      <c r="B113" s="41" t="str">
        <f>IF(A113="","",IF(A113=$L$5,"Sprint 1 start ("&amp;TEXT(A113,"m/d")&amp;")",IF(A113=$M$5,"Sprint 1 end ("&amp;TEXT(A113,"m/d")&amp;")",IF(A113=$L$6,"Sprint 2 start ("&amp;TEXT(A113,"m/d")&amp;")",IF(A113=$M$6,"Sprint 2 end ("&amp;TEXT(A113,"m/d")&amp;")",IF(A113=$L$7,"Sprint 3 start ("&amp;TEXT(A113,"m/d")&amp;")",IF(A113=$M$7,"Sprint 3 end ("&amp;TEXT(A113,"m/d")&amp;")",IF(A113=$L$8,"Sprint 4 start ("&amp;TEXT(A113,"m/d")&amp;")",IF(A113=$M$8,"Sprint 4 end ("&amp;TEXT(A113,"m/d")&amp;")",IF(A113=$L$9,"Sprint 5 start ("&amp;TEXT(A113,"m/d")&amp;")",IF(A113=$M$9,"Sprint 5 end ("&amp;TEXT(A113,"m/d")&amp;")",IF(A113=$L$10,"Sprint 6 start ("&amp;TEXT(A113,"m/d")&amp;")",IF(A113=$M$10,"Sprint 6 end ("&amp;TEXT(A113,"m/d")&amp;")",IF(COUNTIFS('Product Backlog'!$G$5:$G$504,A113,'Product Backlog'!$I$5:$I$504,"&gt;=0",'Product Backlog'!$I$5:$I$504,"&lt;&gt;")&gt;0,TEXT(A113,"m/d"),""))))))))))))))</f>
        <v/>
      </c>
      <c r="C113" s="41" t="str">
        <f>IF(A113="","",MAX(0,1000-SUMIFS('Product Backlog'!$I$5:$I$504,'Product Backlog'!$G$5:$G$504,"&lt;="&amp;A113,'Product Backlog'!$G$5:$G$504,"&gt;0",'Product Backlog'!$I$5:$I$504,"&gt;=0",'Product Backlog'!$I$5:$I$504,"&lt;&gt;")))</f>
        <v/>
      </c>
      <c r="D113" s="41" t="str">
        <f>IF(A113="","",SUMIFS('Product Backlog'!$I$5:$I$504,'Product Backlog'!$G$5:$G$504,A113,'Product Backlog'!$I$5:$I$504,"&gt;=0",'Product Backlog'!$I$5:$I$504,"&lt;&gt;"))</f>
        <v/>
      </c>
    </row>
    <row r="114" spans="1:4" ht="14" x14ac:dyDescent="0.2">
      <c r="A114" s="40" t="str">
        <f t="shared" si="15"/>
        <v/>
      </c>
      <c r="B114" s="41" t="str">
        <f>IF(A114="","",IF(A114=$L$5,"Sprint 1 start ("&amp;TEXT(A114,"m/d")&amp;")",IF(A114=$M$5,"Sprint 1 end ("&amp;TEXT(A114,"m/d")&amp;")",IF(A114=$L$6,"Sprint 2 start ("&amp;TEXT(A114,"m/d")&amp;")",IF(A114=$M$6,"Sprint 2 end ("&amp;TEXT(A114,"m/d")&amp;")",IF(A114=$L$7,"Sprint 3 start ("&amp;TEXT(A114,"m/d")&amp;")",IF(A114=$M$7,"Sprint 3 end ("&amp;TEXT(A114,"m/d")&amp;")",IF(A114=$L$8,"Sprint 4 start ("&amp;TEXT(A114,"m/d")&amp;")",IF(A114=$M$8,"Sprint 4 end ("&amp;TEXT(A114,"m/d")&amp;")",IF(A114=$L$9,"Sprint 5 start ("&amp;TEXT(A114,"m/d")&amp;")",IF(A114=$M$9,"Sprint 5 end ("&amp;TEXT(A114,"m/d")&amp;")",IF(A114=$L$10,"Sprint 6 start ("&amp;TEXT(A114,"m/d")&amp;")",IF(A114=$M$10,"Sprint 6 end ("&amp;TEXT(A114,"m/d")&amp;")",IF(COUNTIFS('Product Backlog'!$G$5:$G$504,A114,'Product Backlog'!$I$5:$I$504,"&gt;=0",'Product Backlog'!$I$5:$I$504,"&lt;&gt;")&gt;0,TEXT(A114,"m/d"),""))))))))))))))</f>
        <v/>
      </c>
      <c r="C114" s="41" t="str">
        <f>IF(A114="","",MAX(0,1000-SUMIFS('Product Backlog'!$I$5:$I$504,'Product Backlog'!$G$5:$G$504,"&lt;="&amp;A114,'Product Backlog'!$G$5:$G$504,"&gt;0",'Product Backlog'!$I$5:$I$504,"&gt;=0",'Product Backlog'!$I$5:$I$504,"&lt;&gt;")))</f>
        <v/>
      </c>
      <c r="D114" s="41" t="str">
        <f>IF(A114="","",SUMIFS('Product Backlog'!$I$5:$I$504,'Product Backlog'!$G$5:$G$504,A114,'Product Backlog'!$I$5:$I$504,"&gt;=0",'Product Backlog'!$I$5:$I$504,"&lt;&gt;"))</f>
        <v/>
      </c>
    </row>
    <row r="115" spans="1:4" ht="14" x14ac:dyDescent="0.2">
      <c r="A115" s="40" t="str">
        <f t="shared" si="15"/>
        <v/>
      </c>
      <c r="B115" s="41" t="str">
        <f>IF(A115="","",IF(A115=$L$5,"Sprint 1 start ("&amp;TEXT(A115,"m/d")&amp;")",IF(A115=$M$5,"Sprint 1 end ("&amp;TEXT(A115,"m/d")&amp;")",IF(A115=$L$6,"Sprint 2 start ("&amp;TEXT(A115,"m/d")&amp;")",IF(A115=$M$6,"Sprint 2 end ("&amp;TEXT(A115,"m/d")&amp;")",IF(A115=$L$7,"Sprint 3 start ("&amp;TEXT(A115,"m/d")&amp;")",IF(A115=$M$7,"Sprint 3 end ("&amp;TEXT(A115,"m/d")&amp;")",IF(A115=$L$8,"Sprint 4 start ("&amp;TEXT(A115,"m/d")&amp;")",IF(A115=$M$8,"Sprint 4 end ("&amp;TEXT(A115,"m/d")&amp;")",IF(A115=$L$9,"Sprint 5 start ("&amp;TEXT(A115,"m/d")&amp;")",IF(A115=$M$9,"Sprint 5 end ("&amp;TEXT(A115,"m/d")&amp;")",IF(A115=$L$10,"Sprint 6 start ("&amp;TEXT(A115,"m/d")&amp;")",IF(A115=$M$10,"Sprint 6 end ("&amp;TEXT(A115,"m/d")&amp;")",IF(COUNTIFS('Product Backlog'!$G$5:$G$504,A115,'Product Backlog'!$I$5:$I$504,"&gt;=0",'Product Backlog'!$I$5:$I$504,"&lt;&gt;")&gt;0,TEXT(A115,"m/d"),""))))))))))))))</f>
        <v/>
      </c>
      <c r="C115" s="41" t="str">
        <f>IF(A115="","",MAX(0,1000-SUMIFS('Product Backlog'!$I$5:$I$504,'Product Backlog'!$G$5:$G$504,"&lt;="&amp;A115,'Product Backlog'!$G$5:$G$504,"&gt;0",'Product Backlog'!$I$5:$I$504,"&gt;=0",'Product Backlog'!$I$5:$I$504,"&lt;&gt;")))</f>
        <v/>
      </c>
      <c r="D115" s="41" t="str">
        <f>IF(A115="","",SUMIFS('Product Backlog'!$I$5:$I$504,'Product Backlog'!$G$5:$G$504,A115,'Product Backlog'!$I$5:$I$504,"&gt;=0",'Product Backlog'!$I$5:$I$504,"&lt;&gt;"))</f>
        <v/>
      </c>
    </row>
    <row r="116" spans="1:4" ht="14" x14ac:dyDescent="0.2">
      <c r="A116" s="40" t="str">
        <f t="shared" si="15"/>
        <v/>
      </c>
      <c r="B116" s="41" t="str">
        <f>IF(A116="","",IF(A116=$L$5,"Sprint 1 start ("&amp;TEXT(A116,"m/d")&amp;")",IF(A116=$M$5,"Sprint 1 end ("&amp;TEXT(A116,"m/d")&amp;")",IF(A116=$L$6,"Sprint 2 start ("&amp;TEXT(A116,"m/d")&amp;")",IF(A116=$M$6,"Sprint 2 end ("&amp;TEXT(A116,"m/d")&amp;")",IF(A116=$L$7,"Sprint 3 start ("&amp;TEXT(A116,"m/d")&amp;")",IF(A116=$M$7,"Sprint 3 end ("&amp;TEXT(A116,"m/d")&amp;")",IF(A116=$L$8,"Sprint 4 start ("&amp;TEXT(A116,"m/d")&amp;")",IF(A116=$M$8,"Sprint 4 end ("&amp;TEXT(A116,"m/d")&amp;")",IF(A116=$L$9,"Sprint 5 start ("&amp;TEXT(A116,"m/d")&amp;")",IF(A116=$M$9,"Sprint 5 end ("&amp;TEXT(A116,"m/d")&amp;")",IF(A116=$L$10,"Sprint 6 start ("&amp;TEXT(A116,"m/d")&amp;")",IF(A116=$M$10,"Sprint 6 end ("&amp;TEXT(A116,"m/d")&amp;")",IF(COUNTIFS('Product Backlog'!$G$5:$G$504,A116,'Product Backlog'!$I$5:$I$504,"&gt;=0",'Product Backlog'!$I$5:$I$504,"&lt;&gt;")&gt;0,TEXT(A116,"m/d"),""))))))))))))))</f>
        <v/>
      </c>
      <c r="C116" s="41" t="str">
        <f>IF(A116="","",MAX(0,1000-SUMIFS('Product Backlog'!$I$5:$I$504,'Product Backlog'!$G$5:$G$504,"&lt;="&amp;A116,'Product Backlog'!$G$5:$G$504,"&gt;0",'Product Backlog'!$I$5:$I$504,"&gt;=0",'Product Backlog'!$I$5:$I$504,"&lt;&gt;")))</f>
        <v/>
      </c>
      <c r="D116" s="41" t="str">
        <f>IF(A116="","",SUMIFS('Product Backlog'!$I$5:$I$504,'Product Backlog'!$G$5:$G$504,A116,'Product Backlog'!$I$5:$I$504,"&gt;=0",'Product Backlog'!$I$5:$I$504,"&lt;&gt;"))</f>
        <v/>
      </c>
    </row>
    <row r="117" spans="1:4" ht="14" x14ac:dyDescent="0.2">
      <c r="A117" s="40" t="str">
        <f t="shared" si="15"/>
        <v/>
      </c>
      <c r="B117" s="41" t="str">
        <f>IF(A117="","",IF(A117=$L$5,"Sprint 1 start ("&amp;TEXT(A117,"m/d")&amp;")",IF(A117=$M$5,"Sprint 1 end ("&amp;TEXT(A117,"m/d")&amp;")",IF(A117=$L$6,"Sprint 2 start ("&amp;TEXT(A117,"m/d")&amp;")",IF(A117=$M$6,"Sprint 2 end ("&amp;TEXT(A117,"m/d")&amp;")",IF(A117=$L$7,"Sprint 3 start ("&amp;TEXT(A117,"m/d")&amp;")",IF(A117=$M$7,"Sprint 3 end ("&amp;TEXT(A117,"m/d")&amp;")",IF(A117=$L$8,"Sprint 4 start ("&amp;TEXT(A117,"m/d")&amp;")",IF(A117=$M$8,"Sprint 4 end ("&amp;TEXT(A117,"m/d")&amp;")",IF(A117=$L$9,"Sprint 5 start ("&amp;TEXT(A117,"m/d")&amp;")",IF(A117=$M$9,"Sprint 5 end ("&amp;TEXT(A117,"m/d")&amp;")",IF(A117=$L$10,"Sprint 6 start ("&amp;TEXT(A117,"m/d")&amp;")",IF(A117=$M$10,"Sprint 6 end ("&amp;TEXT(A117,"m/d")&amp;")",IF(COUNTIFS('Product Backlog'!$G$5:$G$504,A117,'Product Backlog'!$I$5:$I$504,"&gt;=0",'Product Backlog'!$I$5:$I$504,"&lt;&gt;")&gt;0,TEXT(A117,"m/d"),""))))))))))))))</f>
        <v/>
      </c>
      <c r="C117" s="41" t="str">
        <f>IF(A117="","",MAX(0,1000-SUMIFS('Product Backlog'!$I$5:$I$504,'Product Backlog'!$G$5:$G$504,"&lt;="&amp;A117,'Product Backlog'!$G$5:$G$504,"&gt;0",'Product Backlog'!$I$5:$I$504,"&gt;=0",'Product Backlog'!$I$5:$I$504,"&lt;&gt;")))</f>
        <v/>
      </c>
      <c r="D117" s="41" t="str">
        <f>IF(A117="","",SUMIFS('Product Backlog'!$I$5:$I$504,'Product Backlog'!$G$5:$G$504,A117,'Product Backlog'!$I$5:$I$504,"&gt;=0",'Product Backlog'!$I$5:$I$504,"&lt;&gt;"))</f>
        <v/>
      </c>
    </row>
    <row r="118" spans="1:4" ht="14" x14ac:dyDescent="0.2">
      <c r="A118" s="40" t="str">
        <f t="shared" si="15"/>
        <v/>
      </c>
      <c r="B118" s="41" t="str">
        <f>IF(A118="","",IF(A118=$L$5,"Sprint 1 start ("&amp;TEXT(A118,"m/d")&amp;")",IF(A118=$M$5,"Sprint 1 end ("&amp;TEXT(A118,"m/d")&amp;")",IF(A118=$L$6,"Sprint 2 start ("&amp;TEXT(A118,"m/d")&amp;")",IF(A118=$M$6,"Sprint 2 end ("&amp;TEXT(A118,"m/d")&amp;")",IF(A118=$L$7,"Sprint 3 start ("&amp;TEXT(A118,"m/d")&amp;")",IF(A118=$M$7,"Sprint 3 end ("&amp;TEXT(A118,"m/d")&amp;")",IF(A118=$L$8,"Sprint 4 start ("&amp;TEXT(A118,"m/d")&amp;")",IF(A118=$M$8,"Sprint 4 end ("&amp;TEXT(A118,"m/d")&amp;")",IF(A118=$L$9,"Sprint 5 start ("&amp;TEXT(A118,"m/d")&amp;")",IF(A118=$M$9,"Sprint 5 end ("&amp;TEXT(A118,"m/d")&amp;")",IF(A118=$L$10,"Sprint 6 start ("&amp;TEXT(A118,"m/d")&amp;")",IF(A118=$M$10,"Sprint 6 end ("&amp;TEXT(A118,"m/d")&amp;")",IF(COUNTIFS('Product Backlog'!$G$5:$G$504,A118,'Product Backlog'!$I$5:$I$504,"&gt;=0",'Product Backlog'!$I$5:$I$504,"&lt;&gt;")&gt;0,TEXT(A118,"m/d"),""))))))))))))))</f>
        <v/>
      </c>
      <c r="C118" s="41" t="str">
        <f>IF(A118="","",MAX(0,1000-SUMIFS('Product Backlog'!$I$5:$I$504,'Product Backlog'!$G$5:$G$504,"&lt;="&amp;A118,'Product Backlog'!$G$5:$G$504,"&gt;0",'Product Backlog'!$I$5:$I$504,"&gt;=0",'Product Backlog'!$I$5:$I$504,"&lt;&gt;")))</f>
        <v/>
      </c>
      <c r="D118" s="41" t="str">
        <f>IF(A118="","",SUMIFS('Product Backlog'!$I$5:$I$504,'Product Backlog'!$G$5:$G$504,A118,'Product Backlog'!$I$5:$I$504,"&gt;=0",'Product Backlog'!$I$5:$I$504,"&lt;&gt;"))</f>
        <v/>
      </c>
    </row>
    <row r="119" spans="1:4" ht="14" x14ac:dyDescent="0.2">
      <c r="A119" s="40" t="str">
        <f t="shared" si="15"/>
        <v/>
      </c>
      <c r="B119" s="41" t="str">
        <f>IF(A119="","",IF(A119=$L$5,"Sprint 1 start ("&amp;TEXT(A119,"m/d")&amp;")",IF(A119=$M$5,"Sprint 1 end ("&amp;TEXT(A119,"m/d")&amp;")",IF(A119=$L$6,"Sprint 2 start ("&amp;TEXT(A119,"m/d")&amp;")",IF(A119=$M$6,"Sprint 2 end ("&amp;TEXT(A119,"m/d")&amp;")",IF(A119=$L$7,"Sprint 3 start ("&amp;TEXT(A119,"m/d")&amp;")",IF(A119=$M$7,"Sprint 3 end ("&amp;TEXT(A119,"m/d")&amp;")",IF(A119=$L$8,"Sprint 4 start ("&amp;TEXT(A119,"m/d")&amp;")",IF(A119=$M$8,"Sprint 4 end ("&amp;TEXT(A119,"m/d")&amp;")",IF(A119=$L$9,"Sprint 5 start ("&amp;TEXT(A119,"m/d")&amp;")",IF(A119=$M$9,"Sprint 5 end ("&amp;TEXT(A119,"m/d")&amp;")",IF(A119=$L$10,"Sprint 6 start ("&amp;TEXT(A119,"m/d")&amp;")",IF(A119=$M$10,"Sprint 6 end ("&amp;TEXT(A119,"m/d")&amp;")",IF(COUNTIFS('Product Backlog'!$G$5:$G$504,A119,'Product Backlog'!$I$5:$I$504,"&gt;=0",'Product Backlog'!$I$5:$I$504,"&lt;&gt;")&gt;0,TEXT(A119,"m/d"),""))))))))))))))</f>
        <v/>
      </c>
      <c r="C119" s="41" t="str">
        <f>IF(A119="","",MAX(0,1000-SUMIFS('Product Backlog'!$I$5:$I$504,'Product Backlog'!$G$5:$G$504,"&lt;="&amp;A119,'Product Backlog'!$G$5:$G$504,"&gt;0",'Product Backlog'!$I$5:$I$504,"&gt;=0",'Product Backlog'!$I$5:$I$504,"&lt;&gt;")))</f>
        <v/>
      </c>
      <c r="D119" s="41" t="str">
        <f>IF(A119="","",SUMIFS('Product Backlog'!$I$5:$I$504,'Product Backlog'!$G$5:$G$504,A119,'Product Backlog'!$I$5:$I$504,"&gt;=0",'Product Backlog'!$I$5:$I$504,"&lt;&gt;"))</f>
        <v/>
      </c>
    </row>
  </sheetData>
  <mergeCells count="3">
    <mergeCell ref="A1:M1"/>
    <mergeCell ref="A2:M2"/>
    <mergeCell ref="K19:O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9"/>
  <sheetViews>
    <sheetView showGridLines="0" workbookViewId="0">
      <pane ySplit="9" topLeftCell="A10" activePane="bottomLeft" state="frozen"/>
      <selection pane="bottomLeft" activeCell="E18" sqref="E18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48" customWidth="1"/>
    <col min="4" max="4" width="30" customWidth="1"/>
    <col min="5" max="5" width="18" customWidth="1"/>
    <col min="6" max="7" width="15" customWidth="1"/>
    <col min="8" max="8" width="18" customWidth="1"/>
    <col min="9" max="9" width="22" customWidth="1"/>
    <col min="11" max="16" width="16" customWidth="1"/>
  </cols>
  <sheetData>
    <row r="1" spans="1:16" ht="32" customHeight="1" x14ac:dyDescent="0.15">
      <c r="A1" s="58" t="s">
        <v>33</v>
      </c>
      <c r="B1" s="58"/>
      <c r="C1" s="58"/>
      <c r="D1" s="58"/>
      <c r="E1" s="58"/>
      <c r="F1" s="58"/>
      <c r="G1" s="58"/>
      <c r="H1" s="58"/>
      <c r="I1" s="58"/>
    </row>
    <row r="2" spans="1:16" ht="27" customHeight="1" x14ac:dyDescent="0.15">
      <c r="A2" s="59" t="s">
        <v>34</v>
      </c>
      <c r="B2" s="59"/>
      <c r="C2" s="59"/>
      <c r="D2" s="59"/>
      <c r="E2" s="59"/>
      <c r="F2" s="59"/>
      <c r="G2" s="59"/>
      <c r="H2" s="59"/>
      <c r="I2" s="59"/>
    </row>
    <row r="4" spans="1:16" ht="14" customHeight="1" x14ac:dyDescent="0.15">
      <c r="A4" s="42" t="s">
        <v>2</v>
      </c>
      <c r="B4" s="42">
        <v>1</v>
      </c>
      <c r="C4" s="42"/>
      <c r="D4" s="42" t="s">
        <v>22</v>
      </c>
      <c r="E4" s="43">
        <v>46274</v>
      </c>
      <c r="F4" s="42"/>
      <c r="G4" s="42" t="s">
        <v>23</v>
      </c>
      <c r="H4" s="43">
        <v>46283</v>
      </c>
      <c r="K4" s="61" t="s">
        <v>35</v>
      </c>
      <c r="L4" s="61"/>
      <c r="M4" s="61"/>
      <c r="N4" s="61"/>
      <c r="O4" s="61"/>
      <c r="P4" s="61"/>
    </row>
    <row r="5" spans="1:16" ht="24" customHeight="1" x14ac:dyDescent="0.15">
      <c r="A5" s="42" t="s">
        <v>36</v>
      </c>
      <c r="B5" s="62" t="s">
        <v>37</v>
      </c>
      <c r="C5" s="62"/>
      <c r="D5" s="62"/>
      <c r="E5" s="62"/>
      <c r="F5" s="62"/>
      <c r="G5" s="62"/>
      <c r="H5" s="62"/>
      <c r="I5" s="62"/>
      <c r="K5" s="61"/>
      <c r="L5" s="61"/>
      <c r="M5" s="61"/>
      <c r="N5" s="61"/>
      <c r="O5" s="61"/>
      <c r="P5" s="61"/>
    </row>
    <row r="6" spans="1:16" ht="24" customHeight="1" x14ac:dyDescent="0.15">
      <c r="A6" s="42"/>
      <c r="B6" s="62"/>
      <c r="C6" s="62"/>
      <c r="D6" s="62"/>
      <c r="E6" s="62"/>
      <c r="F6" s="62"/>
      <c r="G6" s="62"/>
      <c r="H6" s="62"/>
      <c r="I6" s="62"/>
      <c r="K6" s="61"/>
      <c r="L6" s="61"/>
      <c r="M6" s="61"/>
      <c r="N6" s="61"/>
      <c r="O6" s="61"/>
      <c r="P6" s="61"/>
    </row>
    <row r="7" spans="1:16" ht="14" x14ac:dyDescent="0.15">
      <c r="A7" s="44" t="s">
        <v>38</v>
      </c>
      <c r="B7" s="44">
        <f>COUNTIFS('Product Backlog'!$B$5:$B$504,1,'Product Backlog'!$C$5:$C$504,"&lt;&gt;")</f>
        <v>3</v>
      </c>
      <c r="C7" s="44" t="s">
        <v>17</v>
      </c>
      <c r="D7" s="44">
        <f>COUNTIFS('Product Backlog'!$B$5:$B$504,1,'Product Backlog'!$D$5:$D$504,"Done")+COUNTIFS('Product Backlog'!$B$5:$B$504,1,'Product Backlog'!$D$5:$D$504,"Completed")</f>
        <v>3</v>
      </c>
      <c r="E7" s="44" t="s">
        <v>39</v>
      </c>
      <c r="F7" s="44">
        <f>SUMIFS('Product Backlog'!$H$5:$H$504,'Product Backlog'!$B$5:$B$504,1)</f>
        <v>3.5</v>
      </c>
      <c r="G7" s="44" t="s">
        <v>40</v>
      </c>
      <c r="H7" s="44">
        <f>SUMIFS('Product Backlog'!$I$5:$I$504,'Product Backlog'!$B$5:$B$504,1)</f>
        <v>95</v>
      </c>
      <c r="K7" s="61"/>
      <c r="L7" s="61"/>
      <c r="M7" s="61"/>
      <c r="N7" s="61"/>
      <c r="O7" s="61"/>
      <c r="P7" s="61"/>
    </row>
    <row r="8" spans="1:16" ht="14" customHeight="1" x14ac:dyDescent="0.2">
      <c r="A8" s="63" t="s">
        <v>41</v>
      </c>
      <c r="B8" s="63"/>
      <c r="C8" s="63"/>
      <c r="D8" s="63"/>
      <c r="E8" s="63"/>
      <c r="F8" s="63"/>
      <c r="G8" s="63"/>
      <c r="H8" s="63"/>
      <c r="I8" s="63"/>
    </row>
    <row r="9" spans="1:16" ht="30" customHeight="1" x14ac:dyDescent="0.15">
      <c r="A9" s="45" t="s">
        <v>1</v>
      </c>
      <c r="B9" s="45" t="s">
        <v>2</v>
      </c>
      <c r="C9" s="45" t="s">
        <v>3</v>
      </c>
      <c r="D9" s="45" t="s">
        <v>4</v>
      </c>
      <c r="E9" s="45" t="s">
        <v>5</v>
      </c>
      <c r="F9" s="45" t="s">
        <v>6</v>
      </c>
      <c r="G9" s="45" t="s">
        <v>7</v>
      </c>
      <c r="H9" s="45" t="s">
        <v>8</v>
      </c>
      <c r="I9" s="45" t="s">
        <v>9</v>
      </c>
    </row>
    <row r="10" spans="1:16" ht="21" customHeight="1" x14ac:dyDescent="0.2">
      <c r="A10" s="46">
        <f>IF($J10="","",IF(ISBLANK(INDEX('Product Backlog'!$A$5:$A$504,$J10)),"",INDEX('Product Backlog'!$A$5:$A$504,$J10)))</f>
        <v>1</v>
      </c>
      <c r="B10" s="46">
        <f>IF($J10="","",IF(ISBLANK(INDEX('Product Backlog'!$B$5:$B$504,$J10)),"",INDEX('Product Backlog'!$B$5:$B$504,$J10)))</f>
        <v>1</v>
      </c>
      <c r="C10" s="46" t="str">
        <f>IF($J10="","",IF(ISBLANK(INDEX('Product Backlog'!$C$5:$C$504,$J10)),"",INDEX('Product Backlog'!$C$5:$C$504,$J10)))</f>
        <v>Basic webpage and repo setup</v>
      </c>
      <c r="D10" s="46" t="str">
        <f>IF($J10="","",IF(ISBLANK(INDEX('Product Backlog'!$D$5:$D$504,$J10)),"",INDEX('Product Backlog'!$D$5:$D$504,$J10)))</f>
        <v>Done</v>
      </c>
      <c r="E10" s="46" t="str">
        <f>IF($J10="","",IF(ISBLANK(INDEX('Product Backlog'!$E$5:$E$504,$J10)),"",INDEX('Product Backlog'!$E$5:$E$504,$J10)))</f>
        <v>chropic</v>
      </c>
      <c r="F10" s="47">
        <f>IF($J10="","",IF(ISBLANK(INDEX('Product Backlog'!$F$5:$F$504,$J10)),"",INDEX('Product Backlog'!$F$5:$F$504,$J10)))</f>
        <v>46274</v>
      </c>
      <c r="G10" s="47">
        <f>IF($J10="","",IF(ISBLANK(INDEX('Product Backlog'!$G$5:$G$504,$J10)),"",INDEX('Product Backlog'!$G$5:$G$504,$J10)))</f>
        <v>46276</v>
      </c>
      <c r="H10" s="48">
        <f>IF($J10="","",IF(ISBLANK(INDEX('Product Backlog'!$H$5:$H$504,$J10)),"",INDEX('Product Backlog'!$H$5:$H$504,$J10)))</f>
        <v>0.5</v>
      </c>
      <c r="I10" s="48">
        <f>IF($J10="","",IF(ISBLANK(INDEX('Product Backlog'!$I$5:$I$504,$J10)),"",INDEX('Product Backlog'!$I$5:$I$504,$J10)))</f>
        <v>25</v>
      </c>
      <c r="J10">
        <f>IFERROR(MATCH($B$4&amp;"-"&amp;ROWS($A$10:A10),'Product Backlog'!$J$5:$J$504,0),"")</f>
        <v>1</v>
      </c>
    </row>
    <row r="11" spans="1:16" ht="21" customHeight="1" x14ac:dyDescent="0.2">
      <c r="A11" s="46">
        <f>IF($J11="","",IF(ISBLANK(INDEX('Product Backlog'!$A$5:$A$504,$J11)),"",INDEX('Product Backlog'!$A$5:$A$504,$J11)))</f>
        <v>2</v>
      </c>
      <c r="B11" s="46">
        <f>IF($J11="","",IF(ISBLANK(INDEX('Product Backlog'!$B$5:$B$504,$J11)),"",INDEX('Product Backlog'!$B$5:$B$504,$J11)))</f>
        <v>1</v>
      </c>
      <c r="C11" s="46" t="str">
        <f>IF($J11="","",IF(ISBLANK(INDEX('Product Backlog'!$C$5:$C$504,$J11)),"",INDEX('Product Backlog'!$C$5:$C$504,$J11)))</f>
        <v>Actual web interface and demo features</v>
      </c>
      <c r="D11" s="46" t="str">
        <f>IF($J11="","",IF(ISBLANK(INDEX('Product Backlog'!$D$5:$D$504,$J11)),"",INDEX('Product Backlog'!$D$5:$D$504,$J11)))</f>
        <v>Done</v>
      </c>
      <c r="E11" s="46" t="s">
        <v>18</v>
      </c>
      <c r="F11" s="47">
        <f>IF($J11="","",IF(ISBLANK(INDEX('Product Backlog'!$F$5:$F$504,$J11)),"",INDEX('Product Backlog'!$F$5:$F$504,$J11)))</f>
        <v>46274</v>
      </c>
      <c r="G11" s="47">
        <f>IF($J11="","",IF(ISBLANK(INDEX('Product Backlog'!$G$5:$G$504,$J11)),"",INDEX('Product Backlog'!$G$5:$G$504,$J11)))</f>
        <v>46281</v>
      </c>
      <c r="H11" s="48">
        <f>IF($J11="","",IF(ISBLANK(INDEX('Product Backlog'!$H$5:$H$504,$J11)),"",INDEX('Product Backlog'!$H$5:$H$504,$J11)))</f>
        <v>2</v>
      </c>
      <c r="I11" s="48">
        <f>IF($J11="","",IF(ISBLANK(INDEX('Product Backlog'!$I$5:$I$504,$J11)),"",INDEX('Product Backlog'!$I$5:$I$504,$J11)))</f>
        <v>55</v>
      </c>
      <c r="J11">
        <f>IFERROR(MATCH($B$4&amp;"-"&amp;ROWS($A$10:A11),'Product Backlog'!$J$5:$J$504,0),"")</f>
        <v>2</v>
      </c>
    </row>
    <row r="12" spans="1:16" ht="21" customHeight="1" x14ac:dyDescent="0.2">
      <c r="A12" s="46">
        <f>IF($J12="","",IF(ISBLANK(INDEX('Product Backlog'!$A$5:$A$504,$J12)),"",INDEX('Product Backlog'!$A$5:$A$504,$J12)))</f>
        <v>3</v>
      </c>
      <c r="B12" s="46">
        <f>IF($J12="","",IF(ISBLANK(INDEX('Product Backlog'!$B$5:$B$504,$J12)),"",INDEX('Product Backlog'!$B$5:$B$504,$J12)))</f>
        <v>1</v>
      </c>
      <c r="C12" s="46" t="str">
        <f>IF($J12="","",IF(ISBLANK(INDEX('Product Backlog'!$C$5:$C$504,$J12)),"",INDEX('Product Backlog'!$C$5:$C$504,$J12)))</f>
        <v>Find client and update README</v>
      </c>
      <c r="D12" s="46" t="str">
        <f>IF($J12="","",IF(ISBLANK(INDEX('Product Backlog'!$D$5:$D$504,$J12)),"",INDEX('Product Backlog'!$D$5:$D$504,$J12)))</f>
        <v>Done</v>
      </c>
      <c r="E12" s="46" t="str">
        <f>IF($J12="","",IF(ISBLANK(INDEX('Product Backlog'!$E$5:$E$504,$J12)),"",INDEX('Product Backlog'!$E$5:$E$504,$J12)))</f>
        <v>chropic</v>
      </c>
      <c r="F12" s="47">
        <f>IF($J12="","",IF(ISBLANK(INDEX('Product Backlog'!$F$5:$F$504,$J12)),"",INDEX('Product Backlog'!$F$5:$F$504,$J12)))</f>
        <v>46274</v>
      </c>
      <c r="G12" s="47">
        <f>IF($J12="","",IF(ISBLANK(INDEX('Product Backlog'!$G$5:$G$504,$J12)),"",INDEX('Product Backlog'!$G$5:$G$504,$J12)))</f>
        <v>46283</v>
      </c>
      <c r="H12" s="48">
        <f>IF($J12="","",IF(ISBLANK(INDEX('Product Backlog'!$H$5:$H$504,$J12)),"",INDEX('Product Backlog'!$H$5:$H$504,$J12)))</f>
        <v>1</v>
      </c>
      <c r="I12" s="48">
        <f>IF($J12="","",IF(ISBLANK(INDEX('Product Backlog'!$I$5:$I$504,$J12)),"",INDEX('Product Backlog'!$I$5:$I$504,$J12)))</f>
        <v>15</v>
      </c>
      <c r="J12">
        <f>IFERROR(MATCH($B$4&amp;"-"&amp;ROWS($A$10:A12),'Product Backlog'!$J$5:$J$504,0),"")</f>
        <v>3</v>
      </c>
    </row>
    <row r="13" spans="1:16" ht="21" customHeight="1" x14ac:dyDescent="0.2">
      <c r="A13" s="46" t="str">
        <f>IF($J13="","",IF(ISBLANK(INDEX('Product Backlog'!$A$5:$A$504,$J13)),"",INDEX('Product Backlog'!$A$5:$A$504,$J13)))</f>
        <v/>
      </c>
      <c r="B13" s="46" t="str">
        <f>IF($J13="","",IF(ISBLANK(INDEX('Product Backlog'!$B$5:$B$504,$J13)),"",INDEX('Product Backlog'!$B$5:$B$504,$J13)))</f>
        <v/>
      </c>
      <c r="C13" s="46" t="str">
        <f>IF($J13="","",IF(ISBLANK(INDEX('Product Backlog'!$C$5:$C$504,$J13)),"",INDEX('Product Backlog'!$C$5:$C$504,$J13)))</f>
        <v/>
      </c>
      <c r="D13" s="46" t="str">
        <f>IF($J13="","",IF(ISBLANK(INDEX('Product Backlog'!$D$5:$D$504,$J13)),"",INDEX('Product Backlog'!$D$5:$D$504,$J13)))</f>
        <v/>
      </c>
      <c r="E13" s="46" t="str">
        <f>IF($J13="","",IF(ISBLANK(INDEX('Product Backlog'!$E$5:$E$504,$J13)),"",INDEX('Product Backlog'!$E$5:$E$504,$J13)))</f>
        <v/>
      </c>
      <c r="F13" s="47" t="str">
        <f>IF($J13="","",IF(ISBLANK(INDEX('Product Backlog'!$F$5:$F$504,$J13)),"",INDEX('Product Backlog'!$F$5:$F$504,$J13)))</f>
        <v/>
      </c>
      <c r="G13" s="47" t="str">
        <f>IF($J13="","",IF(ISBLANK(INDEX('Product Backlog'!$G$5:$G$504,$J13)),"",INDEX('Product Backlog'!$G$5:$G$504,$J13)))</f>
        <v/>
      </c>
      <c r="H13" s="48" t="str">
        <f>IF($J13="","",IF(ISBLANK(INDEX('Product Backlog'!$H$5:$H$504,$J13)),"",INDEX('Product Backlog'!$H$5:$H$504,$J13)))</f>
        <v/>
      </c>
      <c r="I13" s="48" t="str">
        <f>IF($J13="","",IF(ISBLANK(INDEX('Product Backlog'!$I$5:$I$504,$J13)),"",INDEX('Product Backlog'!$I$5:$I$504,$J13)))</f>
        <v/>
      </c>
      <c r="J13" t="str">
        <f>IFERROR(MATCH($B$4&amp;"-"&amp;ROWS($A$10:A13),'Product Backlog'!$J$5:$J$504,0),"")</f>
        <v/>
      </c>
    </row>
    <row r="14" spans="1:16" ht="21" customHeight="1" x14ac:dyDescent="0.2">
      <c r="A14" s="46" t="str">
        <f>IF($J14="","",IF(ISBLANK(INDEX('Product Backlog'!$A$5:$A$504,$J14)),"",INDEX('Product Backlog'!$A$5:$A$504,$J14)))</f>
        <v/>
      </c>
      <c r="B14" s="46" t="str">
        <f>IF($J14="","",IF(ISBLANK(INDEX('Product Backlog'!$B$5:$B$504,$J14)),"",INDEX('Product Backlog'!$B$5:$B$504,$J14)))</f>
        <v/>
      </c>
      <c r="C14" s="46" t="str">
        <f>IF($J14="","",IF(ISBLANK(INDEX('Product Backlog'!$C$5:$C$504,$J14)),"",INDEX('Product Backlog'!$C$5:$C$504,$J14)))</f>
        <v/>
      </c>
      <c r="D14" s="46" t="str">
        <f>IF($J14="","",IF(ISBLANK(INDEX('Product Backlog'!$D$5:$D$504,$J14)),"",INDEX('Product Backlog'!$D$5:$D$504,$J14)))</f>
        <v/>
      </c>
      <c r="E14" s="46" t="str">
        <f>IF($J14="","",IF(ISBLANK(INDEX('Product Backlog'!$E$5:$E$504,$J14)),"",INDEX('Product Backlog'!$E$5:$E$504,$J14)))</f>
        <v/>
      </c>
      <c r="F14" s="47" t="str">
        <f>IF($J14="","",IF(ISBLANK(INDEX('Product Backlog'!$F$5:$F$504,$J14)),"",INDEX('Product Backlog'!$F$5:$F$504,$J14)))</f>
        <v/>
      </c>
      <c r="G14" s="47" t="str">
        <f>IF($J14="","",IF(ISBLANK(INDEX('Product Backlog'!$G$5:$G$504,$J14)),"",INDEX('Product Backlog'!$G$5:$G$504,$J14)))</f>
        <v/>
      </c>
      <c r="H14" s="48" t="str">
        <f>IF($J14="","",IF(ISBLANK(INDEX('Product Backlog'!$H$5:$H$504,$J14)),"",INDEX('Product Backlog'!$H$5:$H$504,$J14)))</f>
        <v/>
      </c>
      <c r="I14" s="48" t="str">
        <f>IF($J14="","",IF(ISBLANK(INDEX('Product Backlog'!$I$5:$I$504,$J14)),"",INDEX('Product Backlog'!$I$5:$I$504,$J14)))</f>
        <v/>
      </c>
      <c r="J14" t="str">
        <f>IFERROR(MATCH($B$4&amp;"-"&amp;ROWS($A$10:A14),'Product Backlog'!$J$5:$J$504,0),"")</f>
        <v/>
      </c>
    </row>
    <row r="15" spans="1:16" ht="21" customHeight="1" x14ac:dyDescent="0.2">
      <c r="A15" s="46" t="str">
        <f>IF($J15="","",IF(ISBLANK(INDEX('Product Backlog'!$A$5:$A$504,$J15)),"",INDEX('Product Backlog'!$A$5:$A$504,$J15)))</f>
        <v/>
      </c>
      <c r="B15" s="46" t="str">
        <f>IF($J15="","",IF(ISBLANK(INDEX('Product Backlog'!$B$5:$B$504,$J15)),"",INDEX('Product Backlog'!$B$5:$B$504,$J15)))</f>
        <v/>
      </c>
      <c r="C15" s="46" t="str">
        <f>IF($J15="","",IF(ISBLANK(INDEX('Product Backlog'!$C$5:$C$504,$J15)),"",INDEX('Product Backlog'!$C$5:$C$504,$J15)))</f>
        <v/>
      </c>
      <c r="D15" s="46" t="str">
        <f>IF($J15="","",IF(ISBLANK(INDEX('Product Backlog'!$D$5:$D$504,$J15)),"",INDEX('Product Backlog'!$D$5:$D$504,$J15)))</f>
        <v/>
      </c>
      <c r="E15" s="46" t="str">
        <f>IF($J15="","",IF(ISBLANK(INDEX('Product Backlog'!$E$5:$E$504,$J15)),"",INDEX('Product Backlog'!$E$5:$E$504,$J15)))</f>
        <v/>
      </c>
      <c r="F15" s="47" t="str">
        <f>IF($J15="","",IF(ISBLANK(INDEX('Product Backlog'!$F$5:$F$504,$J15)),"",INDEX('Product Backlog'!$F$5:$F$504,$J15)))</f>
        <v/>
      </c>
      <c r="G15" s="47" t="str">
        <f>IF($J15="","",IF(ISBLANK(INDEX('Product Backlog'!$G$5:$G$504,$J15)),"",INDEX('Product Backlog'!$G$5:$G$504,$J15)))</f>
        <v/>
      </c>
      <c r="H15" s="48" t="str">
        <f>IF($J15="","",IF(ISBLANK(INDEX('Product Backlog'!$H$5:$H$504,$J15)),"",INDEX('Product Backlog'!$H$5:$H$504,$J15)))</f>
        <v/>
      </c>
      <c r="I15" s="48" t="str">
        <f>IF($J15="","",IF(ISBLANK(INDEX('Product Backlog'!$I$5:$I$504,$J15)),"",INDEX('Product Backlog'!$I$5:$I$504,$J15)))</f>
        <v/>
      </c>
      <c r="J15" t="str">
        <f>IFERROR(MATCH($B$4&amp;"-"&amp;ROWS($A$10:A15),'Product Backlog'!$J$5:$J$504,0),"")</f>
        <v/>
      </c>
    </row>
    <row r="16" spans="1:16" ht="21" customHeight="1" x14ac:dyDescent="0.2">
      <c r="A16" s="46" t="str">
        <f>IF($J16="","",IF(ISBLANK(INDEX('Product Backlog'!$A$5:$A$504,$J16)),"",INDEX('Product Backlog'!$A$5:$A$504,$J16)))</f>
        <v/>
      </c>
      <c r="B16" s="46" t="str">
        <f>IF($J16="","",IF(ISBLANK(INDEX('Product Backlog'!$B$5:$B$504,$J16)),"",INDEX('Product Backlog'!$B$5:$B$504,$J16)))</f>
        <v/>
      </c>
      <c r="C16" s="46" t="str">
        <f>IF($J16="","",IF(ISBLANK(INDEX('Product Backlog'!$C$5:$C$504,$J16)),"",INDEX('Product Backlog'!$C$5:$C$504,$J16)))</f>
        <v/>
      </c>
      <c r="D16" s="46" t="str">
        <f>IF($J16="","",IF(ISBLANK(INDEX('Product Backlog'!$D$5:$D$504,$J16)),"",INDEX('Product Backlog'!$D$5:$D$504,$J16)))</f>
        <v/>
      </c>
      <c r="E16" s="46" t="str">
        <f>IF($J16="","",IF(ISBLANK(INDEX('Product Backlog'!$E$5:$E$504,$J16)),"",INDEX('Product Backlog'!$E$5:$E$504,$J16)))</f>
        <v/>
      </c>
      <c r="F16" s="47" t="str">
        <f>IF($J16="","",IF(ISBLANK(INDEX('Product Backlog'!$F$5:$F$504,$J16)),"",INDEX('Product Backlog'!$F$5:$F$504,$J16)))</f>
        <v/>
      </c>
      <c r="G16" s="47" t="str">
        <f>IF($J16="","",IF(ISBLANK(INDEX('Product Backlog'!$G$5:$G$504,$J16)),"",INDEX('Product Backlog'!$G$5:$G$504,$J16)))</f>
        <v/>
      </c>
      <c r="H16" s="48" t="str">
        <f>IF($J16="","",IF(ISBLANK(INDEX('Product Backlog'!$H$5:$H$504,$J16)),"",INDEX('Product Backlog'!$H$5:$H$504,$J16)))</f>
        <v/>
      </c>
      <c r="I16" s="48" t="str">
        <f>IF($J16="","",IF(ISBLANK(INDEX('Product Backlog'!$I$5:$I$504,$J16)),"",INDEX('Product Backlog'!$I$5:$I$504,$J16)))</f>
        <v/>
      </c>
      <c r="J16" t="str">
        <f>IFERROR(MATCH($B$4&amp;"-"&amp;ROWS($A$10:A16),'Product Backlog'!$J$5:$J$504,0),"")</f>
        <v/>
      </c>
    </row>
    <row r="17" spans="1:10" ht="21" customHeight="1" x14ac:dyDescent="0.2">
      <c r="A17" s="46" t="str">
        <f>IF($J17="","",IF(ISBLANK(INDEX('Product Backlog'!$A$5:$A$504,$J17)),"",INDEX('Product Backlog'!$A$5:$A$504,$J17)))</f>
        <v/>
      </c>
      <c r="B17" s="46" t="str">
        <f>IF($J17="","",IF(ISBLANK(INDEX('Product Backlog'!$B$5:$B$504,$J17)),"",INDEX('Product Backlog'!$B$5:$B$504,$J17)))</f>
        <v/>
      </c>
      <c r="C17" s="46" t="str">
        <f>IF($J17="","",IF(ISBLANK(INDEX('Product Backlog'!$C$5:$C$504,$J17)),"",INDEX('Product Backlog'!$C$5:$C$504,$J17)))</f>
        <v/>
      </c>
      <c r="D17" s="46" t="str">
        <f>IF($J17="","",IF(ISBLANK(INDEX('Product Backlog'!$D$5:$D$504,$J17)),"",INDEX('Product Backlog'!$D$5:$D$504,$J17)))</f>
        <v/>
      </c>
      <c r="E17" s="46" t="str">
        <f>IF($J17="","",IF(ISBLANK(INDEX('Product Backlog'!$E$5:$E$504,$J17)),"",INDEX('Product Backlog'!$E$5:$E$504,$J17)))</f>
        <v/>
      </c>
      <c r="F17" s="47" t="str">
        <f>IF($J17="","",IF(ISBLANK(INDEX('Product Backlog'!$F$5:$F$504,$J17)),"",INDEX('Product Backlog'!$F$5:$F$504,$J17)))</f>
        <v/>
      </c>
      <c r="G17" s="47" t="str">
        <f>IF($J17="","",IF(ISBLANK(INDEX('Product Backlog'!$G$5:$G$504,$J17)),"",INDEX('Product Backlog'!$G$5:$G$504,$J17)))</f>
        <v/>
      </c>
      <c r="H17" s="48" t="str">
        <f>IF($J17="","",IF(ISBLANK(INDEX('Product Backlog'!$H$5:$H$504,$J17)),"",INDEX('Product Backlog'!$H$5:$H$504,$J17)))</f>
        <v/>
      </c>
      <c r="I17" s="48" t="str">
        <f>IF($J17="","",IF(ISBLANK(INDEX('Product Backlog'!$I$5:$I$504,$J17)),"",INDEX('Product Backlog'!$I$5:$I$504,$J17)))</f>
        <v/>
      </c>
      <c r="J17" t="str">
        <f>IFERROR(MATCH($B$4&amp;"-"&amp;ROWS($A$10:A17),'Product Backlog'!$J$5:$J$504,0),"")</f>
        <v/>
      </c>
    </row>
    <row r="18" spans="1:10" ht="21" customHeight="1" x14ac:dyDescent="0.2">
      <c r="A18" s="46" t="str">
        <f>IF($J18="","",IF(ISBLANK(INDEX('Product Backlog'!$A$5:$A$504,$J18)),"",INDEX('Product Backlog'!$A$5:$A$504,$J18)))</f>
        <v/>
      </c>
      <c r="B18" s="46" t="str">
        <f>IF($J18="","",IF(ISBLANK(INDEX('Product Backlog'!$B$5:$B$504,$J18)),"",INDEX('Product Backlog'!$B$5:$B$504,$J18)))</f>
        <v/>
      </c>
      <c r="C18" s="46" t="str">
        <f>IF($J18="","",IF(ISBLANK(INDEX('Product Backlog'!$C$5:$C$504,$J18)),"",INDEX('Product Backlog'!$C$5:$C$504,$J18)))</f>
        <v/>
      </c>
      <c r="D18" s="46" t="str">
        <f>IF($J18="","",IF(ISBLANK(INDEX('Product Backlog'!$D$5:$D$504,$J18)),"",INDEX('Product Backlog'!$D$5:$D$504,$J18)))</f>
        <v/>
      </c>
      <c r="E18" s="46" t="str">
        <f>IF($J18="","",IF(ISBLANK(INDEX('Product Backlog'!$E$5:$E$504,$J18)),"",INDEX('Product Backlog'!$E$5:$E$504,$J18)))</f>
        <v/>
      </c>
      <c r="F18" s="47" t="str">
        <f>IF($J18="","",IF(ISBLANK(INDEX('Product Backlog'!$F$5:$F$504,$J18)),"",INDEX('Product Backlog'!$F$5:$F$504,$J18)))</f>
        <v/>
      </c>
      <c r="G18" s="47" t="str">
        <f>IF($J18="","",IF(ISBLANK(INDEX('Product Backlog'!$G$5:$G$504,$J18)),"",INDEX('Product Backlog'!$G$5:$G$504,$J18)))</f>
        <v/>
      </c>
      <c r="H18" s="48" t="str">
        <f>IF($J18="","",IF(ISBLANK(INDEX('Product Backlog'!$H$5:$H$504,$J18)),"",INDEX('Product Backlog'!$H$5:$H$504,$J18)))</f>
        <v/>
      </c>
      <c r="I18" s="48" t="str">
        <f>IF($J18="","",IF(ISBLANK(INDEX('Product Backlog'!$I$5:$I$504,$J18)),"",INDEX('Product Backlog'!$I$5:$I$504,$J18)))</f>
        <v/>
      </c>
      <c r="J18" t="str">
        <f>IFERROR(MATCH($B$4&amp;"-"&amp;ROWS($A$10:A18),'Product Backlog'!$J$5:$J$504,0),"")</f>
        <v/>
      </c>
    </row>
    <row r="19" spans="1:10" ht="21" customHeight="1" x14ac:dyDescent="0.2">
      <c r="A19" s="46" t="str">
        <f>IF($J19="","",IF(ISBLANK(INDEX('Product Backlog'!$A$5:$A$504,$J19)),"",INDEX('Product Backlog'!$A$5:$A$504,$J19)))</f>
        <v/>
      </c>
      <c r="B19" s="46" t="str">
        <f>IF($J19="","",IF(ISBLANK(INDEX('Product Backlog'!$B$5:$B$504,$J19)),"",INDEX('Product Backlog'!$B$5:$B$504,$J19)))</f>
        <v/>
      </c>
      <c r="C19" s="46" t="str">
        <f>IF($J19="","",IF(ISBLANK(INDEX('Product Backlog'!$C$5:$C$504,$J19)),"",INDEX('Product Backlog'!$C$5:$C$504,$J19)))</f>
        <v/>
      </c>
      <c r="D19" s="46" t="str">
        <f>IF($J19="","",IF(ISBLANK(INDEX('Product Backlog'!$D$5:$D$504,$J19)),"",INDEX('Product Backlog'!$D$5:$D$504,$J19)))</f>
        <v/>
      </c>
      <c r="E19" s="46" t="str">
        <f>IF($J19="","",IF(ISBLANK(INDEX('Product Backlog'!$E$5:$E$504,$J19)),"",INDEX('Product Backlog'!$E$5:$E$504,$J19)))</f>
        <v/>
      </c>
      <c r="F19" s="47" t="str">
        <f>IF($J19="","",IF(ISBLANK(INDEX('Product Backlog'!$F$5:$F$504,$J19)),"",INDEX('Product Backlog'!$F$5:$F$504,$J19)))</f>
        <v/>
      </c>
      <c r="G19" s="47" t="str">
        <f>IF($J19="","",IF(ISBLANK(INDEX('Product Backlog'!$G$5:$G$504,$J19)),"",INDEX('Product Backlog'!$G$5:$G$504,$J19)))</f>
        <v/>
      </c>
      <c r="H19" s="48" t="str">
        <f>IF($J19="","",IF(ISBLANK(INDEX('Product Backlog'!$H$5:$H$504,$J19)),"",INDEX('Product Backlog'!$H$5:$H$504,$J19)))</f>
        <v/>
      </c>
      <c r="I19" s="48" t="str">
        <f>IF($J19="","",IF(ISBLANK(INDEX('Product Backlog'!$I$5:$I$504,$J19)),"",INDEX('Product Backlog'!$I$5:$I$504,$J19)))</f>
        <v/>
      </c>
      <c r="J19" t="str">
        <f>IFERROR(MATCH($B$4&amp;"-"&amp;ROWS($A$10:A19),'Product Backlog'!$J$5:$J$504,0),"")</f>
        <v/>
      </c>
    </row>
    <row r="20" spans="1:10" ht="21" customHeight="1" x14ac:dyDescent="0.2">
      <c r="A20" s="46" t="str">
        <f>IF($J20="","",IF(ISBLANK(INDEX('Product Backlog'!$A$5:$A$504,$J20)),"",INDEX('Product Backlog'!$A$5:$A$504,$J20)))</f>
        <v/>
      </c>
      <c r="B20" s="46" t="str">
        <f>IF($J20="","",IF(ISBLANK(INDEX('Product Backlog'!$B$5:$B$504,$J20)),"",INDEX('Product Backlog'!$B$5:$B$504,$J20)))</f>
        <v/>
      </c>
      <c r="C20" s="46" t="str">
        <f>IF($J20="","",IF(ISBLANK(INDEX('Product Backlog'!$C$5:$C$504,$J20)),"",INDEX('Product Backlog'!$C$5:$C$504,$J20)))</f>
        <v/>
      </c>
      <c r="D20" s="46" t="str">
        <f>IF($J20="","",IF(ISBLANK(INDEX('Product Backlog'!$D$5:$D$504,$J20)),"",INDEX('Product Backlog'!$D$5:$D$504,$J20)))</f>
        <v/>
      </c>
      <c r="E20" s="46" t="str">
        <f>IF($J20="","",IF(ISBLANK(INDEX('Product Backlog'!$E$5:$E$504,$J20)),"",INDEX('Product Backlog'!$E$5:$E$504,$J20)))</f>
        <v/>
      </c>
      <c r="F20" s="47" t="str">
        <f>IF($J20="","",IF(ISBLANK(INDEX('Product Backlog'!$F$5:$F$504,$J20)),"",INDEX('Product Backlog'!$F$5:$F$504,$J20)))</f>
        <v/>
      </c>
      <c r="G20" s="47" t="str">
        <f>IF($J20="","",IF(ISBLANK(INDEX('Product Backlog'!$G$5:$G$504,$J20)),"",INDEX('Product Backlog'!$G$5:$G$504,$J20)))</f>
        <v/>
      </c>
      <c r="H20" s="48" t="str">
        <f>IF($J20="","",IF(ISBLANK(INDEX('Product Backlog'!$H$5:$H$504,$J20)),"",INDEX('Product Backlog'!$H$5:$H$504,$J20)))</f>
        <v/>
      </c>
      <c r="I20" s="48" t="str">
        <f>IF($J20="","",IF(ISBLANK(INDEX('Product Backlog'!$I$5:$I$504,$J20)),"",INDEX('Product Backlog'!$I$5:$I$504,$J20)))</f>
        <v/>
      </c>
      <c r="J20" t="str">
        <f>IFERROR(MATCH($B$4&amp;"-"&amp;ROWS($A$10:A20),'Product Backlog'!$J$5:$J$504,0),"")</f>
        <v/>
      </c>
    </row>
    <row r="21" spans="1:10" ht="21" customHeight="1" x14ac:dyDescent="0.2">
      <c r="A21" s="46" t="str">
        <f>IF($J21="","",IF(ISBLANK(INDEX('Product Backlog'!$A$5:$A$504,$J21)),"",INDEX('Product Backlog'!$A$5:$A$504,$J21)))</f>
        <v/>
      </c>
      <c r="B21" s="46" t="str">
        <f>IF($J21="","",IF(ISBLANK(INDEX('Product Backlog'!$B$5:$B$504,$J21)),"",INDEX('Product Backlog'!$B$5:$B$504,$J21)))</f>
        <v/>
      </c>
      <c r="C21" s="46" t="str">
        <f>IF($J21="","",IF(ISBLANK(INDEX('Product Backlog'!$C$5:$C$504,$J21)),"",INDEX('Product Backlog'!$C$5:$C$504,$J21)))</f>
        <v/>
      </c>
      <c r="D21" s="46" t="str">
        <f>IF($J21="","",IF(ISBLANK(INDEX('Product Backlog'!$D$5:$D$504,$J21)),"",INDEX('Product Backlog'!$D$5:$D$504,$J21)))</f>
        <v/>
      </c>
      <c r="E21" s="46" t="str">
        <f>IF($J21="","",IF(ISBLANK(INDEX('Product Backlog'!$E$5:$E$504,$J21)),"",INDEX('Product Backlog'!$E$5:$E$504,$J21)))</f>
        <v/>
      </c>
      <c r="F21" s="47" t="str">
        <f>IF($J21="","",IF(ISBLANK(INDEX('Product Backlog'!$F$5:$F$504,$J21)),"",INDEX('Product Backlog'!$F$5:$F$504,$J21)))</f>
        <v/>
      </c>
      <c r="G21" s="47" t="str">
        <f>IF($J21="","",IF(ISBLANK(INDEX('Product Backlog'!$G$5:$G$504,$J21)),"",INDEX('Product Backlog'!$G$5:$G$504,$J21)))</f>
        <v/>
      </c>
      <c r="H21" s="48" t="str">
        <f>IF($J21="","",IF(ISBLANK(INDEX('Product Backlog'!$H$5:$H$504,$J21)),"",INDEX('Product Backlog'!$H$5:$H$504,$J21)))</f>
        <v/>
      </c>
      <c r="I21" s="48" t="str">
        <f>IF($J21="","",IF(ISBLANK(INDEX('Product Backlog'!$I$5:$I$504,$J21)),"",INDEX('Product Backlog'!$I$5:$I$504,$J21)))</f>
        <v/>
      </c>
      <c r="J21" t="str">
        <f>IFERROR(MATCH($B$4&amp;"-"&amp;ROWS($A$10:A21),'Product Backlog'!$J$5:$J$504,0),"")</f>
        <v/>
      </c>
    </row>
    <row r="22" spans="1:10" ht="21" customHeight="1" x14ac:dyDescent="0.2">
      <c r="A22" s="46" t="str">
        <f>IF($J22="","",IF(ISBLANK(INDEX('Product Backlog'!$A$5:$A$504,$J22)),"",INDEX('Product Backlog'!$A$5:$A$504,$J22)))</f>
        <v/>
      </c>
      <c r="B22" s="46" t="str">
        <f>IF($J22="","",IF(ISBLANK(INDEX('Product Backlog'!$B$5:$B$504,$J22)),"",INDEX('Product Backlog'!$B$5:$B$504,$J22)))</f>
        <v/>
      </c>
      <c r="C22" s="46" t="str">
        <f>IF($J22="","",IF(ISBLANK(INDEX('Product Backlog'!$C$5:$C$504,$J22)),"",INDEX('Product Backlog'!$C$5:$C$504,$J22)))</f>
        <v/>
      </c>
      <c r="D22" s="46" t="str">
        <f>IF($J22="","",IF(ISBLANK(INDEX('Product Backlog'!$D$5:$D$504,$J22)),"",INDEX('Product Backlog'!$D$5:$D$504,$J22)))</f>
        <v/>
      </c>
      <c r="E22" s="46" t="str">
        <f>IF($J22="","",IF(ISBLANK(INDEX('Product Backlog'!$E$5:$E$504,$J22)),"",INDEX('Product Backlog'!$E$5:$E$504,$J22)))</f>
        <v/>
      </c>
      <c r="F22" s="47" t="str">
        <f>IF($J22="","",IF(ISBLANK(INDEX('Product Backlog'!$F$5:$F$504,$J22)),"",INDEX('Product Backlog'!$F$5:$F$504,$J22)))</f>
        <v/>
      </c>
      <c r="G22" s="47" t="str">
        <f>IF($J22="","",IF(ISBLANK(INDEX('Product Backlog'!$G$5:$G$504,$J22)),"",INDEX('Product Backlog'!$G$5:$G$504,$J22)))</f>
        <v/>
      </c>
      <c r="H22" s="48" t="str">
        <f>IF($J22="","",IF(ISBLANK(INDEX('Product Backlog'!$H$5:$H$504,$J22)),"",INDEX('Product Backlog'!$H$5:$H$504,$J22)))</f>
        <v/>
      </c>
      <c r="I22" s="48" t="str">
        <f>IF($J22="","",IF(ISBLANK(INDEX('Product Backlog'!$I$5:$I$504,$J22)),"",INDEX('Product Backlog'!$I$5:$I$504,$J22)))</f>
        <v/>
      </c>
      <c r="J22" t="str">
        <f>IFERROR(MATCH($B$4&amp;"-"&amp;ROWS($A$10:A22),'Product Backlog'!$J$5:$J$504,0),"")</f>
        <v/>
      </c>
    </row>
    <row r="23" spans="1:10" ht="21" customHeight="1" x14ac:dyDescent="0.2">
      <c r="A23" s="46" t="str">
        <f>IF($J23="","",IF(ISBLANK(INDEX('Product Backlog'!$A$5:$A$504,$J23)),"",INDEX('Product Backlog'!$A$5:$A$504,$J23)))</f>
        <v/>
      </c>
      <c r="B23" s="46" t="str">
        <f>IF($J23="","",IF(ISBLANK(INDEX('Product Backlog'!$B$5:$B$504,$J23)),"",INDEX('Product Backlog'!$B$5:$B$504,$J23)))</f>
        <v/>
      </c>
      <c r="C23" s="46" t="str">
        <f>IF($J23="","",IF(ISBLANK(INDEX('Product Backlog'!$C$5:$C$504,$J23)),"",INDEX('Product Backlog'!$C$5:$C$504,$J23)))</f>
        <v/>
      </c>
      <c r="D23" s="46" t="str">
        <f>IF($J23="","",IF(ISBLANK(INDEX('Product Backlog'!$D$5:$D$504,$J23)),"",INDEX('Product Backlog'!$D$5:$D$504,$J23)))</f>
        <v/>
      </c>
      <c r="E23" s="46" t="str">
        <f>IF($J23="","",IF(ISBLANK(INDEX('Product Backlog'!$E$5:$E$504,$J23)),"",INDEX('Product Backlog'!$E$5:$E$504,$J23)))</f>
        <v/>
      </c>
      <c r="F23" s="47" t="str">
        <f>IF($J23="","",IF(ISBLANK(INDEX('Product Backlog'!$F$5:$F$504,$J23)),"",INDEX('Product Backlog'!$F$5:$F$504,$J23)))</f>
        <v/>
      </c>
      <c r="G23" s="47" t="str">
        <f>IF($J23="","",IF(ISBLANK(INDEX('Product Backlog'!$G$5:$G$504,$J23)),"",INDEX('Product Backlog'!$G$5:$G$504,$J23)))</f>
        <v/>
      </c>
      <c r="H23" s="48" t="str">
        <f>IF($J23="","",IF(ISBLANK(INDEX('Product Backlog'!$H$5:$H$504,$J23)),"",INDEX('Product Backlog'!$H$5:$H$504,$J23)))</f>
        <v/>
      </c>
      <c r="I23" s="48" t="str">
        <f>IF($J23="","",IF(ISBLANK(INDEX('Product Backlog'!$I$5:$I$504,$J23)),"",INDEX('Product Backlog'!$I$5:$I$504,$J23)))</f>
        <v/>
      </c>
      <c r="J23" t="str">
        <f>IFERROR(MATCH($B$4&amp;"-"&amp;ROWS($A$10:A23),'Product Backlog'!$J$5:$J$504,0),"")</f>
        <v/>
      </c>
    </row>
    <row r="24" spans="1:10" ht="21" customHeight="1" x14ac:dyDescent="0.2">
      <c r="A24" s="46" t="str">
        <f>IF($J24="","",IF(ISBLANK(INDEX('Product Backlog'!$A$5:$A$504,$J24)),"",INDEX('Product Backlog'!$A$5:$A$504,$J24)))</f>
        <v/>
      </c>
      <c r="B24" s="46" t="str">
        <f>IF($J24="","",IF(ISBLANK(INDEX('Product Backlog'!$B$5:$B$504,$J24)),"",INDEX('Product Backlog'!$B$5:$B$504,$J24)))</f>
        <v/>
      </c>
      <c r="C24" s="46" t="str">
        <f>IF($J24="","",IF(ISBLANK(INDEX('Product Backlog'!$C$5:$C$504,$J24)),"",INDEX('Product Backlog'!$C$5:$C$504,$J24)))</f>
        <v/>
      </c>
      <c r="D24" s="46" t="str">
        <f>IF($J24="","",IF(ISBLANK(INDEX('Product Backlog'!$D$5:$D$504,$J24)),"",INDEX('Product Backlog'!$D$5:$D$504,$J24)))</f>
        <v/>
      </c>
      <c r="E24" s="46" t="str">
        <f>IF($J24="","",IF(ISBLANK(INDEX('Product Backlog'!$E$5:$E$504,$J24)),"",INDEX('Product Backlog'!$E$5:$E$504,$J24)))</f>
        <v/>
      </c>
      <c r="F24" s="47" t="str">
        <f>IF($J24="","",IF(ISBLANK(INDEX('Product Backlog'!$F$5:$F$504,$J24)),"",INDEX('Product Backlog'!$F$5:$F$504,$J24)))</f>
        <v/>
      </c>
      <c r="G24" s="47" t="str">
        <f>IF($J24="","",IF(ISBLANK(INDEX('Product Backlog'!$G$5:$G$504,$J24)),"",INDEX('Product Backlog'!$G$5:$G$504,$J24)))</f>
        <v/>
      </c>
      <c r="H24" s="48" t="str">
        <f>IF($J24="","",IF(ISBLANK(INDEX('Product Backlog'!$H$5:$H$504,$J24)),"",INDEX('Product Backlog'!$H$5:$H$504,$J24)))</f>
        <v/>
      </c>
      <c r="I24" s="48" t="str">
        <f>IF($J24="","",IF(ISBLANK(INDEX('Product Backlog'!$I$5:$I$504,$J24)),"",INDEX('Product Backlog'!$I$5:$I$504,$J24)))</f>
        <v/>
      </c>
      <c r="J24" t="str">
        <f>IFERROR(MATCH($B$4&amp;"-"&amp;ROWS($A$10:A24),'Product Backlog'!$J$5:$J$504,0),"")</f>
        <v/>
      </c>
    </row>
    <row r="25" spans="1:10" ht="21" customHeight="1" x14ac:dyDescent="0.2">
      <c r="A25" s="46" t="str">
        <f>IF($J25="","",IF(ISBLANK(INDEX('Product Backlog'!$A$5:$A$504,$J25)),"",INDEX('Product Backlog'!$A$5:$A$504,$J25)))</f>
        <v/>
      </c>
      <c r="B25" s="46" t="str">
        <f>IF($J25="","",IF(ISBLANK(INDEX('Product Backlog'!$B$5:$B$504,$J25)),"",INDEX('Product Backlog'!$B$5:$B$504,$J25)))</f>
        <v/>
      </c>
      <c r="C25" s="46" t="str">
        <f>IF($J25="","",IF(ISBLANK(INDEX('Product Backlog'!$C$5:$C$504,$J25)),"",INDEX('Product Backlog'!$C$5:$C$504,$J25)))</f>
        <v/>
      </c>
      <c r="D25" s="46" t="str">
        <f>IF($J25="","",IF(ISBLANK(INDEX('Product Backlog'!$D$5:$D$504,$J25)),"",INDEX('Product Backlog'!$D$5:$D$504,$J25)))</f>
        <v/>
      </c>
      <c r="E25" s="46" t="str">
        <f>IF($J25="","",IF(ISBLANK(INDEX('Product Backlog'!$E$5:$E$504,$J25)),"",INDEX('Product Backlog'!$E$5:$E$504,$J25)))</f>
        <v/>
      </c>
      <c r="F25" s="47" t="str">
        <f>IF($J25="","",IF(ISBLANK(INDEX('Product Backlog'!$F$5:$F$504,$J25)),"",INDEX('Product Backlog'!$F$5:$F$504,$J25)))</f>
        <v/>
      </c>
      <c r="G25" s="47" t="str">
        <f>IF($J25="","",IF(ISBLANK(INDEX('Product Backlog'!$G$5:$G$504,$J25)),"",INDEX('Product Backlog'!$G$5:$G$504,$J25)))</f>
        <v/>
      </c>
      <c r="H25" s="48" t="str">
        <f>IF($J25="","",IF(ISBLANK(INDEX('Product Backlog'!$H$5:$H$504,$J25)),"",INDEX('Product Backlog'!$H$5:$H$504,$J25)))</f>
        <v/>
      </c>
      <c r="I25" s="48" t="str">
        <f>IF($J25="","",IF(ISBLANK(INDEX('Product Backlog'!$I$5:$I$504,$J25)),"",INDEX('Product Backlog'!$I$5:$I$504,$J25)))</f>
        <v/>
      </c>
      <c r="J25" t="str">
        <f>IFERROR(MATCH($B$4&amp;"-"&amp;ROWS($A$10:A25),'Product Backlog'!$J$5:$J$504,0),"")</f>
        <v/>
      </c>
    </row>
    <row r="26" spans="1:10" ht="21" customHeight="1" x14ac:dyDescent="0.2">
      <c r="A26" s="46" t="str">
        <f>IF($J26="","",IF(ISBLANK(INDEX('Product Backlog'!$A$5:$A$504,$J26)),"",INDEX('Product Backlog'!$A$5:$A$504,$J26)))</f>
        <v/>
      </c>
      <c r="B26" s="46" t="str">
        <f>IF($J26="","",IF(ISBLANK(INDEX('Product Backlog'!$B$5:$B$504,$J26)),"",INDEX('Product Backlog'!$B$5:$B$504,$J26)))</f>
        <v/>
      </c>
      <c r="C26" s="46" t="str">
        <f>IF($J26="","",IF(ISBLANK(INDEX('Product Backlog'!$C$5:$C$504,$J26)),"",INDEX('Product Backlog'!$C$5:$C$504,$J26)))</f>
        <v/>
      </c>
      <c r="D26" s="46" t="str">
        <f>IF($J26="","",IF(ISBLANK(INDEX('Product Backlog'!$D$5:$D$504,$J26)),"",INDEX('Product Backlog'!$D$5:$D$504,$J26)))</f>
        <v/>
      </c>
      <c r="E26" s="46" t="str">
        <f>IF($J26="","",IF(ISBLANK(INDEX('Product Backlog'!$E$5:$E$504,$J26)),"",INDEX('Product Backlog'!$E$5:$E$504,$J26)))</f>
        <v/>
      </c>
      <c r="F26" s="47" t="str">
        <f>IF($J26="","",IF(ISBLANK(INDEX('Product Backlog'!$F$5:$F$504,$J26)),"",INDEX('Product Backlog'!$F$5:$F$504,$J26)))</f>
        <v/>
      </c>
      <c r="G26" s="47" t="str">
        <f>IF($J26="","",IF(ISBLANK(INDEX('Product Backlog'!$G$5:$G$504,$J26)),"",INDEX('Product Backlog'!$G$5:$G$504,$J26)))</f>
        <v/>
      </c>
      <c r="H26" s="48" t="str">
        <f>IF($J26="","",IF(ISBLANK(INDEX('Product Backlog'!$H$5:$H$504,$J26)),"",INDEX('Product Backlog'!$H$5:$H$504,$J26)))</f>
        <v/>
      </c>
      <c r="I26" s="48" t="str">
        <f>IF($J26="","",IF(ISBLANK(INDEX('Product Backlog'!$I$5:$I$504,$J26)),"",INDEX('Product Backlog'!$I$5:$I$504,$J26)))</f>
        <v/>
      </c>
      <c r="J26" t="str">
        <f>IFERROR(MATCH($B$4&amp;"-"&amp;ROWS($A$10:A26),'Product Backlog'!$J$5:$J$504,0),"")</f>
        <v/>
      </c>
    </row>
    <row r="27" spans="1:10" ht="21" customHeight="1" x14ac:dyDescent="0.2">
      <c r="A27" s="46" t="str">
        <f>IF($J27="","",IF(ISBLANK(INDEX('Product Backlog'!$A$5:$A$504,$J27)),"",INDEX('Product Backlog'!$A$5:$A$504,$J27)))</f>
        <v/>
      </c>
      <c r="B27" s="46" t="str">
        <f>IF($J27="","",IF(ISBLANK(INDEX('Product Backlog'!$B$5:$B$504,$J27)),"",INDEX('Product Backlog'!$B$5:$B$504,$J27)))</f>
        <v/>
      </c>
      <c r="C27" s="46" t="str">
        <f>IF($J27="","",IF(ISBLANK(INDEX('Product Backlog'!$C$5:$C$504,$J27)),"",INDEX('Product Backlog'!$C$5:$C$504,$J27)))</f>
        <v/>
      </c>
      <c r="D27" s="46" t="str">
        <f>IF($J27="","",IF(ISBLANK(INDEX('Product Backlog'!$D$5:$D$504,$J27)),"",INDEX('Product Backlog'!$D$5:$D$504,$J27)))</f>
        <v/>
      </c>
      <c r="E27" s="46" t="str">
        <f>IF($J27="","",IF(ISBLANK(INDEX('Product Backlog'!$E$5:$E$504,$J27)),"",INDEX('Product Backlog'!$E$5:$E$504,$J27)))</f>
        <v/>
      </c>
      <c r="F27" s="47" t="str">
        <f>IF($J27="","",IF(ISBLANK(INDEX('Product Backlog'!$F$5:$F$504,$J27)),"",INDEX('Product Backlog'!$F$5:$F$504,$J27)))</f>
        <v/>
      </c>
      <c r="G27" s="47" t="str">
        <f>IF($J27="","",IF(ISBLANK(INDEX('Product Backlog'!$G$5:$G$504,$J27)),"",INDEX('Product Backlog'!$G$5:$G$504,$J27)))</f>
        <v/>
      </c>
      <c r="H27" s="48" t="str">
        <f>IF($J27="","",IF(ISBLANK(INDEX('Product Backlog'!$H$5:$H$504,$J27)),"",INDEX('Product Backlog'!$H$5:$H$504,$J27)))</f>
        <v/>
      </c>
      <c r="I27" s="48" t="str">
        <f>IF($J27="","",IF(ISBLANK(INDEX('Product Backlog'!$I$5:$I$504,$J27)),"",INDEX('Product Backlog'!$I$5:$I$504,$J27)))</f>
        <v/>
      </c>
      <c r="J27" t="str">
        <f>IFERROR(MATCH($B$4&amp;"-"&amp;ROWS($A$10:A27),'Product Backlog'!$J$5:$J$504,0),"")</f>
        <v/>
      </c>
    </row>
    <row r="28" spans="1:10" ht="21" customHeight="1" x14ac:dyDescent="0.2">
      <c r="A28" s="46" t="str">
        <f>IF($J28="","",IF(ISBLANK(INDEX('Product Backlog'!$A$5:$A$504,$J28)),"",INDEX('Product Backlog'!$A$5:$A$504,$J28)))</f>
        <v/>
      </c>
      <c r="B28" s="46" t="str">
        <f>IF($J28="","",IF(ISBLANK(INDEX('Product Backlog'!$B$5:$B$504,$J28)),"",INDEX('Product Backlog'!$B$5:$B$504,$J28)))</f>
        <v/>
      </c>
      <c r="C28" s="46" t="str">
        <f>IF($J28="","",IF(ISBLANK(INDEX('Product Backlog'!$C$5:$C$504,$J28)),"",INDEX('Product Backlog'!$C$5:$C$504,$J28)))</f>
        <v/>
      </c>
      <c r="D28" s="46" t="str">
        <f>IF($J28="","",IF(ISBLANK(INDEX('Product Backlog'!$D$5:$D$504,$J28)),"",INDEX('Product Backlog'!$D$5:$D$504,$J28)))</f>
        <v/>
      </c>
      <c r="E28" s="46" t="str">
        <f>IF($J28="","",IF(ISBLANK(INDEX('Product Backlog'!$E$5:$E$504,$J28)),"",INDEX('Product Backlog'!$E$5:$E$504,$J28)))</f>
        <v/>
      </c>
      <c r="F28" s="47" t="str">
        <f>IF($J28="","",IF(ISBLANK(INDEX('Product Backlog'!$F$5:$F$504,$J28)),"",INDEX('Product Backlog'!$F$5:$F$504,$J28)))</f>
        <v/>
      </c>
      <c r="G28" s="47" t="str">
        <f>IF($J28="","",IF(ISBLANK(INDEX('Product Backlog'!$G$5:$G$504,$J28)),"",INDEX('Product Backlog'!$G$5:$G$504,$J28)))</f>
        <v/>
      </c>
      <c r="H28" s="48" t="str">
        <f>IF($J28="","",IF(ISBLANK(INDEX('Product Backlog'!$H$5:$H$504,$J28)),"",INDEX('Product Backlog'!$H$5:$H$504,$J28)))</f>
        <v/>
      </c>
      <c r="I28" s="48" t="str">
        <f>IF($J28="","",IF(ISBLANK(INDEX('Product Backlog'!$I$5:$I$504,$J28)),"",INDEX('Product Backlog'!$I$5:$I$504,$J28)))</f>
        <v/>
      </c>
      <c r="J28" t="str">
        <f>IFERROR(MATCH($B$4&amp;"-"&amp;ROWS($A$10:A28),'Product Backlog'!$J$5:$J$504,0),"")</f>
        <v/>
      </c>
    </row>
    <row r="29" spans="1:10" ht="21" customHeight="1" x14ac:dyDescent="0.2">
      <c r="A29" s="46" t="str">
        <f>IF($J29="","",IF(ISBLANK(INDEX('Product Backlog'!$A$5:$A$504,$J29)),"",INDEX('Product Backlog'!$A$5:$A$504,$J29)))</f>
        <v/>
      </c>
      <c r="B29" s="46" t="str">
        <f>IF($J29="","",IF(ISBLANK(INDEX('Product Backlog'!$B$5:$B$504,$J29)),"",INDEX('Product Backlog'!$B$5:$B$504,$J29)))</f>
        <v/>
      </c>
      <c r="C29" s="46" t="str">
        <f>IF($J29="","",IF(ISBLANK(INDEX('Product Backlog'!$C$5:$C$504,$J29)),"",INDEX('Product Backlog'!$C$5:$C$504,$J29)))</f>
        <v/>
      </c>
      <c r="D29" s="46" t="str">
        <f>IF($J29="","",IF(ISBLANK(INDEX('Product Backlog'!$D$5:$D$504,$J29)),"",INDEX('Product Backlog'!$D$5:$D$504,$J29)))</f>
        <v/>
      </c>
      <c r="E29" s="46" t="str">
        <f>IF($J29="","",IF(ISBLANK(INDEX('Product Backlog'!$E$5:$E$504,$J29)),"",INDEX('Product Backlog'!$E$5:$E$504,$J29)))</f>
        <v/>
      </c>
      <c r="F29" s="47" t="str">
        <f>IF($J29="","",IF(ISBLANK(INDEX('Product Backlog'!$F$5:$F$504,$J29)),"",INDEX('Product Backlog'!$F$5:$F$504,$J29)))</f>
        <v/>
      </c>
      <c r="G29" s="47" t="str">
        <f>IF($J29="","",IF(ISBLANK(INDEX('Product Backlog'!$G$5:$G$504,$J29)),"",INDEX('Product Backlog'!$G$5:$G$504,$J29)))</f>
        <v/>
      </c>
      <c r="H29" s="48" t="str">
        <f>IF($J29="","",IF(ISBLANK(INDEX('Product Backlog'!$H$5:$H$504,$J29)),"",INDEX('Product Backlog'!$H$5:$H$504,$J29)))</f>
        <v/>
      </c>
      <c r="I29" s="48" t="str">
        <f>IF($J29="","",IF(ISBLANK(INDEX('Product Backlog'!$I$5:$I$504,$J29)),"",INDEX('Product Backlog'!$I$5:$I$504,$J29)))</f>
        <v/>
      </c>
      <c r="J29" t="str">
        <f>IFERROR(MATCH($B$4&amp;"-"&amp;ROWS($A$10:A29),'Product Backlog'!$J$5:$J$504,0),"")</f>
        <v/>
      </c>
    </row>
    <row r="30" spans="1:10" ht="21" customHeight="1" x14ac:dyDescent="0.2">
      <c r="A30" s="46" t="str">
        <f>IF($J30="","",IF(ISBLANK(INDEX('Product Backlog'!$A$5:$A$504,$J30)),"",INDEX('Product Backlog'!$A$5:$A$504,$J30)))</f>
        <v/>
      </c>
      <c r="B30" s="46" t="str">
        <f>IF($J30="","",IF(ISBLANK(INDEX('Product Backlog'!$B$5:$B$504,$J30)),"",INDEX('Product Backlog'!$B$5:$B$504,$J30)))</f>
        <v/>
      </c>
      <c r="C30" s="46" t="str">
        <f>IF($J30="","",IF(ISBLANK(INDEX('Product Backlog'!$C$5:$C$504,$J30)),"",INDEX('Product Backlog'!$C$5:$C$504,$J30)))</f>
        <v/>
      </c>
      <c r="D30" s="46" t="str">
        <f>IF($J30="","",IF(ISBLANK(INDEX('Product Backlog'!$D$5:$D$504,$J30)),"",INDEX('Product Backlog'!$D$5:$D$504,$J30)))</f>
        <v/>
      </c>
      <c r="E30" s="46" t="str">
        <f>IF($J30="","",IF(ISBLANK(INDEX('Product Backlog'!$E$5:$E$504,$J30)),"",INDEX('Product Backlog'!$E$5:$E$504,$J30)))</f>
        <v/>
      </c>
      <c r="F30" s="47" t="str">
        <f>IF($J30="","",IF(ISBLANK(INDEX('Product Backlog'!$F$5:$F$504,$J30)),"",INDEX('Product Backlog'!$F$5:$F$504,$J30)))</f>
        <v/>
      </c>
      <c r="G30" s="47" t="str">
        <f>IF($J30="","",IF(ISBLANK(INDEX('Product Backlog'!$G$5:$G$504,$J30)),"",INDEX('Product Backlog'!$G$5:$G$504,$J30)))</f>
        <v/>
      </c>
      <c r="H30" s="48" t="str">
        <f>IF($J30="","",IF(ISBLANK(INDEX('Product Backlog'!$H$5:$H$504,$J30)),"",INDEX('Product Backlog'!$H$5:$H$504,$J30)))</f>
        <v/>
      </c>
      <c r="I30" s="48" t="str">
        <f>IF($J30="","",IF(ISBLANK(INDEX('Product Backlog'!$I$5:$I$504,$J30)),"",INDEX('Product Backlog'!$I$5:$I$504,$J30)))</f>
        <v/>
      </c>
      <c r="J30" t="str">
        <f>IFERROR(MATCH($B$4&amp;"-"&amp;ROWS($A$10:A30),'Product Backlog'!$J$5:$J$504,0),"")</f>
        <v/>
      </c>
    </row>
    <row r="31" spans="1:10" ht="21" customHeight="1" x14ac:dyDescent="0.2">
      <c r="A31" s="46" t="str">
        <f>IF($J31="","",IF(ISBLANK(INDEX('Product Backlog'!$A$5:$A$504,$J31)),"",INDEX('Product Backlog'!$A$5:$A$504,$J31)))</f>
        <v/>
      </c>
      <c r="B31" s="46" t="str">
        <f>IF($J31="","",IF(ISBLANK(INDEX('Product Backlog'!$B$5:$B$504,$J31)),"",INDEX('Product Backlog'!$B$5:$B$504,$J31)))</f>
        <v/>
      </c>
      <c r="C31" s="46" t="str">
        <f>IF($J31="","",IF(ISBLANK(INDEX('Product Backlog'!$C$5:$C$504,$J31)),"",INDEX('Product Backlog'!$C$5:$C$504,$J31)))</f>
        <v/>
      </c>
      <c r="D31" s="46" t="str">
        <f>IF($J31="","",IF(ISBLANK(INDEX('Product Backlog'!$D$5:$D$504,$J31)),"",INDEX('Product Backlog'!$D$5:$D$504,$J31)))</f>
        <v/>
      </c>
      <c r="E31" s="46" t="str">
        <f>IF($J31="","",IF(ISBLANK(INDEX('Product Backlog'!$E$5:$E$504,$J31)),"",INDEX('Product Backlog'!$E$5:$E$504,$J31)))</f>
        <v/>
      </c>
      <c r="F31" s="47" t="str">
        <f>IF($J31="","",IF(ISBLANK(INDEX('Product Backlog'!$F$5:$F$504,$J31)),"",INDEX('Product Backlog'!$F$5:$F$504,$J31)))</f>
        <v/>
      </c>
      <c r="G31" s="47" t="str">
        <f>IF($J31="","",IF(ISBLANK(INDEX('Product Backlog'!$G$5:$G$504,$J31)),"",INDEX('Product Backlog'!$G$5:$G$504,$J31)))</f>
        <v/>
      </c>
      <c r="H31" s="48" t="str">
        <f>IF($J31="","",IF(ISBLANK(INDEX('Product Backlog'!$H$5:$H$504,$J31)),"",INDEX('Product Backlog'!$H$5:$H$504,$J31)))</f>
        <v/>
      </c>
      <c r="I31" s="48" t="str">
        <f>IF($J31="","",IF(ISBLANK(INDEX('Product Backlog'!$I$5:$I$504,$J31)),"",INDEX('Product Backlog'!$I$5:$I$504,$J31)))</f>
        <v/>
      </c>
      <c r="J31" t="str">
        <f>IFERROR(MATCH($B$4&amp;"-"&amp;ROWS($A$10:A31),'Product Backlog'!$J$5:$J$504,0),"")</f>
        <v/>
      </c>
    </row>
    <row r="32" spans="1:10" ht="21" customHeight="1" x14ac:dyDescent="0.2">
      <c r="A32" s="46" t="str">
        <f>IF($J32="","",IF(ISBLANK(INDEX('Product Backlog'!$A$5:$A$504,$J32)),"",INDEX('Product Backlog'!$A$5:$A$504,$J32)))</f>
        <v/>
      </c>
      <c r="B32" s="46" t="str">
        <f>IF($J32="","",IF(ISBLANK(INDEX('Product Backlog'!$B$5:$B$504,$J32)),"",INDEX('Product Backlog'!$B$5:$B$504,$J32)))</f>
        <v/>
      </c>
      <c r="C32" s="46" t="str">
        <f>IF($J32="","",IF(ISBLANK(INDEX('Product Backlog'!$C$5:$C$504,$J32)),"",INDEX('Product Backlog'!$C$5:$C$504,$J32)))</f>
        <v/>
      </c>
      <c r="D32" s="46" t="str">
        <f>IF($J32="","",IF(ISBLANK(INDEX('Product Backlog'!$D$5:$D$504,$J32)),"",INDEX('Product Backlog'!$D$5:$D$504,$J32)))</f>
        <v/>
      </c>
      <c r="E32" s="46" t="str">
        <f>IF($J32="","",IF(ISBLANK(INDEX('Product Backlog'!$E$5:$E$504,$J32)),"",INDEX('Product Backlog'!$E$5:$E$504,$J32)))</f>
        <v/>
      </c>
      <c r="F32" s="47" t="str">
        <f>IF($J32="","",IF(ISBLANK(INDEX('Product Backlog'!$F$5:$F$504,$J32)),"",INDEX('Product Backlog'!$F$5:$F$504,$J32)))</f>
        <v/>
      </c>
      <c r="G32" s="47" t="str">
        <f>IF($J32="","",IF(ISBLANK(INDEX('Product Backlog'!$G$5:$G$504,$J32)),"",INDEX('Product Backlog'!$G$5:$G$504,$J32)))</f>
        <v/>
      </c>
      <c r="H32" s="48" t="str">
        <f>IF($J32="","",IF(ISBLANK(INDEX('Product Backlog'!$H$5:$H$504,$J32)),"",INDEX('Product Backlog'!$H$5:$H$504,$J32)))</f>
        <v/>
      </c>
      <c r="I32" s="48" t="str">
        <f>IF($J32="","",IF(ISBLANK(INDEX('Product Backlog'!$I$5:$I$504,$J32)),"",INDEX('Product Backlog'!$I$5:$I$504,$J32)))</f>
        <v/>
      </c>
      <c r="J32" t="str">
        <f>IFERROR(MATCH($B$4&amp;"-"&amp;ROWS($A$10:A32),'Product Backlog'!$J$5:$J$504,0),"")</f>
        <v/>
      </c>
    </row>
    <row r="33" spans="1:10" ht="21" customHeight="1" x14ac:dyDescent="0.2">
      <c r="A33" s="46" t="str">
        <f>IF($J33="","",IF(ISBLANK(INDEX('Product Backlog'!$A$5:$A$504,$J33)),"",INDEX('Product Backlog'!$A$5:$A$504,$J33)))</f>
        <v/>
      </c>
      <c r="B33" s="46" t="str">
        <f>IF($J33="","",IF(ISBLANK(INDEX('Product Backlog'!$B$5:$B$504,$J33)),"",INDEX('Product Backlog'!$B$5:$B$504,$J33)))</f>
        <v/>
      </c>
      <c r="C33" s="46" t="str">
        <f>IF($J33="","",IF(ISBLANK(INDEX('Product Backlog'!$C$5:$C$504,$J33)),"",INDEX('Product Backlog'!$C$5:$C$504,$J33)))</f>
        <v/>
      </c>
      <c r="D33" s="46" t="str">
        <f>IF($J33="","",IF(ISBLANK(INDEX('Product Backlog'!$D$5:$D$504,$J33)),"",INDEX('Product Backlog'!$D$5:$D$504,$J33)))</f>
        <v/>
      </c>
      <c r="E33" s="46" t="str">
        <f>IF($J33="","",IF(ISBLANK(INDEX('Product Backlog'!$E$5:$E$504,$J33)),"",INDEX('Product Backlog'!$E$5:$E$504,$J33)))</f>
        <v/>
      </c>
      <c r="F33" s="47" t="str">
        <f>IF($J33="","",IF(ISBLANK(INDEX('Product Backlog'!$F$5:$F$504,$J33)),"",INDEX('Product Backlog'!$F$5:$F$504,$J33)))</f>
        <v/>
      </c>
      <c r="G33" s="47" t="str">
        <f>IF($J33="","",IF(ISBLANK(INDEX('Product Backlog'!$G$5:$G$504,$J33)),"",INDEX('Product Backlog'!$G$5:$G$504,$J33)))</f>
        <v/>
      </c>
      <c r="H33" s="48" t="str">
        <f>IF($J33="","",IF(ISBLANK(INDEX('Product Backlog'!$H$5:$H$504,$J33)),"",INDEX('Product Backlog'!$H$5:$H$504,$J33)))</f>
        <v/>
      </c>
      <c r="I33" s="48" t="str">
        <f>IF($J33="","",IF(ISBLANK(INDEX('Product Backlog'!$I$5:$I$504,$J33)),"",INDEX('Product Backlog'!$I$5:$I$504,$J33)))</f>
        <v/>
      </c>
      <c r="J33" t="str">
        <f>IFERROR(MATCH($B$4&amp;"-"&amp;ROWS($A$10:A33),'Product Backlog'!$J$5:$J$504,0),"")</f>
        <v/>
      </c>
    </row>
    <row r="34" spans="1:10" ht="21" customHeight="1" x14ac:dyDescent="0.2">
      <c r="A34" s="46" t="str">
        <f>IF($J34="","",IF(ISBLANK(INDEX('Product Backlog'!$A$5:$A$504,$J34)),"",INDEX('Product Backlog'!$A$5:$A$504,$J34)))</f>
        <v/>
      </c>
      <c r="B34" s="46" t="str">
        <f>IF($J34="","",IF(ISBLANK(INDEX('Product Backlog'!$B$5:$B$504,$J34)),"",INDEX('Product Backlog'!$B$5:$B$504,$J34)))</f>
        <v/>
      </c>
      <c r="C34" s="46" t="str">
        <f>IF($J34="","",IF(ISBLANK(INDEX('Product Backlog'!$C$5:$C$504,$J34)),"",INDEX('Product Backlog'!$C$5:$C$504,$J34)))</f>
        <v/>
      </c>
      <c r="D34" s="46" t="str">
        <f>IF($J34="","",IF(ISBLANK(INDEX('Product Backlog'!$D$5:$D$504,$J34)),"",INDEX('Product Backlog'!$D$5:$D$504,$J34)))</f>
        <v/>
      </c>
      <c r="E34" s="46" t="str">
        <f>IF($J34="","",IF(ISBLANK(INDEX('Product Backlog'!$E$5:$E$504,$J34)),"",INDEX('Product Backlog'!$E$5:$E$504,$J34)))</f>
        <v/>
      </c>
      <c r="F34" s="47" t="str">
        <f>IF($J34="","",IF(ISBLANK(INDEX('Product Backlog'!$F$5:$F$504,$J34)),"",INDEX('Product Backlog'!$F$5:$F$504,$J34)))</f>
        <v/>
      </c>
      <c r="G34" s="47" t="str">
        <f>IF($J34="","",IF(ISBLANK(INDEX('Product Backlog'!$G$5:$G$504,$J34)),"",INDEX('Product Backlog'!$G$5:$G$504,$J34)))</f>
        <v/>
      </c>
      <c r="H34" s="48" t="str">
        <f>IF($J34="","",IF(ISBLANK(INDEX('Product Backlog'!$H$5:$H$504,$J34)),"",INDEX('Product Backlog'!$H$5:$H$504,$J34)))</f>
        <v/>
      </c>
      <c r="I34" s="48" t="str">
        <f>IF($J34="","",IF(ISBLANK(INDEX('Product Backlog'!$I$5:$I$504,$J34)),"",INDEX('Product Backlog'!$I$5:$I$504,$J34)))</f>
        <v/>
      </c>
      <c r="J34" t="str">
        <f>IFERROR(MATCH($B$4&amp;"-"&amp;ROWS($A$10:A34),'Product Backlog'!$J$5:$J$504,0),"")</f>
        <v/>
      </c>
    </row>
    <row r="35" spans="1:10" ht="21" customHeight="1" x14ac:dyDescent="0.2">
      <c r="A35" s="46" t="str">
        <f>IF($J35="","",IF(ISBLANK(INDEX('Product Backlog'!$A$5:$A$504,$J35)),"",INDEX('Product Backlog'!$A$5:$A$504,$J35)))</f>
        <v/>
      </c>
      <c r="B35" s="46" t="str">
        <f>IF($J35="","",IF(ISBLANK(INDEX('Product Backlog'!$B$5:$B$504,$J35)),"",INDEX('Product Backlog'!$B$5:$B$504,$J35)))</f>
        <v/>
      </c>
      <c r="C35" s="46" t="str">
        <f>IF($J35="","",IF(ISBLANK(INDEX('Product Backlog'!$C$5:$C$504,$J35)),"",INDEX('Product Backlog'!$C$5:$C$504,$J35)))</f>
        <v/>
      </c>
      <c r="D35" s="46" t="str">
        <f>IF($J35="","",IF(ISBLANK(INDEX('Product Backlog'!$D$5:$D$504,$J35)),"",INDEX('Product Backlog'!$D$5:$D$504,$J35)))</f>
        <v/>
      </c>
      <c r="E35" s="46" t="str">
        <f>IF($J35="","",IF(ISBLANK(INDEX('Product Backlog'!$E$5:$E$504,$J35)),"",INDEX('Product Backlog'!$E$5:$E$504,$J35)))</f>
        <v/>
      </c>
      <c r="F35" s="47" t="str">
        <f>IF($J35="","",IF(ISBLANK(INDEX('Product Backlog'!$F$5:$F$504,$J35)),"",INDEX('Product Backlog'!$F$5:$F$504,$J35)))</f>
        <v/>
      </c>
      <c r="G35" s="47" t="str">
        <f>IF($J35="","",IF(ISBLANK(INDEX('Product Backlog'!$G$5:$G$504,$J35)),"",INDEX('Product Backlog'!$G$5:$G$504,$J35)))</f>
        <v/>
      </c>
      <c r="H35" s="48" t="str">
        <f>IF($J35="","",IF(ISBLANK(INDEX('Product Backlog'!$H$5:$H$504,$J35)),"",INDEX('Product Backlog'!$H$5:$H$504,$J35)))</f>
        <v/>
      </c>
      <c r="I35" s="48" t="str">
        <f>IF($J35="","",IF(ISBLANK(INDEX('Product Backlog'!$I$5:$I$504,$J35)),"",INDEX('Product Backlog'!$I$5:$I$504,$J35)))</f>
        <v/>
      </c>
      <c r="J35" t="str">
        <f>IFERROR(MATCH($B$4&amp;"-"&amp;ROWS($A$10:A35),'Product Backlog'!$J$5:$J$504,0),"")</f>
        <v/>
      </c>
    </row>
    <row r="36" spans="1:10" ht="21" customHeight="1" x14ac:dyDescent="0.2">
      <c r="A36" s="46" t="str">
        <f>IF($J36="","",IF(ISBLANK(INDEX('Product Backlog'!$A$5:$A$504,$J36)),"",INDEX('Product Backlog'!$A$5:$A$504,$J36)))</f>
        <v/>
      </c>
      <c r="B36" s="46" t="str">
        <f>IF($J36="","",IF(ISBLANK(INDEX('Product Backlog'!$B$5:$B$504,$J36)),"",INDEX('Product Backlog'!$B$5:$B$504,$J36)))</f>
        <v/>
      </c>
      <c r="C36" s="46" t="str">
        <f>IF($J36="","",IF(ISBLANK(INDEX('Product Backlog'!$C$5:$C$504,$J36)),"",INDEX('Product Backlog'!$C$5:$C$504,$J36)))</f>
        <v/>
      </c>
      <c r="D36" s="46" t="str">
        <f>IF($J36="","",IF(ISBLANK(INDEX('Product Backlog'!$D$5:$D$504,$J36)),"",INDEX('Product Backlog'!$D$5:$D$504,$J36)))</f>
        <v/>
      </c>
      <c r="E36" s="46" t="str">
        <f>IF($J36="","",IF(ISBLANK(INDEX('Product Backlog'!$E$5:$E$504,$J36)),"",INDEX('Product Backlog'!$E$5:$E$504,$J36)))</f>
        <v/>
      </c>
      <c r="F36" s="47" t="str">
        <f>IF($J36="","",IF(ISBLANK(INDEX('Product Backlog'!$F$5:$F$504,$J36)),"",INDEX('Product Backlog'!$F$5:$F$504,$J36)))</f>
        <v/>
      </c>
      <c r="G36" s="47" t="str">
        <f>IF($J36="","",IF(ISBLANK(INDEX('Product Backlog'!$G$5:$G$504,$J36)),"",INDEX('Product Backlog'!$G$5:$G$504,$J36)))</f>
        <v/>
      </c>
      <c r="H36" s="48" t="str">
        <f>IF($J36="","",IF(ISBLANK(INDEX('Product Backlog'!$H$5:$H$504,$J36)),"",INDEX('Product Backlog'!$H$5:$H$504,$J36)))</f>
        <v/>
      </c>
      <c r="I36" s="48" t="str">
        <f>IF($J36="","",IF(ISBLANK(INDEX('Product Backlog'!$I$5:$I$504,$J36)),"",INDEX('Product Backlog'!$I$5:$I$504,$J36)))</f>
        <v/>
      </c>
      <c r="J36" t="str">
        <f>IFERROR(MATCH($B$4&amp;"-"&amp;ROWS($A$10:A36),'Product Backlog'!$J$5:$J$504,0),"")</f>
        <v/>
      </c>
    </row>
    <row r="37" spans="1:10" ht="21" customHeight="1" x14ac:dyDescent="0.2">
      <c r="A37" s="46" t="str">
        <f>IF($J37="","",IF(ISBLANK(INDEX('Product Backlog'!$A$5:$A$504,$J37)),"",INDEX('Product Backlog'!$A$5:$A$504,$J37)))</f>
        <v/>
      </c>
      <c r="B37" s="46" t="str">
        <f>IF($J37="","",IF(ISBLANK(INDEX('Product Backlog'!$B$5:$B$504,$J37)),"",INDEX('Product Backlog'!$B$5:$B$504,$J37)))</f>
        <v/>
      </c>
      <c r="C37" s="46" t="str">
        <f>IF($J37="","",IF(ISBLANK(INDEX('Product Backlog'!$C$5:$C$504,$J37)),"",INDEX('Product Backlog'!$C$5:$C$504,$J37)))</f>
        <v/>
      </c>
      <c r="D37" s="46" t="str">
        <f>IF($J37="","",IF(ISBLANK(INDEX('Product Backlog'!$D$5:$D$504,$J37)),"",INDEX('Product Backlog'!$D$5:$D$504,$J37)))</f>
        <v/>
      </c>
      <c r="E37" s="46" t="str">
        <f>IF($J37="","",IF(ISBLANK(INDEX('Product Backlog'!$E$5:$E$504,$J37)),"",INDEX('Product Backlog'!$E$5:$E$504,$J37)))</f>
        <v/>
      </c>
      <c r="F37" s="47" t="str">
        <f>IF($J37="","",IF(ISBLANK(INDEX('Product Backlog'!$F$5:$F$504,$J37)),"",INDEX('Product Backlog'!$F$5:$F$504,$J37)))</f>
        <v/>
      </c>
      <c r="G37" s="47" t="str">
        <f>IF($J37="","",IF(ISBLANK(INDEX('Product Backlog'!$G$5:$G$504,$J37)),"",INDEX('Product Backlog'!$G$5:$G$504,$J37)))</f>
        <v/>
      </c>
      <c r="H37" s="48" t="str">
        <f>IF($J37="","",IF(ISBLANK(INDEX('Product Backlog'!$H$5:$H$504,$J37)),"",INDEX('Product Backlog'!$H$5:$H$504,$J37)))</f>
        <v/>
      </c>
      <c r="I37" s="48" t="str">
        <f>IF($J37="","",IF(ISBLANK(INDEX('Product Backlog'!$I$5:$I$504,$J37)),"",INDEX('Product Backlog'!$I$5:$I$504,$J37)))</f>
        <v/>
      </c>
      <c r="J37" t="str">
        <f>IFERROR(MATCH($B$4&amp;"-"&amp;ROWS($A$10:A37),'Product Backlog'!$J$5:$J$504,0),"")</f>
        <v/>
      </c>
    </row>
    <row r="38" spans="1:10" ht="21" customHeight="1" x14ac:dyDescent="0.2">
      <c r="A38" s="46" t="str">
        <f>IF($J38="","",IF(ISBLANK(INDEX('Product Backlog'!$A$5:$A$504,$J38)),"",INDEX('Product Backlog'!$A$5:$A$504,$J38)))</f>
        <v/>
      </c>
      <c r="B38" s="46" t="str">
        <f>IF($J38="","",IF(ISBLANK(INDEX('Product Backlog'!$B$5:$B$504,$J38)),"",INDEX('Product Backlog'!$B$5:$B$504,$J38)))</f>
        <v/>
      </c>
      <c r="C38" s="46" t="str">
        <f>IF($J38="","",IF(ISBLANK(INDEX('Product Backlog'!$C$5:$C$504,$J38)),"",INDEX('Product Backlog'!$C$5:$C$504,$J38)))</f>
        <v/>
      </c>
      <c r="D38" s="46" t="str">
        <f>IF($J38="","",IF(ISBLANK(INDEX('Product Backlog'!$D$5:$D$504,$J38)),"",INDEX('Product Backlog'!$D$5:$D$504,$J38)))</f>
        <v/>
      </c>
      <c r="E38" s="46" t="str">
        <f>IF($J38="","",IF(ISBLANK(INDEX('Product Backlog'!$E$5:$E$504,$J38)),"",INDEX('Product Backlog'!$E$5:$E$504,$J38)))</f>
        <v/>
      </c>
      <c r="F38" s="47" t="str">
        <f>IF($J38="","",IF(ISBLANK(INDEX('Product Backlog'!$F$5:$F$504,$J38)),"",INDEX('Product Backlog'!$F$5:$F$504,$J38)))</f>
        <v/>
      </c>
      <c r="G38" s="47" t="str">
        <f>IF($J38="","",IF(ISBLANK(INDEX('Product Backlog'!$G$5:$G$504,$J38)),"",INDEX('Product Backlog'!$G$5:$G$504,$J38)))</f>
        <v/>
      </c>
      <c r="H38" s="48" t="str">
        <f>IF($J38="","",IF(ISBLANK(INDEX('Product Backlog'!$H$5:$H$504,$J38)),"",INDEX('Product Backlog'!$H$5:$H$504,$J38)))</f>
        <v/>
      </c>
      <c r="I38" s="48" t="str">
        <f>IF($J38="","",IF(ISBLANK(INDEX('Product Backlog'!$I$5:$I$504,$J38)),"",INDEX('Product Backlog'!$I$5:$I$504,$J38)))</f>
        <v/>
      </c>
      <c r="J38" t="str">
        <f>IFERROR(MATCH($B$4&amp;"-"&amp;ROWS($A$10:A38),'Product Backlog'!$J$5:$J$504,0),"")</f>
        <v/>
      </c>
    </row>
    <row r="39" spans="1:10" ht="21" customHeight="1" x14ac:dyDescent="0.2">
      <c r="A39" s="46" t="str">
        <f>IF($J39="","",IF(ISBLANK(INDEX('Product Backlog'!$A$5:$A$504,$J39)),"",INDEX('Product Backlog'!$A$5:$A$504,$J39)))</f>
        <v/>
      </c>
      <c r="B39" s="46" t="str">
        <f>IF($J39="","",IF(ISBLANK(INDEX('Product Backlog'!$B$5:$B$504,$J39)),"",INDEX('Product Backlog'!$B$5:$B$504,$J39)))</f>
        <v/>
      </c>
      <c r="C39" s="46" t="str">
        <f>IF($J39="","",IF(ISBLANK(INDEX('Product Backlog'!$C$5:$C$504,$J39)),"",INDEX('Product Backlog'!$C$5:$C$504,$J39)))</f>
        <v/>
      </c>
      <c r="D39" s="46" t="str">
        <f>IF($J39="","",IF(ISBLANK(INDEX('Product Backlog'!$D$5:$D$504,$J39)),"",INDEX('Product Backlog'!$D$5:$D$504,$J39)))</f>
        <v/>
      </c>
      <c r="E39" s="46" t="str">
        <f>IF($J39="","",IF(ISBLANK(INDEX('Product Backlog'!$E$5:$E$504,$J39)),"",INDEX('Product Backlog'!$E$5:$E$504,$J39)))</f>
        <v/>
      </c>
      <c r="F39" s="47" t="str">
        <f>IF($J39="","",IF(ISBLANK(INDEX('Product Backlog'!$F$5:$F$504,$J39)),"",INDEX('Product Backlog'!$F$5:$F$504,$J39)))</f>
        <v/>
      </c>
      <c r="G39" s="47" t="str">
        <f>IF($J39="","",IF(ISBLANK(INDEX('Product Backlog'!$G$5:$G$504,$J39)),"",INDEX('Product Backlog'!$G$5:$G$504,$J39)))</f>
        <v/>
      </c>
      <c r="H39" s="48" t="str">
        <f>IF($J39="","",IF(ISBLANK(INDEX('Product Backlog'!$H$5:$H$504,$J39)),"",INDEX('Product Backlog'!$H$5:$H$504,$J39)))</f>
        <v/>
      </c>
      <c r="I39" s="48" t="str">
        <f>IF($J39="","",IF(ISBLANK(INDEX('Product Backlog'!$I$5:$I$504,$J39)),"",INDEX('Product Backlog'!$I$5:$I$504,$J39)))</f>
        <v/>
      </c>
      <c r="J39" t="str">
        <f>IFERROR(MATCH($B$4&amp;"-"&amp;ROWS($A$10:A39),'Product Backlog'!$J$5:$J$504,0),"")</f>
        <v/>
      </c>
    </row>
    <row r="40" spans="1:10" ht="21" customHeight="1" x14ac:dyDescent="0.2">
      <c r="A40" s="46" t="str">
        <f>IF($J40="","",IF(ISBLANK(INDEX('Product Backlog'!$A$5:$A$504,$J40)),"",INDEX('Product Backlog'!$A$5:$A$504,$J40)))</f>
        <v/>
      </c>
      <c r="B40" s="46" t="str">
        <f>IF($J40="","",IF(ISBLANK(INDEX('Product Backlog'!$B$5:$B$504,$J40)),"",INDEX('Product Backlog'!$B$5:$B$504,$J40)))</f>
        <v/>
      </c>
      <c r="C40" s="46" t="str">
        <f>IF($J40="","",IF(ISBLANK(INDEX('Product Backlog'!$C$5:$C$504,$J40)),"",INDEX('Product Backlog'!$C$5:$C$504,$J40)))</f>
        <v/>
      </c>
      <c r="D40" s="46" t="str">
        <f>IF($J40="","",IF(ISBLANK(INDEX('Product Backlog'!$D$5:$D$504,$J40)),"",INDEX('Product Backlog'!$D$5:$D$504,$J40)))</f>
        <v/>
      </c>
      <c r="E40" s="46" t="str">
        <f>IF($J40="","",IF(ISBLANK(INDEX('Product Backlog'!$E$5:$E$504,$J40)),"",INDEX('Product Backlog'!$E$5:$E$504,$J40)))</f>
        <v/>
      </c>
      <c r="F40" s="47" t="str">
        <f>IF($J40="","",IF(ISBLANK(INDEX('Product Backlog'!$F$5:$F$504,$J40)),"",INDEX('Product Backlog'!$F$5:$F$504,$J40)))</f>
        <v/>
      </c>
      <c r="G40" s="47" t="str">
        <f>IF($J40="","",IF(ISBLANK(INDEX('Product Backlog'!$G$5:$G$504,$J40)),"",INDEX('Product Backlog'!$G$5:$G$504,$J40)))</f>
        <v/>
      </c>
      <c r="H40" s="48" t="str">
        <f>IF($J40="","",IF(ISBLANK(INDEX('Product Backlog'!$H$5:$H$504,$J40)),"",INDEX('Product Backlog'!$H$5:$H$504,$J40)))</f>
        <v/>
      </c>
      <c r="I40" s="48" t="str">
        <f>IF($J40="","",IF(ISBLANK(INDEX('Product Backlog'!$I$5:$I$504,$J40)),"",INDEX('Product Backlog'!$I$5:$I$504,$J40)))</f>
        <v/>
      </c>
      <c r="J40" t="str">
        <f>IFERROR(MATCH($B$4&amp;"-"&amp;ROWS($A$10:A40),'Product Backlog'!$J$5:$J$504,0),"")</f>
        <v/>
      </c>
    </row>
    <row r="41" spans="1:10" ht="21" customHeight="1" x14ac:dyDescent="0.2">
      <c r="A41" s="46" t="str">
        <f>IF($J41="","",IF(ISBLANK(INDEX('Product Backlog'!$A$5:$A$504,$J41)),"",INDEX('Product Backlog'!$A$5:$A$504,$J41)))</f>
        <v/>
      </c>
      <c r="B41" s="46" t="str">
        <f>IF($J41="","",IF(ISBLANK(INDEX('Product Backlog'!$B$5:$B$504,$J41)),"",INDEX('Product Backlog'!$B$5:$B$504,$J41)))</f>
        <v/>
      </c>
      <c r="C41" s="46" t="str">
        <f>IF($J41="","",IF(ISBLANK(INDEX('Product Backlog'!$C$5:$C$504,$J41)),"",INDEX('Product Backlog'!$C$5:$C$504,$J41)))</f>
        <v/>
      </c>
      <c r="D41" s="46" t="str">
        <f>IF($J41="","",IF(ISBLANK(INDEX('Product Backlog'!$D$5:$D$504,$J41)),"",INDEX('Product Backlog'!$D$5:$D$504,$J41)))</f>
        <v/>
      </c>
      <c r="E41" s="46" t="str">
        <f>IF($J41="","",IF(ISBLANK(INDEX('Product Backlog'!$E$5:$E$504,$J41)),"",INDEX('Product Backlog'!$E$5:$E$504,$J41)))</f>
        <v/>
      </c>
      <c r="F41" s="47" t="str">
        <f>IF($J41="","",IF(ISBLANK(INDEX('Product Backlog'!$F$5:$F$504,$J41)),"",INDEX('Product Backlog'!$F$5:$F$504,$J41)))</f>
        <v/>
      </c>
      <c r="G41" s="47" t="str">
        <f>IF($J41="","",IF(ISBLANK(INDEX('Product Backlog'!$G$5:$G$504,$J41)),"",INDEX('Product Backlog'!$G$5:$G$504,$J41)))</f>
        <v/>
      </c>
      <c r="H41" s="48" t="str">
        <f>IF($J41="","",IF(ISBLANK(INDEX('Product Backlog'!$H$5:$H$504,$J41)),"",INDEX('Product Backlog'!$H$5:$H$504,$J41)))</f>
        <v/>
      </c>
      <c r="I41" s="48" t="str">
        <f>IF($J41="","",IF(ISBLANK(INDEX('Product Backlog'!$I$5:$I$504,$J41)),"",INDEX('Product Backlog'!$I$5:$I$504,$J41)))</f>
        <v/>
      </c>
      <c r="J41" t="str">
        <f>IFERROR(MATCH($B$4&amp;"-"&amp;ROWS($A$10:A41),'Product Backlog'!$J$5:$J$504,0),"")</f>
        <v/>
      </c>
    </row>
    <row r="42" spans="1:10" ht="21" customHeight="1" x14ac:dyDescent="0.2">
      <c r="A42" s="46" t="str">
        <f>IF($J42="","",IF(ISBLANK(INDEX('Product Backlog'!$A$5:$A$504,$J42)),"",INDEX('Product Backlog'!$A$5:$A$504,$J42)))</f>
        <v/>
      </c>
      <c r="B42" s="46" t="str">
        <f>IF($J42="","",IF(ISBLANK(INDEX('Product Backlog'!$B$5:$B$504,$J42)),"",INDEX('Product Backlog'!$B$5:$B$504,$J42)))</f>
        <v/>
      </c>
      <c r="C42" s="46" t="str">
        <f>IF($J42="","",IF(ISBLANK(INDEX('Product Backlog'!$C$5:$C$504,$J42)),"",INDEX('Product Backlog'!$C$5:$C$504,$J42)))</f>
        <v/>
      </c>
      <c r="D42" s="46" t="str">
        <f>IF($J42="","",IF(ISBLANK(INDEX('Product Backlog'!$D$5:$D$504,$J42)),"",INDEX('Product Backlog'!$D$5:$D$504,$J42)))</f>
        <v/>
      </c>
      <c r="E42" s="46" t="str">
        <f>IF($J42="","",IF(ISBLANK(INDEX('Product Backlog'!$E$5:$E$504,$J42)),"",INDEX('Product Backlog'!$E$5:$E$504,$J42)))</f>
        <v/>
      </c>
      <c r="F42" s="47" t="str">
        <f>IF($J42="","",IF(ISBLANK(INDEX('Product Backlog'!$F$5:$F$504,$J42)),"",INDEX('Product Backlog'!$F$5:$F$504,$J42)))</f>
        <v/>
      </c>
      <c r="G42" s="47" t="str">
        <f>IF($J42="","",IF(ISBLANK(INDEX('Product Backlog'!$G$5:$G$504,$J42)),"",INDEX('Product Backlog'!$G$5:$G$504,$J42)))</f>
        <v/>
      </c>
      <c r="H42" s="48" t="str">
        <f>IF($J42="","",IF(ISBLANK(INDEX('Product Backlog'!$H$5:$H$504,$J42)),"",INDEX('Product Backlog'!$H$5:$H$504,$J42)))</f>
        <v/>
      </c>
      <c r="I42" s="48" t="str">
        <f>IF($J42="","",IF(ISBLANK(INDEX('Product Backlog'!$I$5:$I$504,$J42)),"",INDEX('Product Backlog'!$I$5:$I$504,$J42)))</f>
        <v/>
      </c>
      <c r="J42" t="str">
        <f>IFERROR(MATCH($B$4&amp;"-"&amp;ROWS($A$10:A42),'Product Backlog'!$J$5:$J$504,0),"")</f>
        <v/>
      </c>
    </row>
    <row r="43" spans="1:10" ht="21" customHeight="1" x14ac:dyDescent="0.2">
      <c r="A43" s="46" t="str">
        <f>IF($J43="","",IF(ISBLANK(INDEX('Product Backlog'!$A$5:$A$504,$J43)),"",INDEX('Product Backlog'!$A$5:$A$504,$J43)))</f>
        <v/>
      </c>
      <c r="B43" s="46" t="str">
        <f>IF($J43="","",IF(ISBLANK(INDEX('Product Backlog'!$B$5:$B$504,$J43)),"",INDEX('Product Backlog'!$B$5:$B$504,$J43)))</f>
        <v/>
      </c>
      <c r="C43" s="46" t="str">
        <f>IF($J43="","",IF(ISBLANK(INDEX('Product Backlog'!$C$5:$C$504,$J43)),"",INDEX('Product Backlog'!$C$5:$C$504,$J43)))</f>
        <v/>
      </c>
      <c r="D43" s="46" t="str">
        <f>IF($J43="","",IF(ISBLANK(INDEX('Product Backlog'!$D$5:$D$504,$J43)),"",INDEX('Product Backlog'!$D$5:$D$504,$J43)))</f>
        <v/>
      </c>
      <c r="E43" s="46" t="str">
        <f>IF($J43="","",IF(ISBLANK(INDEX('Product Backlog'!$E$5:$E$504,$J43)),"",INDEX('Product Backlog'!$E$5:$E$504,$J43)))</f>
        <v/>
      </c>
      <c r="F43" s="47" t="str">
        <f>IF($J43="","",IF(ISBLANK(INDEX('Product Backlog'!$F$5:$F$504,$J43)),"",INDEX('Product Backlog'!$F$5:$F$504,$J43)))</f>
        <v/>
      </c>
      <c r="G43" s="47" t="str">
        <f>IF($J43="","",IF(ISBLANK(INDEX('Product Backlog'!$G$5:$G$504,$J43)),"",INDEX('Product Backlog'!$G$5:$G$504,$J43)))</f>
        <v/>
      </c>
      <c r="H43" s="48" t="str">
        <f>IF($J43="","",IF(ISBLANK(INDEX('Product Backlog'!$H$5:$H$504,$J43)),"",INDEX('Product Backlog'!$H$5:$H$504,$J43)))</f>
        <v/>
      </c>
      <c r="I43" s="48" t="str">
        <f>IF($J43="","",IF(ISBLANK(INDEX('Product Backlog'!$I$5:$I$504,$J43)),"",INDEX('Product Backlog'!$I$5:$I$504,$J43)))</f>
        <v/>
      </c>
      <c r="J43" t="str">
        <f>IFERROR(MATCH($B$4&amp;"-"&amp;ROWS($A$10:A43),'Product Backlog'!$J$5:$J$504,0),"")</f>
        <v/>
      </c>
    </row>
    <row r="44" spans="1:10" ht="21" customHeight="1" x14ac:dyDescent="0.2">
      <c r="A44" s="46" t="str">
        <f>IF($J44="","",IF(ISBLANK(INDEX('Product Backlog'!$A$5:$A$504,$J44)),"",INDEX('Product Backlog'!$A$5:$A$504,$J44)))</f>
        <v/>
      </c>
      <c r="B44" s="46" t="str">
        <f>IF($J44="","",IF(ISBLANK(INDEX('Product Backlog'!$B$5:$B$504,$J44)),"",INDEX('Product Backlog'!$B$5:$B$504,$J44)))</f>
        <v/>
      </c>
      <c r="C44" s="46" t="str">
        <f>IF($J44="","",IF(ISBLANK(INDEX('Product Backlog'!$C$5:$C$504,$J44)),"",INDEX('Product Backlog'!$C$5:$C$504,$J44)))</f>
        <v/>
      </c>
      <c r="D44" s="46" t="str">
        <f>IF($J44="","",IF(ISBLANK(INDEX('Product Backlog'!$D$5:$D$504,$J44)),"",INDEX('Product Backlog'!$D$5:$D$504,$J44)))</f>
        <v/>
      </c>
      <c r="E44" s="46" t="str">
        <f>IF($J44="","",IF(ISBLANK(INDEX('Product Backlog'!$E$5:$E$504,$J44)),"",INDEX('Product Backlog'!$E$5:$E$504,$J44)))</f>
        <v/>
      </c>
      <c r="F44" s="47" t="str">
        <f>IF($J44="","",IF(ISBLANK(INDEX('Product Backlog'!$F$5:$F$504,$J44)),"",INDEX('Product Backlog'!$F$5:$F$504,$J44)))</f>
        <v/>
      </c>
      <c r="G44" s="47" t="str">
        <f>IF($J44="","",IF(ISBLANK(INDEX('Product Backlog'!$G$5:$G$504,$J44)),"",INDEX('Product Backlog'!$G$5:$G$504,$J44)))</f>
        <v/>
      </c>
      <c r="H44" s="48" t="str">
        <f>IF($J44="","",IF(ISBLANK(INDEX('Product Backlog'!$H$5:$H$504,$J44)),"",INDEX('Product Backlog'!$H$5:$H$504,$J44)))</f>
        <v/>
      </c>
      <c r="I44" s="48" t="str">
        <f>IF($J44="","",IF(ISBLANK(INDEX('Product Backlog'!$I$5:$I$504,$J44)),"",INDEX('Product Backlog'!$I$5:$I$504,$J44)))</f>
        <v/>
      </c>
      <c r="J44" t="str">
        <f>IFERROR(MATCH($B$4&amp;"-"&amp;ROWS($A$10:A44),'Product Backlog'!$J$5:$J$504,0),"")</f>
        <v/>
      </c>
    </row>
    <row r="45" spans="1:10" ht="21" customHeight="1" x14ac:dyDescent="0.2">
      <c r="A45" s="46" t="str">
        <f>IF($J45="","",IF(ISBLANK(INDEX('Product Backlog'!$A$5:$A$504,$J45)),"",INDEX('Product Backlog'!$A$5:$A$504,$J45)))</f>
        <v/>
      </c>
      <c r="B45" s="46" t="str">
        <f>IF($J45="","",IF(ISBLANK(INDEX('Product Backlog'!$B$5:$B$504,$J45)),"",INDEX('Product Backlog'!$B$5:$B$504,$J45)))</f>
        <v/>
      </c>
      <c r="C45" s="46" t="str">
        <f>IF($J45="","",IF(ISBLANK(INDEX('Product Backlog'!$C$5:$C$504,$J45)),"",INDEX('Product Backlog'!$C$5:$C$504,$J45)))</f>
        <v/>
      </c>
      <c r="D45" s="46" t="str">
        <f>IF($J45="","",IF(ISBLANK(INDEX('Product Backlog'!$D$5:$D$504,$J45)),"",INDEX('Product Backlog'!$D$5:$D$504,$J45)))</f>
        <v/>
      </c>
      <c r="E45" s="46" t="str">
        <f>IF($J45="","",IF(ISBLANK(INDEX('Product Backlog'!$E$5:$E$504,$J45)),"",INDEX('Product Backlog'!$E$5:$E$504,$J45)))</f>
        <v/>
      </c>
      <c r="F45" s="47" t="str">
        <f>IF($J45="","",IF(ISBLANK(INDEX('Product Backlog'!$F$5:$F$504,$J45)),"",INDEX('Product Backlog'!$F$5:$F$504,$J45)))</f>
        <v/>
      </c>
      <c r="G45" s="47" t="str">
        <f>IF($J45="","",IF(ISBLANK(INDEX('Product Backlog'!$G$5:$G$504,$J45)),"",INDEX('Product Backlog'!$G$5:$G$504,$J45)))</f>
        <v/>
      </c>
      <c r="H45" s="48" t="str">
        <f>IF($J45="","",IF(ISBLANK(INDEX('Product Backlog'!$H$5:$H$504,$J45)),"",INDEX('Product Backlog'!$H$5:$H$504,$J45)))</f>
        <v/>
      </c>
      <c r="I45" s="48" t="str">
        <f>IF($J45="","",IF(ISBLANK(INDEX('Product Backlog'!$I$5:$I$504,$J45)),"",INDEX('Product Backlog'!$I$5:$I$504,$J45)))</f>
        <v/>
      </c>
      <c r="J45" t="str">
        <f>IFERROR(MATCH($B$4&amp;"-"&amp;ROWS($A$10:A45),'Product Backlog'!$J$5:$J$504,0),"")</f>
        <v/>
      </c>
    </row>
    <row r="46" spans="1:10" ht="21" customHeight="1" x14ac:dyDescent="0.2">
      <c r="A46" s="46" t="str">
        <f>IF($J46="","",IF(ISBLANK(INDEX('Product Backlog'!$A$5:$A$504,$J46)),"",INDEX('Product Backlog'!$A$5:$A$504,$J46)))</f>
        <v/>
      </c>
      <c r="B46" s="46" t="str">
        <f>IF($J46="","",IF(ISBLANK(INDEX('Product Backlog'!$B$5:$B$504,$J46)),"",INDEX('Product Backlog'!$B$5:$B$504,$J46)))</f>
        <v/>
      </c>
      <c r="C46" s="46" t="str">
        <f>IF($J46="","",IF(ISBLANK(INDEX('Product Backlog'!$C$5:$C$504,$J46)),"",INDEX('Product Backlog'!$C$5:$C$504,$J46)))</f>
        <v/>
      </c>
      <c r="D46" s="46" t="str">
        <f>IF($J46="","",IF(ISBLANK(INDEX('Product Backlog'!$D$5:$D$504,$J46)),"",INDEX('Product Backlog'!$D$5:$D$504,$J46)))</f>
        <v/>
      </c>
      <c r="E46" s="46" t="str">
        <f>IF($J46="","",IF(ISBLANK(INDEX('Product Backlog'!$E$5:$E$504,$J46)),"",INDEX('Product Backlog'!$E$5:$E$504,$J46)))</f>
        <v/>
      </c>
      <c r="F46" s="47" t="str">
        <f>IF($J46="","",IF(ISBLANK(INDEX('Product Backlog'!$F$5:$F$504,$J46)),"",INDEX('Product Backlog'!$F$5:$F$504,$J46)))</f>
        <v/>
      </c>
      <c r="G46" s="47" t="str">
        <f>IF($J46="","",IF(ISBLANK(INDEX('Product Backlog'!$G$5:$G$504,$J46)),"",INDEX('Product Backlog'!$G$5:$G$504,$J46)))</f>
        <v/>
      </c>
      <c r="H46" s="48" t="str">
        <f>IF($J46="","",IF(ISBLANK(INDEX('Product Backlog'!$H$5:$H$504,$J46)),"",INDEX('Product Backlog'!$H$5:$H$504,$J46)))</f>
        <v/>
      </c>
      <c r="I46" s="48" t="str">
        <f>IF($J46="","",IF(ISBLANK(INDEX('Product Backlog'!$I$5:$I$504,$J46)),"",INDEX('Product Backlog'!$I$5:$I$504,$J46)))</f>
        <v/>
      </c>
      <c r="J46" t="str">
        <f>IFERROR(MATCH($B$4&amp;"-"&amp;ROWS($A$10:A46),'Product Backlog'!$J$5:$J$504,0),"")</f>
        <v/>
      </c>
    </row>
    <row r="47" spans="1:10" ht="21" customHeight="1" x14ac:dyDescent="0.2">
      <c r="A47" s="46" t="str">
        <f>IF($J47="","",IF(ISBLANK(INDEX('Product Backlog'!$A$5:$A$504,$J47)),"",INDEX('Product Backlog'!$A$5:$A$504,$J47)))</f>
        <v/>
      </c>
      <c r="B47" s="46" t="str">
        <f>IF($J47="","",IF(ISBLANK(INDEX('Product Backlog'!$B$5:$B$504,$J47)),"",INDEX('Product Backlog'!$B$5:$B$504,$J47)))</f>
        <v/>
      </c>
      <c r="C47" s="46" t="str">
        <f>IF($J47="","",IF(ISBLANK(INDEX('Product Backlog'!$C$5:$C$504,$J47)),"",INDEX('Product Backlog'!$C$5:$C$504,$J47)))</f>
        <v/>
      </c>
      <c r="D47" s="46" t="str">
        <f>IF($J47="","",IF(ISBLANK(INDEX('Product Backlog'!$D$5:$D$504,$J47)),"",INDEX('Product Backlog'!$D$5:$D$504,$J47)))</f>
        <v/>
      </c>
      <c r="E47" s="46" t="str">
        <f>IF($J47="","",IF(ISBLANK(INDEX('Product Backlog'!$E$5:$E$504,$J47)),"",INDEX('Product Backlog'!$E$5:$E$504,$J47)))</f>
        <v/>
      </c>
      <c r="F47" s="47" t="str">
        <f>IF($J47="","",IF(ISBLANK(INDEX('Product Backlog'!$F$5:$F$504,$J47)),"",INDEX('Product Backlog'!$F$5:$F$504,$J47)))</f>
        <v/>
      </c>
      <c r="G47" s="47" t="str">
        <f>IF($J47="","",IF(ISBLANK(INDEX('Product Backlog'!$G$5:$G$504,$J47)),"",INDEX('Product Backlog'!$G$5:$G$504,$J47)))</f>
        <v/>
      </c>
      <c r="H47" s="48" t="str">
        <f>IF($J47="","",IF(ISBLANK(INDEX('Product Backlog'!$H$5:$H$504,$J47)),"",INDEX('Product Backlog'!$H$5:$H$504,$J47)))</f>
        <v/>
      </c>
      <c r="I47" s="48" t="str">
        <f>IF($J47="","",IF(ISBLANK(INDEX('Product Backlog'!$I$5:$I$504,$J47)),"",INDEX('Product Backlog'!$I$5:$I$504,$J47)))</f>
        <v/>
      </c>
      <c r="J47" t="str">
        <f>IFERROR(MATCH($B$4&amp;"-"&amp;ROWS($A$10:A47),'Product Backlog'!$J$5:$J$504,0),"")</f>
        <v/>
      </c>
    </row>
    <row r="48" spans="1:10" ht="21" customHeight="1" x14ac:dyDescent="0.2">
      <c r="A48" s="46" t="str">
        <f>IF($J48="","",IF(ISBLANK(INDEX('Product Backlog'!$A$5:$A$504,$J48)),"",INDEX('Product Backlog'!$A$5:$A$504,$J48)))</f>
        <v/>
      </c>
      <c r="B48" s="46" t="str">
        <f>IF($J48="","",IF(ISBLANK(INDEX('Product Backlog'!$B$5:$B$504,$J48)),"",INDEX('Product Backlog'!$B$5:$B$504,$J48)))</f>
        <v/>
      </c>
      <c r="C48" s="46" t="str">
        <f>IF($J48="","",IF(ISBLANK(INDEX('Product Backlog'!$C$5:$C$504,$J48)),"",INDEX('Product Backlog'!$C$5:$C$504,$J48)))</f>
        <v/>
      </c>
      <c r="D48" s="46" t="str">
        <f>IF($J48="","",IF(ISBLANK(INDEX('Product Backlog'!$D$5:$D$504,$J48)),"",INDEX('Product Backlog'!$D$5:$D$504,$J48)))</f>
        <v/>
      </c>
      <c r="E48" s="46" t="str">
        <f>IF($J48="","",IF(ISBLANK(INDEX('Product Backlog'!$E$5:$E$504,$J48)),"",INDEX('Product Backlog'!$E$5:$E$504,$J48)))</f>
        <v/>
      </c>
      <c r="F48" s="47" t="str">
        <f>IF($J48="","",IF(ISBLANK(INDEX('Product Backlog'!$F$5:$F$504,$J48)),"",INDEX('Product Backlog'!$F$5:$F$504,$J48)))</f>
        <v/>
      </c>
      <c r="G48" s="47" t="str">
        <f>IF($J48="","",IF(ISBLANK(INDEX('Product Backlog'!$G$5:$G$504,$J48)),"",INDEX('Product Backlog'!$G$5:$G$504,$J48)))</f>
        <v/>
      </c>
      <c r="H48" s="48" t="str">
        <f>IF($J48="","",IF(ISBLANK(INDEX('Product Backlog'!$H$5:$H$504,$J48)),"",INDEX('Product Backlog'!$H$5:$H$504,$J48)))</f>
        <v/>
      </c>
      <c r="I48" s="48" t="str">
        <f>IF($J48="","",IF(ISBLANK(INDEX('Product Backlog'!$I$5:$I$504,$J48)),"",INDEX('Product Backlog'!$I$5:$I$504,$J48)))</f>
        <v/>
      </c>
      <c r="J48" t="str">
        <f>IFERROR(MATCH($B$4&amp;"-"&amp;ROWS($A$10:A48),'Product Backlog'!$J$5:$J$504,0),"")</f>
        <v/>
      </c>
    </row>
    <row r="49" spans="1:10" ht="21" customHeight="1" x14ac:dyDescent="0.2">
      <c r="A49" s="46" t="str">
        <f>IF($J49="","",IF(ISBLANK(INDEX('Product Backlog'!$A$5:$A$504,$J49)),"",INDEX('Product Backlog'!$A$5:$A$504,$J49)))</f>
        <v/>
      </c>
      <c r="B49" s="46" t="str">
        <f>IF($J49="","",IF(ISBLANK(INDEX('Product Backlog'!$B$5:$B$504,$J49)),"",INDEX('Product Backlog'!$B$5:$B$504,$J49)))</f>
        <v/>
      </c>
      <c r="C49" s="46" t="str">
        <f>IF($J49="","",IF(ISBLANK(INDEX('Product Backlog'!$C$5:$C$504,$J49)),"",INDEX('Product Backlog'!$C$5:$C$504,$J49)))</f>
        <v/>
      </c>
      <c r="D49" s="46" t="str">
        <f>IF($J49="","",IF(ISBLANK(INDEX('Product Backlog'!$D$5:$D$504,$J49)),"",INDEX('Product Backlog'!$D$5:$D$504,$J49)))</f>
        <v/>
      </c>
      <c r="E49" s="46" t="str">
        <f>IF($J49="","",IF(ISBLANK(INDEX('Product Backlog'!$E$5:$E$504,$J49)),"",INDEX('Product Backlog'!$E$5:$E$504,$J49)))</f>
        <v/>
      </c>
      <c r="F49" s="47" t="str">
        <f>IF($J49="","",IF(ISBLANK(INDEX('Product Backlog'!$F$5:$F$504,$J49)),"",INDEX('Product Backlog'!$F$5:$F$504,$J49)))</f>
        <v/>
      </c>
      <c r="G49" s="47" t="str">
        <f>IF($J49="","",IF(ISBLANK(INDEX('Product Backlog'!$G$5:$G$504,$J49)),"",INDEX('Product Backlog'!$G$5:$G$504,$J49)))</f>
        <v/>
      </c>
      <c r="H49" s="48" t="str">
        <f>IF($J49="","",IF(ISBLANK(INDEX('Product Backlog'!$H$5:$H$504,$J49)),"",INDEX('Product Backlog'!$H$5:$H$504,$J49)))</f>
        <v/>
      </c>
      <c r="I49" s="48" t="str">
        <f>IF($J49="","",IF(ISBLANK(INDEX('Product Backlog'!$I$5:$I$504,$J49)),"",INDEX('Product Backlog'!$I$5:$I$504,$J49)))</f>
        <v/>
      </c>
      <c r="J49" t="str">
        <f>IFERROR(MATCH($B$4&amp;"-"&amp;ROWS($A$10:A49),'Product Backlog'!$J$5:$J$504,0),"")</f>
        <v/>
      </c>
    </row>
    <row r="50" spans="1:10" ht="21" customHeight="1" x14ac:dyDescent="0.2">
      <c r="A50" s="46" t="str">
        <f>IF($J50="","",IF(ISBLANK(INDEX('Product Backlog'!$A$5:$A$504,$J50)),"",INDEX('Product Backlog'!$A$5:$A$504,$J50)))</f>
        <v/>
      </c>
      <c r="B50" s="46" t="str">
        <f>IF($J50="","",IF(ISBLANK(INDEX('Product Backlog'!$B$5:$B$504,$J50)),"",INDEX('Product Backlog'!$B$5:$B$504,$J50)))</f>
        <v/>
      </c>
      <c r="C50" s="46" t="str">
        <f>IF($J50="","",IF(ISBLANK(INDEX('Product Backlog'!$C$5:$C$504,$J50)),"",INDEX('Product Backlog'!$C$5:$C$504,$J50)))</f>
        <v/>
      </c>
      <c r="D50" s="46" t="str">
        <f>IF($J50="","",IF(ISBLANK(INDEX('Product Backlog'!$D$5:$D$504,$J50)),"",INDEX('Product Backlog'!$D$5:$D$504,$J50)))</f>
        <v/>
      </c>
      <c r="E50" s="46" t="str">
        <f>IF($J50="","",IF(ISBLANK(INDEX('Product Backlog'!$E$5:$E$504,$J50)),"",INDEX('Product Backlog'!$E$5:$E$504,$J50)))</f>
        <v/>
      </c>
      <c r="F50" s="47" t="str">
        <f>IF($J50="","",IF(ISBLANK(INDEX('Product Backlog'!$F$5:$F$504,$J50)),"",INDEX('Product Backlog'!$F$5:$F$504,$J50)))</f>
        <v/>
      </c>
      <c r="G50" s="47" t="str">
        <f>IF($J50="","",IF(ISBLANK(INDEX('Product Backlog'!$G$5:$G$504,$J50)),"",INDEX('Product Backlog'!$G$5:$G$504,$J50)))</f>
        <v/>
      </c>
      <c r="H50" s="48" t="str">
        <f>IF($J50="","",IF(ISBLANK(INDEX('Product Backlog'!$H$5:$H$504,$J50)),"",INDEX('Product Backlog'!$H$5:$H$504,$J50)))</f>
        <v/>
      </c>
      <c r="I50" s="48" t="str">
        <f>IF($J50="","",IF(ISBLANK(INDEX('Product Backlog'!$I$5:$I$504,$J50)),"",INDEX('Product Backlog'!$I$5:$I$504,$J50)))</f>
        <v/>
      </c>
      <c r="J50" t="str">
        <f>IFERROR(MATCH($B$4&amp;"-"&amp;ROWS($A$10:A50),'Product Backlog'!$J$5:$J$504,0),"")</f>
        <v/>
      </c>
    </row>
    <row r="51" spans="1:10" ht="21" customHeight="1" x14ac:dyDescent="0.2">
      <c r="A51" s="46" t="str">
        <f>IF($J51="","",IF(ISBLANK(INDEX('Product Backlog'!$A$5:$A$504,$J51)),"",INDEX('Product Backlog'!$A$5:$A$504,$J51)))</f>
        <v/>
      </c>
      <c r="B51" s="46" t="str">
        <f>IF($J51="","",IF(ISBLANK(INDEX('Product Backlog'!$B$5:$B$504,$J51)),"",INDEX('Product Backlog'!$B$5:$B$504,$J51)))</f>
        <v/>
      </c>
      <c r="C51" s="46" t="str">
        <f>IF($J51="","",IF(ISBLANK(INDEX('Product Backlog'!$C$5:$C$504,$J51)),"",INDEX('Product Backlog'!$C$5:$C$504,$J51)))</f>
        <v/>
      </c>
      <c r="D51" s="46" t="str">
        <f>IF($J51="","",IF(ISBLANK(INDEX('Product Backlog'!$D$5:$D$504,$J51)),"",INDEX('Product Backlog'!$D$5:$D$504,$J51)))</f>
        <v/>
      </c>
      <c r="E51" s="46" t="str">
        <f>IF($J51="","",IF(ISBLANK(INDEX('Product Backlog'!$E$5:$E$504,$J51)),"",INDEX('Product Backlog'!$E$5:$E$504,$J51)))</f>
        <v/>
      </c>
      <c r="F51" s="47" t="str">
        <f>IF($J51="","",IF(ISBLANK(INDEX('Product Backlog'!$F$5:$F$504,$J51)),"",INDEX('Product Backlog'!$F$5:$F$504,$J51)))</f>
        <v/>
      </c>
      <c r="G51" s="47" t="str">
        <f>IF($J51="","",IF(ISBLANK(INDEX('Product Backlog'!$G$5:$G$504,$J51)),"",INDEX('Product Backlog'!$G$5:$G$504,$J51)))</f>
        <v/>
      </c>
      <c r="H51" s="48" t="str">
        <f>IF($J51="","",IF(ISBLANK(INDEX('Product Backlog'!$H$5:$H$504,$J51)),"",INDEX('Product Backlog'!$H$5:$H$504,$J51)))</f>
        <v/>
      </c>
      <c r="I51" s="48" t="str">
        <f>IF($J51="","",IF(ISBLANK(INDEX('Product Backlog'!$I$5:$I$504,$J51)),"",INDEX('Product Backlog'!$I$5:$I$504,$J51)))</f>
        <v/>
      </c>
      <c r="J51" t="str">
        <f>IFERROR(MATCH($B$4&amp;"-"&amp;ROWS($A$10:A51),'Product Backlog'!$J$5:$J$504,0),"")</f>
        <v/>
      </c>
    </row>
    <row r="52" spans="1:10" ht="21" customHeight="1" x14ac:dyDescent="0.2">
      <c r="A52" s="46" t="str">
        <f>IF($J52="","",IF(ISBLANK(INDEX('Product Backlog'!$A$5:$A$504,$J52)),"",INDEX('Product Backlog'!$A$5:$A$504,$J52)))</f>
        <v/>
      </c>
      <c r="B52" s="46" t="str">
        <f>IF($J52="","",IF(ISBLANK(INDEX('Product Backlog'!$B$5:$B$504,$J52)),"",INDEX('Product Backlog'!$B$5:$B$504,$J52)))</f>
        <v/>
      </c>
      <c r="C52" s="46" t="str">
        <f>IF($J52="","",IF(ISBLANK(INDEX('Product Backlog'!$C$5:$C$504,$J52)),"",INDEX('Product Backlog'!$C$5:$C$504,$J52)))</f>
        <v/>
      </c>
      <c r="D52" s="46" t="str">
        <f>IF($J52="","",IF(ISBLANK(INDEX('Product Backlog'!$D$5:$D$504,$J52)),"",INDEX('Product Backlog'!$D$5:$D$504,$J52)))</f>
        <v/>
      </c>
      <c r="E52" s="46" t="str">
        <f>IF($J52="","",IF(ISBLANK(INDEX('Product Backlog'!$E$5:$E$504,$J52)),"",INDEX('Product Backlog'!$E$5:$E$504,$J52)))</f>
        <v/>
      </c>
      <c r="F52" s="47" t="str">
        <f>IF($J52="","",IF(ISBLANK(INDEX('Product Backlog'!$F$5:$F$504,$J52)),"",INDEX('Product Backlog'!$F$5:$F$504,$J52)))</f>
        <v/>
      </c>
      <c r="G52" s="47" t="str">
        <f>IF($J52="","",IF(ISBLANK(INDEX('Product Backlog'!$G$5:$G$504,$J52)),"",INDEX('Product Backlog'!$G$5:$G$504,$J52)))</f>
        <v/>
      </c>
      <c r="H52" s="48" t="str">
        <f>IF($J52="","",IF(ISBLANK(INDEX('Product Backlog'!$H$5:$H$504,$J52)),"",INDEX('Product Backlog'!$H$5:$H$504,$J52)))</f>
        <v/>
      </c>
      <c r="I52" s="48" t="str">
        <f>IF($J52="","",IF(ISBLANK(INDEX('Product Backlog'!$I$5:$I$504,$J52)),"",INDEX('Product Backlog'!$I$5:$I$504,$J52)))</f>
        <v/>
      </c>
      <c r="J52" t="str">
        <f>IFERROR(MATCH($B$4&amp;"-"&amp;ROWS($A$10:A52),'Product Backlog'!$J$5:$J$504,0),"")</f>
        <v/>
      </c>
    </row>
    <row r="53" spans="1:10" ht="21" customHeight="1" x14ac:dyDescent="0.2">
      <c r="A53" s="46" t="str">
        <f>IF($J53="","",IF(ISBLANK(INDEX('Product Backlog'!$A$5:$A$504,$J53)),"",INDEX('Product Backlog'!$A$5:$A$504,$J53)))</f>
        <v/>
      </c>
      <c r="B53" s="46" t="str">
        <f>IF($J53="","",IF(ISBLANK(INDEX('Product Backlog'!$B$5:$B$504,$J53)),"",INDEX('Product Backlog'!$B$5:$B$504,$J53)))</f>
        <v/>
      </c>
      <c r="C53" s="46" t="str">
        <f>IF($J53="","",IF(ISBLANK(INDEX('Product Backlog'!$C$5:$C$504,$J53)),"",INDEX('Product Backlog'!$C$5:$C$504,$J53)))</f>
        <v/>
      </c>
      <c r="D53" s="46" t="str">
        <f>IF($J53="","",IF(ISBLANK(INDEX('Product Backlog'!$D$5:$D$504,$J53)),"",INDEX('Product Backlog'!$D$5:$D$504,$J53)))</f>
        <v/>
      </c>
      <c r="E53" s="46" t="str">
        <f>IF($J53="","",IF(ISBLANK(INDEX('Product Backlog'!$E$5:$E$504,$J53)),"",INDEX('Product Backlog'!$E$5:$E$504,$J53)))</f>
        <v/>
      </c>
      <c r="F53" s="47" t="str">
        <f>IF($J53="","",IF(ISBLANK(INDEX('Product Backlog'!$F$5:$F$504,$J53)),"",INDEX('Product Backlog'!$F$5:$F$504,$J53)))</f>
        <v/>
      </c>
      <c r="G53" s="47" t="str">
        <f>IF($J53="","",IF(ISBLANK(INDEX('Product Backlog'!$G$5:$G$504,$J53)),"",INDEX('Product Backlog'!$G$5:$G$504,$J53)))</f>
        <v/>
      </c>
      <c r="H53" s="48" t="str">
        <f>IF($J53="","",IF(ISBLANK(INDEX('Product Backlog'!$H$5:$H$504,$J53)),"",INDEX('Product Backlog'!$H$5:$H$504,$J53)))</f>
        <v/>
      </c>
      <c r="I53" s="48" t="str">
        <f>IF($J53="","",IF(ISBLANK(INDEX('Product Backlog'!$I$5:$I$504,$J53)),"",INDEX('Product Backlog'!$I$5:$I$504,$J53)))</f>
        <v/>
      </c>
      <c r="J53" t="str">
        <f>IFERROR(MATCH($B$4&amp;"-"&amp;ROWS($A$10:A53),'Product Backlog'!$J$5:$J$504,0),"")</f>
        <v/>
      </c>
    </row>
    <row r="54" spans="1:10" ht="21" customHeight="1" x14ac:dyDescent="0.2">
      <c r="A54" s="46" t="str">
        <f>IF($J54="","",IF(ISBLANK(INDEX('Product Backlog'!$A$5:$A$504,$J54)),"",INDEX('Product Backlog'!$A$5:$A$504,$J54)))</f>
        <v/>
      </c>
      <c r="B54" s="46" t="str">
        <f>IF($J54="","",IF(ISBLANK(INDEX('Product Backlog'!$B$5:$B$504,$J54)),"",INDEX('Product Backlog'!$B$5:$B$504,$J54)))</f>
        <v/>
      </c>
      <c r="C54" s="46" t="str">
        <f>IF($J54="","",IF(ISBLANK(INDEX('Product Backlog'!$C$5:$C$504,$J54)),"",INDEX('Product Backlog'!$C$5:$C$504,$J54)))</f>
        <v/>
      </c>
      <c r="D54" s="46" t="str">
        <f>IF($J54="","",IF(ISBLANK(INDEX('Product Backlog'!$D$5:$D$504,$J54)),"",INDEX('Product Backlog'!$D$5:$D$504,$J54)))</f>
        <v/>
      </c>
      <c r="E54" s="46" t="str">
        <f>IF($J54="","",IF(ISBLANK(INDEX('Product Backlog'!$E$5:$E$504,$J54)),"",INDEX('Product Backlog'!$E$5:$E$504,$J54)))</f>
        <v/>
      </c>
      <c r="F54" s="47" t="str">
        <f>IF($J54="","",IF(ISBLANK(INDEX('Product Backlog'!$F$5:$F$504,$J54)),"",INDEX('Product Backlog'!$F$5:$F$504,$J54)))</f>
        <v/>
      </c>
      <c r="G54" s="47" t="str">
        <f>IF($J54="","",IF(ISBLANK(INDEX('Product Backlog'!$G$5:$G$504,$J54)),"",INDEX('Product Backlog'!$G$5:$G$504,$J54)))</f>
        <v/>
      </c>
      <c r="H54" s="48" t="str">
        <f>IF($J54="","",IF(ISBLANK(INDEX('Product Backlog'!$H$5:$H$504,$J54)),"",INDEX('Product Backlog'!$H$5:$H$504,$J54)))</f>
        <v/>
      </c>
      <c r="I54" s="48" t="str">
        <f>IF($J54="","",IF(ISBLANK(INDEX('Product Backlog'!$I$5:$I$504,$J54)),"",INDEX('Product Backlog'!$I$5:$I$504,$J54)))</f>
        <v/>
      </c>
      <c r="J54" t="str">
        <f>IFERROR(MATCH($B$4&amp;"-"&amp;ROWS($A$10:A54),'Product Backlog'!$J$5:$J$504,0),"")</f>
        <v/>
      </c>
    </row>
    <row r="55" spans="1:10" ht="21" customHeight="1" x14ac:dyDescent="0.2">
      <c r="A55" s="46" t="str">
        <f>IF($J55="","",IF(ISBLANK(INDEX('Product Backlog'!$A$5:$A$504,$J55)),"",INDEX('Product Backlog'!$A$5:$A$504,$J55)))</f>
        <v/>
      </c>
      <c r="B55" s="46" t="str">
        <f>IF($J55="","",IF(ISBLANK(INDEX('Product Backlog'!$B$5:$B$504,$J55)),"",INDEX('Product Backlog'!$B$5:$B$504,$J55)))</f>
        <v/>
      </c>
      <c r="C55" s="46" t="str">
        <f>IF($J55="","",IF(ISBLANK(INDEX('Product Backlog'!$C$5:$C$504,$J55)),"",INDEX('Product Backlog'!$C$5:$C$504,$J55)))</f>
        <v/>
      </c>
      <c r="D55" s="46" t="str">
        <f>IF($J55="","",IF(ISBLANK(INDEX('Product Backlog'!$D$5:$D$504,$J55)),"",INDEX('Product Backlog'!$D$5:$D$504,$J55)))</f>
        <v/>
      </c>
      <c r="E55" s="46" t="str">
        <f>IF($J55="","",IF(ISBLANK(INDEX('Product Backlog'!$E$5:$E$504,$J55)),"",INDEX('Product Backlog'!$E$5:$E$504,$J55)))</f>
        <v/>
      </c>
      <c r="F55" s="47" t="str">
        <f>IF($J55="","",IF(ISBLANK(INDEX('Product Backlog'!$F$5:$F$504,$J55)),"",INDEX('Product Backlog'!$F$5:$F$504,$J55)))</f>
        <v/>
      </c>
      <c r="G55" s="47" t="str">
        <f>IF($J55="","",IF(ISBLANK(INDEX('Product Backlog'!$G$5:$G$504,$J55)),"",INDEX('Product Backlog'!$G$5:$G$504,$J55)))</f>
        <v/>
      </c>
      <c r="H55" s="48" t="str">
        <f>IF($J55="","",IF(ISBLANK(INDEX('Product Backlog'!$H$5:$H$504,$J55)),"",INDEX('Product Backlog'!$H$5:$H$504,$J55)))</f>
        <v/>
      </c>
      <c r="I55" s="48" t="str">
        <f>IF($J55="","",IF(ISBLANK(INDEX('Product Backlog'!$I$5:$I$504,$J55)),"",INDEX('Product Backlog'!$I$5:$I$504,$J55)))</f>
        <v/>
      </c>
      <c r="J55" t="str">
        <f>IFERROR(MATCH($B$4&amp;"-"&amp;ROWS($A$10:A55),'Product Backlog'!$J$5:$J$504,0),"")</f>
        <v/>
      </c>
    </row>
    <row r="56" spans="1:10" ht="21" customHeight="1" x14ac:dyDescent="0.2">
      <c r="A56" s="46" t="str">
        <f>IF($J56="","",IF(ISBLANK(INDEX('Product Backlog'!$A$5:$A$504,$J56)),"",INDEX('Product Backlog'!$A$5:$A$504,$J56)))</f>
        <v/>
      </c>
      <c r="B56" s="46" t="str">
        <f>IF($J56="","",IF(ISBLANK(INDEX('Product Backlog'!$B$5:$B$504,$J56)),"",INDEX('Product Backlog'!$B$5:$B$504,$J56)))</f>
        <v/>
      </c>
      <c r="C56" s="46" t="str">
        <f>IF($J56="","",IF(ISBLANK(INDEX('Product Backlog'!$C$5:$C$504,$J56)),"",INDEX('Product Backlog'!$C$5:$C$504,$J56)))</f>
        <v/>
      </c>
      <c r="D56" s="46" t="str">
        <f>IF($J56="","",IF(ISBLANK(INDEX('Product Backlog'!$D$5:$D$504,$J56)),"",INDEX('Product Backlog'!$D$5:$D$504,$J56)))</f>
        <v/>
      </c>
      <c r="E56" s="46" t="str">
        <f>IF($J56="","",IF(ISBLANK(INDEX('Product Backlog'!$E$5:$E$504,$J56)),"",INDEX('Product Backlog'!$E$5:$E$504,$J56)))</f>
        <v/>
      </c>
      <c r="F56" s="47" t="str">
        <f>IF($J56="","",IF(ISBLANK(INDEX('Product Backlog'!$F$5:$F$504,$J56)),"",INDEX('Product Backlog'!$F$5:$F$504,$J56)))</f>
        <v/>
      </c>
      <c r="G56" s="47" t="str">
        <f>IF($J56="","",IF(ISBLANK(INDEX('Product Backlog'!$G$5:$G$504,$J56)),"",INDEX('Product Backlog'!$G$5:$G$504,$J56)))</f>
        <v/>
      </c>
      <c r="H56" s="48" t="str">
        <f>IF($J56="","",IF(ISBLANK(INDEX('Product Backlog'!$H$5:$H$504,$J56)),"",INDEX('Product Backlog'!$H$5:$H$504,$J56)))</f>
        <v/>
      </c>
      <c r="I56" s="48" t="str">
        <f>IF($J56="","",IF(ISBLANK(INDEX('Product Backlog'!$I$5:$I$504,$J56)),"",INDEX('Product Backlog'!$I$5:$I$504,$J56)))</f>
        <v/>
      </c>
      <c r="J56" t="str">
        <f>IFERROR(MATCH($B$4&amp;"-"&amp;ROWS($A$10:A56),'Product Backlog'!$J$5:$J$504,0),"")</f>
        <v/>
      </c>
    </row>
    <row r="57" spans="1:10" ht="21" customHeight="1" x14ac:dyDescent="0.2">
      <c r="A57" s="46" t="str">
        <f>IF($J57="","",IF(ISBLANK(INDEX('Product Backlog'!$A$5:$A$504,$J57)),"",INDEX('Product Backlog'!$A$5:$A$504,$J57)))</f>
        <v/>
      </c>
      <c r="B57" s="46" t="str">
        <f>IF($J57="","",IF(ISBLANK(INDEX('Product Backlog'!$B$5:$B$504,$J57)),"",INDEX('Product Backlog'!$B$5:$B$504,$J57)))</f>
        <v/>
      </c>
      <c r="C57" s="46" t="str">
        <f>IF($J57="","",IF(ISBLANK(INDEX('Product Backlog'!$C$5:$C$504,$J57)),"",INDEX('Product Backlog'!$C$5:$C$504,$J57)))</f>
        <v/>
      </c>
      <c r="D57" s="46" t="str">
        <f>IF($J57="","",IF(ISBLANK(INDEX('Product Backlog'!$D$5:$D$504,$J57)),"",INDEX('Product Backlog'!$D$5:$D$504,$J57)))</f>
        <v/>
      </c>
      <c r="E57" s="46" t="str">
        <f>IF($J57="","",IF(ISBLANK(INDEX('Product Backlog'!$E$5:$E$504,$J57)),"",INDEX('Product Backlog'!$E$5:$E$504,$J57)))</f>
        <v/>
      </c>
      <c r="F57" s="47" t="str">
        <f>IF($J57="","",IF(ISBLANK(INDEX('Product Backlog'!$F$5:$F$504,$J57)),"",INDEX('Product Backlog'!$F$5:$F$504,$J57)))</f>
        <v/>
      </c>
      <c r="G57" s="47" t="str">
        <f>IF($J57="","",IF(ISBLANK(INDEX('Product Backlog'!$G$5:$G$504,$J57)),"",INDEX('Product Backlog'!$G$5:$G$504,$J57)))</f>
        <v/>
      </c>
      <c r="H57" s="48" t="str">
        <f>IF($J57="","",IF(ISBLANK(INDEX('Product Backlog'!$H$5:$H$504,$J57)),"",INDEX('Product Backlog'!$H$5:$H$504,$J57)))</f>
        <v/>
      </c>
      <c r="I57" s="48" t="str">
        <f>IF($J57="","",IF(ISBLANK(INDEX('Product Backlog'!$I$5:$I$504,$J57)),"",INDEX('Product Backlog'!$I$5:$I$504,$J57)))</f>
        <v/>
      </c>
      <c r="J57" t="str">
        <f>IFERROR(MATCH($B$4&amp;"-"&amp;ROWS($A$10:A57),'Product Backlog'!$J$5:$J$504,0),"")</f>
        <v/>
      </c>
    </row>
    <row r="58" spans="1:10" ht="21" customHeight="1" x14ac:dyDescent="0.2">
      <c r="A58" s="46" t="str">
        <f>IF($J58="","",IF(ISBLANK(INDEX('Product Backlog'!$A$5:$A$504,$J58)),"",INDEX('Product Backlog'!$A$5:$A$504,$J58)))</f>
        <v/>
      </c>
      <c r="B58" s="46" t="str">
        <f>IF($J58="","",IF(ISBLANK(INDEX('Product Backlog'!$B$5:$B$504,$J58)),"",INDEX('Product Backlog'!$B$5:$B$504,$J58)))</f>
        <v/>
      </c>
      <c r="C58" s="46" t="str">
        <f>IF($J58="","",IF(ISBLANK(INDEX('Product Backlog'!$C$5:$C$504,$J58)),"",INDEX('Product Backlog'!$C$5:$C$504,$J58)))</f>
        <v/>
      </c>
      <c r="D58" s="46" t="str">
        <f>IF($J58="","",IF(ISBLANK(INDEX('Product Backlog'!$D$5:$D$504,$J58)),"",INDEX('Product Backlog'!$D$5:$D$504,$J58)))</f>
        <v/>
      </c>
      <c r="E58" s="46" t="str">
        <f>IF($J58="","",IF(ISBLANK(INDEX('Product Backlog'!$E$5:$E$504,$J58)),"",INDEX('Product Backlog'!$E$5:$E$504,$J58)))</f>
        <v/>
      </c>
      <c r="F58" s="47" t="str">
        <f>IF($J58="","",IF(ISBLANK(INDEX('Product Backlog'!$F$5:$F$504,$J58)),"",INDEX('Product Backlog'!$F$5:$F$504,$J58)))</f>
        <v/>
      </c>
      <c r="G58" s="47" t="str">
        <f>IF($J58="","",IF(ISBLANK(INDEX('Product Backlog'!$G$5:$G$504,$J58)),"",INDEX('Product Backlog'!$G$5:$G$504,$J58)))</f>
        <v/>
      </c>
      <c r="H58" s="48" t="str">
        <f>IF($J58="","",IF(ISBLANK(INDEX('Product Backlog'!$H$5:$H$504,$J58)),"",INDEX('Product Backlog'!$H$5:$H$504,$J58)))</f>
        <v/>
      </c>
      <c r="I58" s="48" t="str">
        <f>IF($J58="","",IF(ISBLANK(INDEX('Product Backlog'!$I$5:$I$504,$J58)),"",INDEX('Product Backlog'!$I$5:$I$504,$J58)))</f>
        <v/>
      </c>
      <c r="J58" t="str">
        <f>IFERROR(MATCH($B$4&amp;"-"&amp;ROWS($A$10:A58),'Product Backlog'!$J$5:$J$504,0),"")</f>
        <v/>
      </c>
    </row>
    <row r="59" spans="1:10" ht="21" customHeight="1" x14ac:dyDescent="0.2">
      <c r="A59" s="46" t="str">
        <f>IF($J59="","",IF(ISBLANK(INDEX('Product Backlog'!$A$5:$A$504,$J59)),"",INDEX('Product Backlog'!$A$5:$A$504,$J59)))</f>
        <v/>
      </c>
      <c r="B59" s="46" t="str">
        <f>IF($J59="","",IF(ISBLANK(INDEX('Product Backlog'!$B$5:$B$504,$J59)),"",INDEX('Product Backlog'!$B$5:$B$504,$J59)))</f>
        <v/>
      </c>
      <c r="C59" s="46" t="str">
        <f>IF($J59="","",IF(ISBLANK(INDEX('Product Backlog'!$C$5:$C$504,$J59)),"",INDEX('Product Backlog'!$C$5:$C$504,$J59)))</f>
        <v/>
      </c>
      <c r="D59" s="46" t="str">
        <f>IF($J59="","",IF(ISBLANK(INDEX('Product Backlog'!$D$5:$D$504,$J59)),"",INDEX('Product Backlog'!$D$5:$D$504,$J59)))</f>
        <v/>
      </c>
      <c r="E59" s="46" t="str">
        <f>IF($J59="","",IF(ISBLANK(INDEX('Product Backlog'!$E$5:$E$504,$J59)),"",INDEX('Product Backlog'!$E$5:$E$504,$J59)))</f>
        <v/>
      </c>
      <c r="F59" s="47" t="str">
        <f>IF($J59="","",IF(ISBLANK(INDEX('Product Backlog'!$F$5:$F$504,$J59)),"",INDEX('Product Backlog'!$F$5:$F$504,$J59)))</f>
        <v/>
      </c>
      <c r="G59" s="47" t="str">
        <f>IF($J59="","",IF(ISBLANK(INDEX('Product Backlog'!$G$5:$G$504,$J59)),"",INDEX('Product Backlog'!$G$5:$G$504,$J59)))</f>
        <v/>
      </c>
      <c r="H59" s="48" t="str">
        <f>IF($J59="","",IF(ISBLANK(INDEX('Product Backlog'!$H$5:$H$504,$J59)),"",INDEX('Product Backlog'!$H$5:$H$504,$J59)))</f>
        <v/>
      </c>
      <c r="I59" s="48" t="str">
        <f>IF($J59="","",IF(ISBLANK(INDEX('Product Backlog'!$I$5:$I$504,$J59)),"",INDEX('Product Backlog'!$I$5:$I$504,$J59)))</f>
        <v/>
      </c>
      <c r="J59" t="str">
        <f>IFERROR(MATCH($B$4&amp;"-"&amp;ROWS($A$10:A59),'Product Backlog'!$J$5:$J$504,0),"")</f>
        <v/>
      </c>
    </row>
    <row r="60" spans="1:10" ht="21" customHeight="1" x14ac:dyDescent="0.2">
      <c r="A60" s="46" t="str">
        <f>IF($J60="","",IF(ISBLANK(INDEX('Product Backlog'!$A$5:$A$504,$J60)),"",INDEX('Product Backlog'!$A$5:$A$504,$J60)))</f>
        <v/>
      </c>
      <c r="B60" s="46" t="str">
        <f>IF($J60="","",IF(ISBLANK(INDEX('Product Backlog'!$B$5:$B$504,$J60)),"",INDEX('Product Backlog'!$B$5:$B$504,$J60)))</f>
        <v/>
      </c>
      <c r="C60" s="46" t="str">
        <f>IF($J60="","",IF(ISBLANK(INDEX('Product Backlog'!$C$5:$C$504,$J60)),"",INDEX('Product Backlog'!$C$5:$C$504,$J60)))</f>
        <v/>
      </c>
      <c r="D60" s="46" t="str">
        <f>IF($J60="","",IF(ISBLANK(INDEX('Product Backlog'!$D$5:$D$504,$J60)),"",INDEX('Product Backlog'!$D$5:$D$504,$J60)))</f>
        <v/>
      </c>
      <c r="E60" s="46" t="str">
        <f>IF($J60="","",IF(ISBLANK(INDEX('Product Backlog'!$E$5:$E$504,$J60)),"",INDEX('Product Backlog'!$E$5:$E$504,$J60)))</f>
        <v/>
      </c>
      <c r="F60" s="47" t="str">
        <f>IF($J60="","",IF(ISBLANK(INDEX('Product Backlog'!$F$5:$F$504,$J60)),"",INDEX('Product Backlog'!$F$5:$F$504,$J60)))</f>
        <v/>
      </c>
      <c r="G60" s="47" t="str">
        <f>IF($J60="","",IF(ISBLANK(INDEX('Product Backlog'!$G$5:$G$504,$J60)),"",INDEX('Product Backlog'!$G$5:$G$504,$J60)))</f>
        <v/>
      </c>
      <c r="H60" s="48" t="str">
        <f>IF($J60="","",IF(ISBLANK(INDEX('Product Backlog'!$H$5:$H$504,$J60)),"",INDEX('Product Backlog'!$H$5:$H$504,$J60)))</f>
        <v/>
      </c>
      <c r="I60" s="48" t="str">
        <f>IF($J60="","",IF(ISBLANK(INDEX('Product Backlog'!$I$5:$I$504,$J60)),"",INDEX('Product Backlog'!$I$5:$I$504,$J60)))</f>
        <v/>
      </c>
      <c r="J60" t="str">
        <f>IFERROR(MATCH($B$4&amp;"-"&amp;ROWS($A$10:A60),'Product Backlog'!$J$5:$J$504,0),"")</f>
        <v/>
      </c>
    </row>
    <row r="61" spans="1:10" ht="21" customHeight="1" x14ac:dyDescent="0.2">
      <c r="A61" s="46" t="str">
        <f>IF($J61="","",IF(ISBLANK(INDEX('Product Backlog'!$A$5:$A$504,$J61)),"",INDEX('Product Backlog'!$A$5:$A$504,$J61)))</f>
        <v/>
      </c>
      <c r="B61" s="46" t="str">
        <f>IF($J61="","",IF(ISBLANK(INDEX('Product Backlog'!$B$5:$B$504,$J61)),"",INDEX('Product Backlog'!$B$5:$B$504,$J61)))</f>
        <v/>
      </c>
      <c r="C61" s="46" t="str">
        <f>IF($J61="","",IF(ISBLANK(INDEX('Product Backlog'!$C$5:$C$504,$J61)),"",INDEX('Product Backlog'!$C$5:$C$504,$J61)))</f>
        <v/>
      </c>
      <c r="D61" s="46" t="str">
        <f>IF($J61="","",IF(ISBLANK(INDEX('Product Backlog'!$D$5:$D$504,$J61)),"",INDEX('Product Backlog'!$D$5:$D$504,$J61)))</f>
        <v/>
      </c>
      <c r="E61" s="46" t="str">
        <f>IF($J61="","",IF(ISBLANK(INDEX('Product Backlog'!$E$5:$E$504,$J61)),"",INDEX('Product Backlog'!$E$5:$E$504,$J61)))</f>
        <v/>
      </c>
      <c r="F61" s="47" t="str">
        <f>IF($J61="","",IF(ISBLANK(INDEX('Product Backlog'!$F$5:$F$504,$J61)),"",INDEX('Product Backlog'!$F$5:$F$504,$J61)))</f>
        <v/>
      </c>
      <c r="G61" s="47" t="str">
        <f>IF($J61="","",IF(ISBLANK(INDEX('Product Backlog'!$G$5:$G$504,$J61)),"",INDEX('Product Backlog'!$G$5:$G$504,$J61)))</f>
        <v/>
      </c>
      <c r="H61" s="48" t="str">
        <f>IF($J61="","",IF(ISBLANK(INDEX('Product Backlog'!$H$5:$H$504,$J61)),"",INDEX('Product Backlog'!$H$5:$H$504,$J61)))</f>
        <v/>
      </c>
      <c r="I61" s="48" t="str">
        <f>IF($J61="","",IF(ISBLANK(INDEX('Product Backlog'!$I$5:$I$504,$J61)),"",INDEX('Product Backlog'!$I$5:$I$504,$J61)))</f>
        <v/>
      </c>
      <c r="J61" t="str">
        <f>IFERROR(MATCH($B$4&amp;"-"&amp;ROWS($A$10:A61),'Product Backlog'!$J$5:$J$504,0),"")</f>
        <v/>
      </c>
    </row>
    <row r="62" spans="1:10" ht="21" customHeight="1" x14ac:dyDescent="0.2">
      <c r="A62" s="46" t="str">
        <f>IF($J62="","",IF(ISBLANK(INDEX('Product Backlog'!$A$5:$A$504,$J62)),"",INDEX('Product Backlog'!$A$5:$A$504,$J62)))</f>
        <v/>
      </c>
      <c r="B62" s="46" t="str">
        <f>IF($J62="","",IF(ISBLANK(INDEX('Product Backlog'!$B$5:$B$504,$J62)),"",INDEX('Product Backlog'!$B$5:$B$504,$J62)))</f>
        <v/>
      </c>
      <c r="C62" s="46" t="str">
        <f>IF($J62="","",IF(ISBLANK(INDEX('Product Backlog'!$C$5:$C$504,$J62)),"",INDEX('Product Backlog'!$C$5:$C$504,$J62)))</f>
        <v/>
      </c>
      <c r="D62" s="46" t="str">
        <f>IF($J62="","",IF(ISBLANK(INDEX('Product Backlog'!$D$5:$D$504,$J62)),"",INDEX('Product Backlog'!$D$5:$D$504,$J62)))</f>
        <v/>
      </c>
      <c r="E62" s="46" t="str">
        <f>IF($J62="","",IF(ISBLANK(INDEX('Product Backlog'!$E$5:$E$504,$J62)),"",INDEX('Product Backlog'!$E$5:$E$504,$J62)))</f>
        <v/>
      </c>
      <c r="F62" s="47" t="str">
        <f>IF($J62="","",IF(ISBLANK(INDEX('Product Backlog'!$F$5:$F$504,$J62)),"",INDEX('Product Backlog'!$F$5:$F$504,$J62)))</f>
        <v/>
      </c>
      <c r="G62" s="47" t="str">
        <f>IF($J62="","",IF(ISBLANK(INDEX('Product Backlog'!$G$5:$G$504,$J62)),"",INDEX('Product Backlog'!$G$5:$G$504,$J62)))</f>
        <v/>
      </c>
      <c r="H62" s="48" t="str">
        <f>IF($J62="","",IF(ISBLANK(INDEX('Product Backlog'!$H$5:$H$504,$J62)),"",INDEX('Product Backlog'!$H$5:$H$504,$J62)))</f>
        <v/>
      </c>
      <c r="I62" s="48" t="str">
        <f>IF($J62="","",IF(ISBLANK(INDEX('Product Backlog'!$I$5:$I$504,$J62)),"",INDEX('Product Backlog'!$I$5:$I$504,$J62)))</f>
        <v/>
      </c>
      <c r="J62" t="str">
        <f>IFERROR(MATCH($B$4&amp;"-"&amp;ROWS($A$10:A62),'Product Backlog'!$J$5:$J$504,0),"")</f>
        <v/>
      </c>
    </row>
    <row r="63" spans="1:10" ht="21" customHeight="1" x14ac:dyDescent="0.2">
      <c r="A63" s="46" t="str">
        <f>IF($J63="","",IF(ISBLANK(INDEX('Product Backlog'!$A$5:$A$504,$J63)),"",INDEX('Product Backlog'!$A$5:$A$504,$J63)))</f>
        <v/>
      </c>
      <c r="B63" s="46" t="str">
        <f>IF($J63="","",IF(ISBLANK(INDEX('Product Backlog'!$B$5:$B$504,$J63)),"",INDEX('Product Backlog'!$B$5:$B$504,$J63)))</f>
        <v/>
      </c>
      <c r="C63" s="46" t="str">
        <f>IF($J63="","",IF(ISBLANK(INDEX('Product Backlog'!$C$5:$C$504,$J63)),"",INDEX('Product Backlog'!$C$5:$C$504,$J63)))</f>
        <v/>
      </c>
      <c r="D63" s="46" t="str">
        <f>IF($J63="","",IF(ISBLANK(INDEX('Product Backlog'!$D$5:$D$504,$J63)),"",INDEX('Product Backlog'!$D$5:$D$504,$J63)))</f>
        <v/>
      </c>
      <c r="E63" s="46" t="str">
        <f>IF($J63="","",IF(ISBLANK(INDEX('Product Backlog'!$E$5:$E$504,$J63)),"",INDEX('Product Backlog'!$E$5:$E$504,$J63)))</f>
        <v/>
      </c>
      <c r="F63" s="47" t="str">
        <f>IF($J63="","",IF(ISBLANK(INDEX('Product Backlog'!$F$5:$F$504,$J63)),"",INDEX('Product Backlog'!$F$5:$F$504,$J63)))</f>
        <v/>
      </c>
      <c r="G63" s="47" t="str">
        <f>IF($J63="","",IF(ISBLANK(INDEX('Product Backlog'!$G$5:$G$504,$J63)),"",INDEX('Product Backlog'!$G$5:$G$504,$J63)))</f>
        <v/>
      </c>
      <c r="H63" s="48" t="str">
        <f>IF($J63="","",IF(ISBLANK(INDEX('Product Backlog'!$H$5:$H$504,$J63)),"",INDEX('Product Backlog'!$H$5:$H$504,$J63)))</f>
        <v/>
      </c>
      <c r="I63" s="48" t="str">
        <f>IF($J63="","",IF(ISBLANK(INDEX('Product Backlog'!$I$5:$I$504,$J63)),"",INDEX('Product Backlog'!$I$5:$I$504,$J63)))</f>
        <v/>
      </c>
      <c r="J63" t="str">
        <f>IFERROR(MATCH($B$4&amp;"-"&amp;ROWS($A$10:A63),'Product Backlog'!$J$5:$J$504,0),"")</f>
        <v/>
      </c>
    </row>
    <row r="64" spans="1:10" ht="21" customHeight="1" x14ac:dyDescent="0.2">
      <c r="A64" s="46" t="str">
        <f>IF($J64="","",IF(ISBLANK(INDEX('Product Backlog'!$A$5:$A$504,$J64)),"",INDEX('Product Backlog'!$A$5:$A$504,$J64)))</f>
        <v/>
      </c>
      <c r="B64" s="46" t="str">
        <f>IF($J64="","",IF(ISBLANK(INDEX('Product Backlog'!$B$5:$B$504,$J64)),"",INDEX('Product Backlog'!$B$5:$B$504,$J64)))</f>
        <v/>
      </c>
      <c r="C64" s="46" t="str">
        <f>IF($J64="","",IF(ISBLANK(INDEX('Product Backlog'!$C$5:$C$504,$J64)),"",INDEX('Product Backlog'!$C$5:$C$504,$J64)))</f>
        <v/>
      </c>
      <c r="D64" s="46" t="str">
        <f>IF($J64="","",IF(ISBLANK(INDEX('Product Backlog'!$D$5:$D$504,$J64)),"",INDEX('Product Backlog'!$D$5:$D$504,$J64)))</f>
        <v/>
      </c>
      <c r="E64" s="46" t="str">
        <f>IF($J64="","",IF(ISBLANK(INDEX('Product Backlog'!$E$5:$E$504,$J64)),"",INDEX('Product Backlog'!$E$5:$E$504,$J64)))</f>
        <v/>
      </c>
      <c r="F64" s="47" t="str">
        <f>IF($J64="","",IF(ISBLANK(INDEX('Product Backlog'!$F$5:$F$504,$J64)),"",INDEX('Product Backlog'!$F$5:$F$504,$J64)))</f>
        <v/>
      </c>
      <c r="G64" s="47" t="str">
        <f>IF($J64="","",IF(ISBLANK(INDEX('Product Backlog'!$G$5:$G$504,$J64)),"",INDEX('Product Backlog'!$G$5:$G$504,$J64)))</f>
        <v/>
      </c>
      <c r="H64" s="48" t="str">
        <f>IF($J64="","",IF(ISBLANK(INDEX('Product Backlog'!$H$5:$H$504,$J64)),"",INDEX('Product Backlog'!$H$5:$H$504,$J64)))</f>
        <v/>
      </c>
      <c r="I64" s="48" t="str">
        <f>IF($J64="","",IF(ISBLANK(INDEX('Product Backlog'!$I$5:$I$504,$J64)),"",INDEX('Product Backlog'!$I$5:$I$504,$J64)))</f>
        <v/>
      </c>
      <c r="J64" t="str">
        <f>IFERROR(MATCH($B$4&amp;"-"&amp;ROWS($A$10:A64),'Product Backlog'!$J$5:$J$504,0),"")</f>
        <v/>
      </c>
    </row>
    <row r="65" spans="1:10" ht="21" customHeight="1" x14ac:dyDescent="0.2">
      <c r="A65" s="46" t="str">
        <f>IF($J65="","",IF(ISBLANK(INDEX('Product Backlog'!$A$5:$A$504,$J65)),"",INDEX('Product Backlog'!$A$5:$A$504,$J65)))</f>
        <v/>
      </c>
      <c r="B65" s="46" t="str">
        <f>IF($J65="","",IF(ISBLANK(INDEX('Product Backlog'!$B$5:$B$504,$J65)),"",INDEX('Product Backlog'!$B$5:$B$504,$J65)))</f>
        <v/>
      </c>
      <c r="C65" s="46" t="str">
        <f>IF($J65="","",IF(ISBLANK(INDEX('Product Backlog'!$C$5:$C$504,$J65)),"",INDEX('Product Backlog'!$C$5:$C$504,$J65)))</f>
        <v/>
      </c>
      <c r="D65" s="46" t="str">
        <f>IF($J65="","",IF(ISBLANK(INDEX('Product Backlog'!$D$5:$D$504,$J65)),"",INDEX('Product Backlog'!$D$5:$D$504,$J65)))</f>
        <v/>
      </c>
      <c r="E65" s="46" t="str">
        <f>IF($J65="","",IF(ISBLANK(INDEX('Product Backlog'!$E$5:$E$504,$J65)),"",INDEX('Product Backlog'!$E$5:$E$504,$J65)))</f>
        <v/>
      </c>
      <c r="F65" s="47" t="str">
        <f>IF($J65="","",IF(ISBLANK(INDEX('Product Backlog'!$F$5:$F$504,$J65)),"",INDEX('Product Backlog'!$F$5:$F$504,$J65)))</f>
        <v/>
      </c>
      <c r="G65" s="47" t="str">
        <f>IF($J65="","",IF(ISBLANK(INDEX('Product Backlog'!$G$5:$G$504,$J65)),"",INDEX('Product Backlog'!$G$5:$G$504,$J65)))</f>
        <v/>
      </c>
      <c r="H65" s="48" t="str">
        <f>IF($J65="","",IF(ISBLANK(INDEX('Product Backlog'!$H$5:$H$504,$J65)),"",INDEX('Product Backlog'!$H$5:$H$504,$J65)))</f>
        <v/>
      </c>
      <c r="I65" s="48" t="str">
        <f>IF($J65="","",IF(ISBLANK(INDEX('Product Backlog'!$I$5:$I$504,$J65)),"",INDEX('Product Backlog'!$I$5:$I$504,$J65)))</f>
        <v/>
      </c>
      <c r="J65" t="str">
        <f>IFERROR(MATCH($B$4&amp;"-"&amp;ROWS($A$10:A65),'Product Backlog'!$J$5:$J$504,0),"")</f>
        <v/>
      </c>
    </row>
    <row r="66" spans="1:10" ht="21" customHeight="1" x14ac:dyDescent="0.2">
      <c r="A66" s="46" t="str">
        <f>IF($J66="","",IF(ISBLANK(INDEX('Product Backlog'!$A$5:$A$504,$J66)),"",INDEX('Product Backlog'!$A$5:$A$504,$J66)))</f>
        <v/>
      </c>
      <c r="B66" s="46" t="str">
        <f>IF($J66="","",IF(ISBLANK(INDEX('Product Backlog'!$B$5:$B$504,$J66)),"",INDEX('Product Backlog'!$B$5:$B$504,$J66)))</f>
        <v/>
      </c>
      <c r="C66" s="46" t="str">
        <f>IF($J66="","",IF(ISBLANK(INDEX('Product Backlog'!$C$5:$C$504,$J66)),"",INDEX('Product Backlog'!$C$5:$C$504,$J66)))</f>
        <v/>
      </c>
      <c r="D66" s="46" t="str">
        <f>IF($J66="","",IF(ISBLANK(INDEX('Product Backlog'!$D$5:$D$504,$J66)),"",INDEX('Product Backlog'!$D$5:$D$504,$J66)))</f>
        <v/>
      </c>
      <c r="E66" s="46" t="str">
        <f>IF($J66="","",IF(ISBLANK(INDEX('Product Backlog'!$E$5:$E$504,$J66)),"",INDEX('Product Backlog'!$E$5:$E$504,$J66)))</f>
        <v/>
      </c>
      <c r="F66" s="47" t="str">
        <f>IF($J66="","",IF(ISBLANK(INDEX('Product Backlog'!$F$5:$F$504,$J66)),"",INDEX('Product Backlog'!$F$5:$F$504,$J66)))</f>
        <v/>
      </c>
      <c r="G66" s="47" t="str">
        <f>IF($J66="","",IF(ISBLANK(INDEX('Product Backlog'!$G$5:$G$504,$J66)),"",INDEX('Product Backlog'!$G$5:$G$504,$J66)))</f>
        <v/>
      </c>
      <c r="H66" s="48" t="str">
        <f>IF($J66="","",IF(ISBLANK(INDEX('Product Backlog'!$H$5:$H$504,$J66)),"",INDEX('Product Backlog'!$H$5:$H$504,$J66)))</f>
        <v/>
      </c>
      <c r="I66" s="48" t="str">
        <f>IF($J66="","",IF(ISBLANK(INDEX('Product Backlog'!$I$5:$I$504,$J66)),"",INDEX('Product Backlog'!$I$5:$I$504,$J66)))</f>
        <v/>
      </c>
      <c r="J66" t="str">
        <f>IFERROR(MATCH($B$4&amp;"-"&amp;ROWS($A$10:A66),'Product Backlog'!$J$5:$J$504,0),"")</f>
        <v/>
      </c>
    </row>
    <row r="67" spans="1:10" ht="21" customHeight="1" x14ac:dyDescent="0.2">
      <c r="A67" s="46" t="str">
        <f>IF($J67="","",IF(ISBLANK(INDEX('Product Backlog'!$A$5:$A$504,$J67)),"",INDEX('Product Backlog'!$A$5:$A$504,$J67)))</f>
        <v/>
      </c>
      <c r="B67" s="46" t="str">
        <f>IF($J67="","",IF(ISBLANK(INDEX('Product Backlog'!$B$5:$B$504,$J67)),"",INDEX('Product Backlog'!$B$5:$B$504,$J67)))</f>
        <v/>
      </c>
      <c r="C67" s="46" t="str">
        <f>IF($J67="","",IF(ISBLANK(INDEX('Product Backlog'!$C$5:$C$504,$J67)),"",INDEX('Product Backlog'!$C$5:$C$504,$J67)))</f>
        <v/>
      </c>
      <c r="D67" s="46" t="str">
        <f>IF($J67="","",IF(ISBLANK(INDEX('Product Backlog'!$D$5:$D$504,$J67)),"",INDEX('Product Backlog'!$D$5:$D$504,$J67)))</f>
        <v/>
      </c>
      <c r="E67" s="46" t="str">
        <f>IF($J67="","",IF(ISBLANK(INDEX('Product Backlog'!$E$5:$E$504,$J67)),"",INDEX('Product Backlog'!$E$5:$E$504,$J67)))</f>
        <v/>
      </c>
      <c r="F67" s="47" t="str">
        <f>IF($J67="","",IF(ISBLANK(INDEX('Product Backlog'!$F$5:$F$504,$J67)),"",INDEX('Product Backlog'!$F$5:$F$504,$J67)))</f>
        <v/>
      </c>
      <c r="G67" s="47" t="str">
        <f>IF($J67="","",IF(ISBLANK(INDEX('Product Backlog'!$G$5:$G$504,$J67)),"",INDEX('Product Backlog'!$G$5:$G$504,$J67)))</f>
        <v/>
      </c>
      <c r="H67" s="48" t="str">
        <f>IF($J67="","",IF(ISBLANK(INDEX('Product Backlog'!$H$5:$H$504,$J67)),"",INDEX('Product Backlog'!$H$5:$H$504,$J67)))</f>
        <v/>
      </c>
      <c r="I67" s="48" t="str">
        <f>IF($J67="","",IF(ISBLANK(INDEX('Product Backlog'!$I$5:$I$504,$J67)),"",INDEX('Product Backlog'!$I$5:$I$504,$J67)))</f>
        <v/>
      </c>
      <c r="J67" t="str">
        <f>IFERROR(MATCH($B$4&amp;"-"&amp;ROWS($A$10:A67),'Product Backlog'!$J$5:$J$504,0),"")</f>
        <v/>
      </c>
    </row>
    <row r="68" spans="1:10" ht="21" customHeight="1" x14ac:dyDescent="0.2">
      <c r="A68" s="46" t="str">
        <f>IF($J68="","",IF(ISBLANK(INDEX('Product Backlog'!$A$5:$A$504,$J68)),"",INDEX('Product Backlog'!$A$5:$A$504,$J68)))</f>
        <v/>
      </c>
      <c r="B68" s="46" t="str">
        <f>IF($J68="","",IF(ISBLANK(INDEX('Product Backlog'!$B$5:$B$504,$J68)),"",INDEX('Product Backlog'!$B$5:$B$504,$J68)))</f>
        <v/>
      </c>
      <c r="C68" s="46" t="str">
        <f>IF($J68="","",IF(ISBLANK(INDEX('Product Backlog'!$C$5:$C$504,$J68)),"",INDEX('Product Backlog'!$C$5:$C$504,$J68)))</f>
        <v/>
      </c>
      <c r="D68" s="46" t="str">
        <f>IF($J68="","",IF(ISBLANK(INDEX('Product Backlog'!$D$5:$D$504,$J68)),"",INDEX('Product Backlog'!$D$5:$D$504,$J68)))</f>
        <v/>
      </c>
      <c r="E68" s="46" t="str">
        <f>IF($J68="","",IF(ISBLANK(INDEX('Product Backlog'!$E$5:$E$504,$J68)),"",INDEX('Product Backlog'!$E$5:$E$504,$J68)))</f>
        <v/>
      </c>
      <c r="F68" s="47" t="str">
        <f>IF($J68="","",IF(ISBLANK(INDEX('Product Backlog'!$F$5:$F$504,$J68)),"",INDEX('Product Backlog'!$F$5:$F$504,$J68)))</f>
        <v/>
      </c>
      <c r="G68" s="47" t="str">
        <f>IF($J68="","",IF(ISBLANK(INDEX('Product Backlog'!$G$5:$G$504,$J68)),"",INDEX('Product Backlog'!$G$5:$G$504,$J68)))</f>
        <v/>
      </c>
      <c r="H68" s="48" t="str">
        <f>IF($J68="","",IF(ISBLANK(INDEX('Product Backlog'!$H$5:$H$504,$J68)),"",INDEX('Product Backlog'!$H$5:$H$504,$J68)))</f>
        <v/>
      </c>
      <c r="I68" s="48" t="str">
        <f>IF($J68="","",IF(ISBLANK(INDEX('Product Backlog'!$I$5:$I$504,$J68)),"",INDEX('Product Backlog'!$I$5:$I$504,$J68)))</f>
        <v/>
      </c>
      <c r="J68" t="str">
        <f>IFERROR(MATCH($B$4&amp;"-"&amp;ROWS($A$10:A68),'Product Backlog'!$J$5:$J$504,0),"")</f>
        <v/>
      </c>
    </row>
    <row r="69" spans="1:10" ht="21" customHeight="1" x14ac:dyDescent="0.2">
      <c r="A69" s="46" t="str">
        <f>IF($J69="","",IF(ISBLANK(INDEX('Product Backlog'!$A$5:$A$504,$J69)),"",INDEX('Product Backlog'!$A$5:$A$504,$J69)))</f>
        <v/>
      </c>
      <c r="B69" s="46" t="str">
        <f>IF($J69="","",IF(ISBLANK(INDEX('Product Backlog'!$B$5:$B$504,$J69)),"",INDEX('Product Backlog'!$B$5:$B$504,$J69)))</f>
        <v/>
      </c>
      <c r="C69" s="46" t="str">
        <f>IF($J69="","",IF(ISBLANK(INDEX('Product Backlog'!$C$5:$C$504,$J69)),"",INDEX('Product Backlog'!$C$5:$C$504,$J69)))</f>
        <v/>
      </c>
      <c r="D69" s="46" t="str">
        <f>IF($J69="","",IF(ISBLANK(INDEX('Product Backlog'!$D$5:$D$504,$J69)),"",INDEX('Product Backlog'!$D$5:$D$504,$J69)))</f>
        <v/>
      </c>
      <c r="E69" s="46" t="str">
        <f>IF($J69="","",IF(ISBLANK(INDEX('Product Backlog'!$E$5:$E$504,$J69)),"",INDEX('Product Backlog'!$E$5:$E$504,$J69)))</f>
        <v/>
      </c>
      <c r="F69" s="47" t="str">
        <f>IF($J69="","",IF(ISBLANK(INDEX('Product Backlog'!$F$5:$F$504,$J69)),"",INDEX('Product Backlog'!$F$5:$F$504,$J69)))</f>
        <v/>
      </c>
      <c r="G69" s="47" t="str">
        <f>IF($J69="","",IF(ISBLANK(INDEX('Product Backlog'!$G$5:$G$504,$J69)),"",INDEX('Product Backlog'!$G$5:$G$504,$J69)))</f>
        <v/>
      </c>
      <c r="H69" s="48" t="str">
        <f>IF($J69="","",IF(ISBLANK(INDEX('Product Backlog'!$H$5:$H$504,$J69)),"",INDEX('Product Backlog'!$H$5:$H$504,$J69)))</f>
        <v/>
      </c>
      <c r="I69" s="48" t="str">
        <f>IF($J69="","",IF(ISBLANK(INDEX('Product Backlog'!$I$5:$I$504,$J69)),"",INDEX('Product Backlog'!$I$5:$I$504,$J69)))</f>
        <v/>
      </c>
      <c r="J69" t="str">
        <f>IFERROR(MATCH($B$4&amp;"-"&amp;ROWS($A$10:A69),'Product Backlog'!$J$5:$J$504,0),"")</f>
        <v/>
      </c>
    </row>
    <row r="70" spans="1:10" ht="21" customHeight="1" x14ac:dyDescent="0.2">
      <c r="A70" s="46" t="str">
        <f>IF($J70="","",IF(ISBLANK(INDEX('Product Backlog'!$A$5:$A$504,$J70)),"",INDEX('Product Backlog'!$A$5:$A$504,$J70)))</f>
        <v/>
      </c>
      <c r="B70" s="46" t="str">
        <f>IF($J70="","",IF(ISBLANK(INDEX('Product Backlog'!$B$5:$B$504,$J70)),"",INDEX('Product Backlog'!$B$5:$B$504,$J70)))</f>
        <v/>
      </c>
      <c r="C70" s="46" t="str">
        <f>IF($J70="","",IF(ISBLANK(INDEX('Product Backlog'!$C$5:$C$504,$J70)),"",INDEX('Product Backlog'!$C$5:$C$504,$J70)))</f>
        <v/>
      </c>
      <c r="D70" s="46" t="str">
        <f>IF($J70="","",IF(ISBLANK(INDEX('Product Backlog'!$D$5:$D$504,$J70)),"",INDEX('Product Backlog'!$D$5:$D$504,$J70)))</f>
        <v/>
      </c>
      <c r="E70" s="46" t="str">
        <f>IF($J70="","",IF(ISBLANK(INDEX('Product Backlog'!$E$5:$E$504,$J70)),"",INDEX('Product Backlog'!$E$5:$E$504,$J70)))</f>
        <v/>
      </c>
      <c r="F70" s="47" t="str">
        <f>IF($J70="","",IF(ISBLANK(INDEX('Product Backlog'!$F$5:$F$504,$J70)),"",INDEX('Product Backlog'!$F$5:$F$504,$J70)))</f>
        <v/>
      </c>
      <c r="G70" s="47" t="str">
        <f>IF($J70="","",IF(ISBLANK(INDEX('Product Backlog'!$G$5:$G$504,$J70)),"",INDEX('Product Backlog'!$G$5:$G$504,$J70)))</f>
        <v/>
      </c>
      <c r="H70" s="48" t="str">
        <f>IF($J70="","",IF(ISBLANK(INDEX('Product Backlog'!$H$5:$H$504,$J70)),"",INDEX('Product Backlog'!$H$5:$H$504,$J70)))</f>
        <v/>
      </c>
      <c r="I70" s="48" t="str">
        <f>IF($J70="","",IF(ISBLANK(INDEX('Product Backlog'!$I$5:$I$504,$J70)),"",INDEX('Product Backlog'!$I$5:$I$504,$J70)))</f>
        <v/>
      </c>
      <c r="J70" t="str">
        <f>IFERROR(MATCH($B$4&amp;"-"&amp;ROWS($A$10:A70),'Product Backlog'!$J$5:$J$504,0),"")</f>
        <v/>
      </c>
    </row>
    <row r="71" spans="1:10" ht="21" customHeight="1" x14ac:dyDescent="0.2">
      <c r="A71" s="46" t="str">
        <f>IF($J71="","",IF(ISBLANK(INDEX('Product Backlog'!$A$5:$A$504,$J71)),"",INDEX('Product Backlog'!$A$5:$A$504,$J71)))</f>
        <v/>
      </c>
      <c r="B71" s="46" t="str">
        <f>IF($J71="","",IF(ISBLANK(INDEX('Product Backlog'!$B$5:$B$504,$J71)),"",INDEX('Product Backlog'!$B$5:$B$504,$J71)))</f>
        <v/>
      </c>
      <c r="C71" s="46" t="str">
        <f>IF($J71="","",IF(ISBLANK(INDEX('Product Backlog'!$C$5:$C$504,$J71)),"",INDEX('Product Backlog'!$C$5:$C$504,$J71)))</f>
        <v/>
      </c>
      <c r="D71" s="46" t="str">
        <f>IF($J71="","",IF(ISBLANK(INDEX('Product Backlog'!$D$5:$D$504,$J71)),"",INDEX('Product Backlog'!$D$5:$D$504,$J71)))</f>
        <v/>
      </c>
      <c r="E71" s="46" t="str">
        <f>IF($J71="","",IF(ISBLANK(INDEX('Product Backlog'!$E$5:$E$504,$J71)),"",INDEX('Product Backlog'!$E$5:$E$504,$J71)))</f>
        <v/>
      </c>
      <c r="F71" s="47" t="str">
        <f>IF($J71="","",IF(ISBLANK(INDEX('Product Backlog'!$F$5:$F$504,$J71)),"",INDEX('Product Backlog'!$F$5:$F$504,$J71)))</f>
        <v/>
      </c>
      <c r="G71" s="47" t="str">
        <f>IF($J71="","",IF(ISBLANK(INDEX('Product Backlog'!$G$5:$G$504,$J71)),"",INDEX('Product Backlog'!$G$5:$G$504,$J71)))</f>
        <v/>
      </c>
      <c r="H71" s="48" t="str">
        <f>IF($J71="","",IF(ISBLANK(INDEX('Product Backlog'!$H$5:$H$504,$J71)),"",INDEX('Product Backlog'!$H$5:$H$504,$J71)))</f>
        <v/>
      </c>
      <c r="I71" s="48" t="str">
        <f>IF($J71="","",IF(ISBLANK(INDEX('Product Backlog'!$I$5:$I$504,$J71)),"",INDEX('Product Backlog'!$I$5:$I$504,$J71)))</f>
        <v/>
      </c>
      <c r="J71" t="str">
        <f>IFERROR(MATCH($B$4&amp;"-"&amp;ROWS($A$10:A71),'Product Backlog'!$J$5:$J$504,0),"")</f>
        <v/>
      </c>
    </row>
    <row r="72" spans="1:10" ht="21" customHeight="1" x14ac:dyDescent="0.2">
      <c r="A72" s="46" t="str">
        <f>IF($J72="","",IF(ISBLANK(INDEX('Product Backlog'!$A$5:$A$504,$J72)),"",INDEX('Product Backlog'!$A$5:$A$504,$J72)))</f>
        <v/>
      </c>
      <c r="B72" s="46" t="str">
        <f>IF($J72="","",IF(ISBLANK(INDEX('Product Backlog'!$B$5:$B$504,$J72)),"",INDEX('Product Backlog'!$B$5:$B$504,$J72)))</f>
        <v/>
      </c>
      <c r="C72" s="46" t="str">
        <f>IF($J72="","",IF(ISBLANK(INDEX('Product Backlog'!$C$5:$C$504,$J72)),"",INDEX('Product Backlog'!$C$5:$C$504,$J72)))</f>
        <v/>
      </c>
      <c r="D72" s="46" t="str">
        <f>IF($J72="","",IF(ISBLANK(INDEX('Product Backlog'!$D$5:$D$504,$J72)),"",INDEX('Product Backlog'!$D$5:$D$504,$J72)))</f>
        <v/>
      </c>
      <c r="E72" s="46" t="str">
        <f>IF($J72="","",IF(ISBLANK(INDEX('Product Backlog'!$E$5:$E$504,$J72)),"",INDEX('Product Backlog'!$E$5:$E$504,$J72)))</f>
        <v/>
      </c>
      <c r="F72" s="47" t="str">
        <f>IF($J72="","",IF(ISBLANK(INDEX('Product Backlog'!$F$5:$F$504,$J72)),"",INDEX('Product Backlog'!$F$5:$F$504,$J72)))</f>
        <v/>
      </c>
      <c r="G72" s="47" t="str">
        <f>IF($J72="","",IF(ISBLANK(INDEX('Product Backlog'!$G$5:$G$504,$J72)),"",INDEX('Product Backlog'!$G$5:$G$504,$J72)))</f>
        <v/>
      </c>
      <c r="H72" s="48" t="str">
        <f>IF($J72="","",IF(ISBLANK(INDEX('Product Backlog'!$H$5:$H$504,$J72)),"",INDEX('Product Backlog'!$H$5:$H$504,$J72)))</f>
        <v/>
      </c>
      <c r="I72" s="48" t="str">
        <f>IF($J72="","",IF(ISBLANK(INDEX('Product Backlog'!$I$5:$I$504,$J72)),"",INDEX('Product Backlog'!$I$5:$I$504,$J72)))</f>
        <v/>
      </c>
      <c r="J72" t="str">
        <f>IFERROR(MATCH($B$4&amp;"-"&amp;ROWS($A$10:A72),'Product Backlog'!$J$5:$J$504,0),"")</f>
        <v/>
      </c>
    </row>
    <row r="73" spans="1:10" ht="21" customHeight="1" x14ac:dyDescent="0.2">
      <c r="A73" s="46" t="str">
        <f>IF($J73="","",IF(ISBLANK(INDEX('Product Backlog'!$A$5:$A$504,$J73)),"",INDEX('Product Backlog'!$A$5:$A$504,$J73)))</f>
        <v/>
      </c>
      <c r="B73" s="46" t="str">
        <f>IF($J73="","",IF(ISBLANK(INDEX('Product Backlog'!$B$5:$B$504,$J73)),"",INDEX('Product Backlog'!$B$5:$B$504,$J73)))</f>
        <v/>
      </c>
      <c r="C73" s="46" t="str">
        <f>IF($J73="","",IF(ISBLANK(INDEX('Product Backlog'!$C$5:$C$504,$J73)),"",INDEX('Product Backlog'!$C$5:$C$504,$J73)))</f>
        <v/>
      </c>
      <c r="D73" s="46" t="str">
        <f>IF($J73="","",IF(ISBLANK(INDEX('Product Backlog'!$D$5:$D$504,$J73)),"",INDEX('Product Backlog'!$D$5:$D$504,$J73)))</f>
        <v/>
      </c>
      <c r="E73" s="46" t="str">
        <f>IF($J73="","",IF(ISBLANK(INDEX('Product Backlog'!$E$5:$E$504,$J73)),"",INDEX('Product Backlog'!$E$5:$E$504,$J73)))</f>
        <v/>
      </c>
      <c r="F73" s="47" t="str">
        <f>IF($J73="","",IF(ISBLANK(INDEX('Product Backlog'!$F$5:$F$504,$J73)),"",INDEX('Product Backlog'!$F$5:$F$504,$J73)))</f>
        <v/>
      </c>
      <c r="G73" s="47" t="str">
        <f>IF($J73="","",IF(ISBLANK(INDEX('Product Backlog'!$G$5:$G$504,$J73)),"",INDEX('Product Backlog'!$G$5:$G$504,$J73)))</f>
        <v/>
      </c>
      <c r="H73" s="48" t="str">
        <f>IF($J73="","",IF(ISBLANK(INDEX('Product Backlog'!$H$5:$H$504,$J73)),"",INDEX('Product Backlog'!$H$5:$H$504,$J73)))</f>
        <v/>
      </c>
      <c r="I73" s="48" t="str">
        <f>IF($J73="","",IF(ISBLANK(INDEX('Product Backlog'!$I$5:$I$504,$J73)),"",INDEX('Product Backlog'!$I$5:$I$504,$J73)))</f>
        <v/>
      </c>
      <c r="J73" t="str">
        <f>IFERROR(MATCH($B$4&amp;"-"&amp;ROWS($A$10:A73),'Product Backlog'!$J$5:$J$504,0),"")</f>
        <v/>
      </c>
    </row>
    <row r="74" spans="1:10" ht="21" customHeight="1" x14ac:dyDescent="0.2">
      <c r="A74" s="46" t="str">
        <f>IF($J74="","",IF(ISBLANK(INDEX('Product Backlog'!$A$5:$A$504,$J74)),"",INDEX('Product Backlog'!$A$5:$A$504,$J74)))</f>
        <v/>
      </c>
      <c r="B74" s="46" t="str">
        <f>IF($J74="","",IF(ISBLANK(INDEX('Product Backlog'!$B$5:$B$504,$J74)),"",INDEX('Product Backlog'!$B$5:$B$504,$J74)))</f>
        <v/>
      </c>
      <c r="C74" s="46" t="str">
        <f>IF($J74="","",IF(ISBLANK(INDEX('Product Backlog'!$C$5:$C$504,$J74)),"",INDEX('Product Backlog'!$C$5:$C$504,$J74)))</f>
        <v/>
      </c>
      <c r="D74" s="46" t="str">
        <f>IF($J74="","",IF(ISBLANK(INDEX('Product Backlog'!$D$5:$D$504,$J74)),"",INDEX('Product Backlog'!$D$5:$D$504,$J74)))</f>
        <v/>
      </c>
      <c r="E74" s="46" t="str">
        <f>IF($J74="","",IF(ISBLANK(INDEX('Product Backlog'!$E$5:$E$504,$J74)),"",INDEX('Product Backlog'!$E$5:$E$504,$J74)))</f>
        <v/>
      </c>
      <c r="F74" s="47" t="str">
        <f>IF($J74="","",IF(ISBLANK(INDEX('Product Backlog'!$F$5:$F$504,$J74)),"",INDEX('Product Backlog'!$F$5:$F$504,$J74)))</f>
        <v/>
      </c>
      <c r="G74" s="47" t="str">
        <f>IF($J74="","",IF(ISBLANK(INDEX('Product Backlog'!$G$5:$G$504,$J74)),"",INDEX('Product Backlog'!$G$5:$G$504,$J74)))</f>
        <v/>
      </c>
      <c r="H74" s="48" t="str">
        <f>IF($J74="","",IF(ISBLANK(INDEX('Product Backlog'!$H$5:$H$504,$J74)),"",INDEX('Product Backlog'!$H$5:$H$504,$J74)))</f>
        <v/>
      </c>
      <c r="I74" s="48" t="str">
        <f>IF($J74="","",IF(ISBLANK(INDEX('Product Backlog'!$I$5:$I$504,$J74)),"",INDEX('Product Backlog'!$I$5:$I$504,$J74)))</f>
        <v/>
      </c>
      <c r="J74" t="str">
        <f>IFERROR(MATCH($B$4&amp;"-"&amp;ROWS($A$10:A74),'Product Backlog'!$J$5:$J$504,0),"")</f>
        <v/>
      </c>
    </row>
    <row r="75" spans="1:10" ht="21" customHeight="1" x14ac:dyDescent="0.2">
      <c r="A75" s="46" t="str">
        <f>IF($J75="","",IF(ISBLANK(INDEX('Product Backlog'!$A$5:$A$504,$J75)),"",INDEX('Product Backlog'!$A$5:$A$504,$J75)))</f>
        <v/>
      </c>
      <c r="B75" s="46" t="str">
        <f>IF($J75="","",IF(ISBLANK(INDEX('Product Backlog'!$B$5:$B$504,$J75)),"",INDEX('Product Backlog'!$B$5:$B$504,$J75)))</f>
        <v/>
      </c>
      <c r="C75" s="46" t="str">
        <f>IF($J75="","",IF(ISBLANK(INDEX('Product Backlog'!$C$5:$C$504,$J75)),"",INDEX('Product Backlog'!$C$5:$C$504,$J75)))</f>
        <v/>
      </c>
      <c r="D75" s="46" t="str">
        <f>IF($J75="","",IF(ISBLANK(INDEX('Product Backlog'!$D$5:$D$504,$J75)),"",INDEX('Product Backlog'!$D$5:$D$504,$J75)))</f>
        <v/>
      </c>
      <c r="E75" s="46" t="str">
        <f>IF($J75="","",IF(ISBLANK(INDEX('Product Backlog'!$E$5:$E$504,$J75)),"",INDEX('Product Backlog'!$E$5:$E$504,$J75)))</f>
        <v/>
      </c>
      <c r="F75" s="47" t="str">
        <f>IF($J75="","",IF(ISBLANK(INDEX('Product Backlog'!$F$5:$F$504,$J75)),"",INDEX('Product Backlog'!$F$5:$F$504,$J75)))</f>
        <v/>
      </c>
      <c r="G75" s="47" t="str">
        <f>IF($J75="","",IF(ISBLANK(INDEX('Product Backlog'!$G$5:$G$504,$J75)),"",INDEX('Product Backlog'!$G$5:$G$504,$J75)))</f>
        <v/>
      </c>
      <c r="H75" s="48" t="str">
        <f>IF($J75="","",IF(ISBLANK(INDEX('Product Backlog'!$H$5:$H$504,$J75)),"",INDEX('Product Backlog'!$H$5:$H$504,$J75)))</f>
        <v/>
      </c>
      <c r="I75" s="48" t="str">
        <f>IF($J75="","",IF(ISBLANK(INDEX('Product Backlog'!$I$5:$I$504,$J75)),"",INDEX('Product Backlog'!$I$5:$I$504,$J75)))</f>
        <v/>
      </c>
      <c r="J75" t="str">
        <f>IFERROR(MATCH($B$4&amp;"-"&amp;ROWS($A$10:A75),'Product Backlog'!$J$5:$J$504,0),"")</f>
        <v/>
      </c>
    </row>
    <row r="76" spans="1:10" ht="21" customHeight="1" x14ac:dyDescent="0.2">
      <c r="A76" s="46" t="str">
        <f>IF($J76="","",IF(ISBLANK(INDEX('Product Backlog'!$A$5:$A$504,$J76)),"",INDEX('Product Backlog'!$A$5:$A$504,$J76)))</f>
        <v/>
      </c>
      <c r="B76" s="46" t="str">
        <f>IF($J76="","",IF(ISBLANK(INDEX('Product Backlog'!$B$5:$B$504,$J76)),"",INDEX('Product Backlog'!$B$5:$B$504,$J76)))</f>
        <v/>
      </c>
      <c r="C76" s="46" t="str">
        <f>IF($J76="","",IF(ISBLANK(INDEX('Product Backlog'!$C$5:$C$504,$J76)),"",INDEX('Product Backlog'!$C$5:$C$504,$J76)))</f>
        <v/>
      </c>
      <c r="D76" s="46" t="str">
        <f>IF($J76="","",IF(ISBLANK(INDEX('Product Backlog'!$D$5:$D$504,$J76)),"",INDEX('Product Backlog'!$D$5:$D$504,$J76)))</f>
        <v/>
      </c>
      <c r="E76" s="46" t="str">
        <f>IF($J76="","",IF(ISBLANK(INDEX('Product Backlog'!$E$5:$E$504,$J76)),"",INDEX('Product Backlog'!$E$5:$E$504,$J76)))</f>
        <v/>
      </c>
      <c r="F76" s="47" t="str">
        <f>IF($J76="","",IF(ISBLANK(INDEX('Product Backlog'!$F$5:$F$504,$J76)),"",INDEX('Product Backlog'!$F$5:$F$504,$J76)))</f>
        <v/>
      </c>
      <c r="G76" s="47" t="str">
        <f>IF($J76="","",IF(ISBLANK(INDEX('Product Backlog'!$G$5:$G$504,$J76)),"",INDEX('Product Backlog'!$G$5:$G$504,$J76)))</f>
        <v/>
      </c>
      <c r="H76" s="48" t="str">
        <f>IF($J76="","",IF(ISBLANK(INDEX('Product Backlog'!$H$5:$H$504,$J76)),"",INDEX('Product Backlog'!$H$5:$H$504,$J76)))</f>
        <v/>
      </c>
      <c r="I76" s="48" t="str">
        <f>IF($J76="","",IF(ISBLANK(INDEX('Product Backlog'!$I$5:$I$504,$J76)),"",INDEX('Product Backlog'!$I$5:$I$504,$J76)))</f>
        <v/>
      </c>
      <c r="J76" t="str">
        <f>IFERROR(MATCH($B$4&amp;"-"&amp;ROWS($A$10:A76),'Product Backlog'!$J$5:$J$504,0),"")</f>
        <v/>
      </c>
    </row>
    <row r="77" spans="1:10" ht="21" customHeight="1" x14ac:dyDescent="0.2">
      <c r="A77" s="46" t="str">
        <f>IF($J77="","",IF(ISBLANK(INDEX('Product Backlog'!$A$5:$A$504,$J77)),"",INDEX('Product Backlog'!$A$5:$A$504,$J77)))</f>
        <v/>
      </c>
      <c r="B77" s="46" t="str">
        <f>IF($J77="","",IF(ISBLANK(INDEX('Product Backlog'!$B$5:$B$504,$J77)),"",INDEX('Product Backlog'!$B$5:$B$504,$J77)))</f>
        <v/>
      </c>
      <c r="C77" s="46" t="str">
        <f>IF($J77="","",IF(ISBLANK(INDEX('Product Backlog'!$C$5:$C$504,$J77)),"",INDEX('Product Backlog'!$C$5:$C$504,$J77)))</f>
        <v/>
      </c>
      <c r="D77" s="46" t="str">
        <f>IF($J77="","",IF(ISBLANK(INDEX('Product Backlog'!$D$5:$D$504,$J77)),"",INDEX('Product Backlog'!$D$5:$D$504,$J77)))</f>
        <v/>
      </c>
      <c r="E77" s="46" t="str">
        <f>IF($J77="","",IF(ISBLANK(INDEX('Product Backlog'!$E$5:$E$504,$J77)),"",INDEX('Product Backlog'!$E$5:$E$504,$J77)))</f>
        <v/>
      </c>
      <c r="F77" s="47" t="str">
        <f>IF($J77="","",IF(ISBLANK(INDEX('Product Backlog'!$F$5:$F$504,$J77)),"",INDEX('Product Backlog'!$F$5:$F$504,$J77)))</f>
        <v/>
      </c>
      <c r="G77" s="47" t="str">
        <f>IF($J77="","",IF(ISBLANK(INDEX('Product Backlog'!$G$5:$G$504,$J77)),"",INDEX('Product Backlog'!$G$5:$G$504,$J77)))</f>
        <v/>
      </c>
      <c r="H77" s="48" t="str">
        <f>IF($J77="","",IF(ISBLANK(INDEX('Product Backlog'!$H$5:$H$504,$J77)),"",INDEX('Product Backlog'!$H$5:$H$504,$J77)))</f>
        <v/>
      </c>
      <c r="I77" s="48" t="str">
        <f>IF($J77="","",IF(ISBLANK(INDEX('Product Backlog'!$I$5:$I$504,$J77)),"",INDEX('Product Backlog'!$I$5:$I$504,$J77)))</f>
        <v/>
      </c>
      <c r="J77" t="str">
        <f>IFERROR(MATCH($B$4&amp;"-"&amp;ROWS($A$10:A77),'Product Backlog'!$J$5:$J$504,0),"")</f>
        <v/>
      </c>
    </row>
    <row r="78" spans="1:10" ht="21" customHeight="1" x14ac:dyDescent="0.2">
      <c r="A78" s="46" t="str">
        <f>IF($J78="","",IF(ISBLANK(INDEX('Product Backlog'!$A$5:$A$504,$J78)),"",INDEX('Product Backlog'!$A$5:$A$504,$J78)))</f>
        <v/>
      </c>
      <c r="B78" s="46" t="str">
        <f>IF($J78="","",IF(ISBLANK(INDEX('Product Backlog'!$B$5:$B$504,$J78)),"",INDEX('Product Backlog'!$B$5:$B$504,$J78)))</f>
        <v/>
      </c>
      <c r="C78" s="46" t="str">
        <f>IF($J78="","",IF(ISBLANK(INDEX('Product Backlog'!$C$5:$C$504,$J78)),"",INDEX('Product Backlog'!$C$5:$C$504,$J78)))</f>
        <v/>
      </c>
      <c r="D78" s="46" t="str">
        <f>IF($J78="","",IF(ISBLANK(INDEX('Product Backlog'!$D$5:$D$504,$J78)),"",INDEX('Product Backlog'!$D$5:$D$504,$J78)))</f>
        <v/>
      </c>
      <c r="E78" s="46" t="str">
        <f>IF($J78="","",IF(ISBLANK(INDEX('Product Backlog'!$E$5:$E$504,$J78)),"",INDEX('Product Backlog'!$E$5:$E$504,$J78)))</f>
        <v/>
      </c>
      <c r="F78" s="47" t="str">
        <f>IF($J78="","",IF(ISBLANK(INDEX('Product Backlog'!$F$5:$F$504,$J78)),"",INDEX('Product Backlog'!$F$5:$F$504,$J78)))</f>
        <v/>
      </c>
      <c r="G78" s="47" t="str">
        <f>IF($J78="","",IF(ISBLANK(INDEX('Product Backlog'!$G$5:$G$504,$J78)),"",INDEX('Product Backlog'!$G$5:$G$504,$J78)))</f>
        <v/>
      </c>
      <c r="H78" s="48" t="str">
        <f>IF($J78="","",IF(ISBLANK(INDEX('Product Backlog'!$H$5:$H$504,$J78)),"",INDEX('Product Backlog'!$H$5:$H$504,$J78)))</f>
        <v/>
      </c>
      <c r="I78" s="48" t="str">
        <f>IF($J78="","",IF(ISBLANK(INDEX('Product Backlog'!$I$5:$I$504,$J78)),"",INDEX('Product Backlog'!$I$5:$I$504,$J78)))</f>
        <v/>
      </c>
      <c r="J78" t="str">
        <f>IFERROR(MATCH($B$4&amp;"-"&amp;ROWS($A$10:A78),'Product Backlog'!$J$5:$J$504,0),"")</f>
        <v/>
      </c>
    </row>
    <row r="79" spans="1:10" ht="21" customHeight="1" x14ac:dyDescent="0.2">
      <c r="A79" s="46" t="str">
        <f>IF($J79="","",IF(ISBLANK(INDEX('Product Backlog'!$A$5:$A$504,$J79)),"",INDEX('Product Backlog'!$A$5:$A$504,$J79)))</f>
        <v/>
      </c>
      <c r="B79" s="46" t="str">
        <f>IF($J79="","",IF(ISBLANK(INDEX('Product Backlog'!$B$5:$B$504,$J79)),"",INDEX('Product Backlog'!$B$5:$B$504,$J79)))</f>
        <v/>
      </c>
      <c r="C79" s="46" t="str">
        <f>IF($J79="","",IF(ISBLANK(INDEX('Product Backlog'!$C$5:$C$504,$J79)),"",INDEX('Product Backlog'!$C$5:$C$504,$J79)))</f>
        <v/>
      </c>
      <c r="D79" s="46" t="str">
        <f>IF($J79="","",IF(ISBLANK(INDEX('Product Backlog'!$D$5:$D$504,$J79)),"",INDEX('Product Backlog'!$D$5:$D$504,$J79)))</f>
        <v/>
      </c>
      <c r="E79" s="46" t="str">
        <f>IF($J79="","",IF(ISBLANK(INDEX('Product Backlog'!$E$5:$E$504,$J79)),"",INDEX('Product Backlog'!$E$5:$E$504,$J79)))</f>
        <v/>
      </c>
      <c r="F79" s="47" t="str">
        <f>IF($J79="","",IF(ISBLANK(INDEX('Product Backlog'!$F$5:$F$504,$J79)),"",INDEX('Product Backlog'!$F$5:$F$504,$J79)))</f>
        <v/>
      </c>
      <c r="G79" s="47" t="str">
        <f>IF($J79="","",IF(ISBLANK(INDEX('Product Backlog'!$G$5:$G$504,$J79)),"",INDEX('Product Backlog'!$G$5:$G$504,$J79)))</f>
        <v/>
      </c>
      <c r="H79" s="48" t="str">
        <f>IF($J79="","",IF(ISBLANK(INDEX('Product Backlog'!$H$5:$H$504,$J79)),"",INDEX('Product Backlog'!$H$5:$H$504,$J79)))</f>
        <v/>
      </c>
      <c r="I79" s="48" t="str">
        <f>IF($J79="","",IF(ISBLANK(INDEX('Product Backlog'!$I$5:$I$504,$J79)),"",INDEX('Product Backlog'!$I$5:$I$504,$J79)))</f>
        <v/>
      </c>
      <c r="J79" t="str">
        <f>IFERROR(MATCH($B$4&amp;"-"&amp;ROWS($A$10:A79),'Product Backlog'!$J$5:$J$504,0),"")</f>
        <v/>
      </c>
    </row>
    <row r="80" spans="1:10" ht="21" customHeight="1" x14ac:dyDescent="0.2">
      <c r="A80" s="46" t="str">
        <f>IF($J80="","",IF(ISBLANK(INDEX('Product Backlog'!$A$5:$A$504,$J80)),"",INDEX('Product Backlog'!$A$5:$A$504,$J80)))</f>
        <v/>
      </c>
      <c r="B80" s="46" t="str">
        <f>IF($J80="","",IF(ISBLANK(INDEX('Product Backlog'!$B$5:$B$504,$J80)),"",INDEX('Product Backlog'!$B$5:$B$504,$J80)))</f>
        <v/>
      </c>
      <c r="C80" s="46" t="str">
        <f>IF($J80="","",IF(ISBLANK(INDEX('Product Backlog'!$C$5:$C$504,$J80)),"",INDEX('Product Backlog'!$C$5:$C$504,$J80)))</f>
        <v/>
      </c>
      <c r="D80" s="46" t="str">
        <f>IF($J80="","",IF(ISBLANK(INDEX('Product Backlog'!$D$5:$D$504,$J80)),"",INDEX('Product Backlog'!$D$5:$D$504,$J80)))</f>
        <v/>
      </c>
      <c r="E80" s="46" t="str">
        <f>IF($J80="","",IF(ISBLANK(INDEX('Product Backlog'!$E$5:$E$504,$J80)),"",INDEX('Product Backlog'!$E$5:$E$504,$J80)))</f>
        <v/>
      </c>
      <c r="F80" s="47" t="str">
        <f>IF($J80="","",IF(ISBLANK(INDEX('Product Backlog'!$F$5:$F$504,$J80)),"",INDEX('Product Backlog'!$F$5:$F$504,$J80)))</f>
        <v/>
      </c>
      <c r="G80" s="47" t="str">
        <f>IF($J80="","",IF(ISBLANK(INDEX('Product Backlog'!$G$5:$G$504,$J80)),"",INDEX('Product Backlog'!$G$5:$G$504,$J80)))</f>
        <v/>
      </c>
      <c r="H80" s="48" t="str">
        <f>IF($J80="","",IF(ISBLANK(INDEX('Product Backlog'!$H$5:$H$504,$J80)),"",INDEX('Product Backlog'!$H$5:$H$504,$J80)))</f>
        <v/>
      </c>
      <c r="I80" s="48" t="str">
        <f>IF($J80="","",IF(ISBLANK(INDEX('Product Backlog'!$I$5:$I$504,$J80)),"",INDEX('Product Backlog'!$I$5:$I$504,$J80)))</f>
        <v/>
      </c>
      <c r="J80" t="str">
        <f>IFERROR(MATCH($B$4&amp;"-"&amp;ROWS($A$10:A80),'Product Backlog'!$J$5:$J$504,0),"")</f>
        <v/>
      </c>
    </row>
    <row r="81" spans="1:10" ht="21" customHeight="1" x14ac:dyDescent="0.2">
      <c r="A81" s="46" t="str">
        <f>IF($J81="","",IF(ISBLANK(INDEX('Product Backlog'!$A$5:$A$504,$J81)),"",INDEX('Product Backlog'!$A$5:$A$504,$J81)))</f>
        <v/>
      </c>
      <c r="B81" s="46" t="str">
        <f>IF($J81="","",IF(ISBLANK(INDEX('Product Backlog'!$B$5:$B$504,$J81)),"",INDEX('Product Backlog'!$B$5:$B$504,$J81)))</f>
        <v/>
      </c>
      <c r="C81" s="46" t="str">
        <f>IF($J81="","",IF(ISBLANK(INDEX('Product Backlog'!$C$5:$C$504,$J81)),"",INDEX('Product Backlog'!$C$5:$C$504,$J81)))</f>
        <v/>
      </c>
      <c r="D81" s="46" t="str">
        <f>IF($J81="","",IF(ISBLANK(INDEX('Product Backlog'!$D$5:$D$504,$J81)),"",INDEX('Product Backlog'!$D$5:$D$504,$J81)))</f>
        <v/>
      </c>
      <c r="E81" s="46" t="str">
        <f>IF($J81="","",IF(ISBLANK(INDEX('Product Backlog'!$E$5:$E$504,$J81)),"",INDEX('Product Backlog'!$E$5:$E$504,$J81)))</f>
        <v/>
      </c>
      <c r="F81" s="47" t="str">
        <f>IF($J81="","",IF(ISBLANK(INDEX('Product Backlog'!$F$5:$F$504,$J81)),"",INDEX('Product Backlog'!$F$5:$F$504,$J81)))</f>
        <v/>
      </c>
      <c r="G81" s="47" t="str">
        <f>IF($J81="","",IF(ISBLANK(INDEX('Product Backlog'!$G$5:$G$504,$J81)),"",INDEX('Product Backlog'!$G$5:$G$504,$J81)))</f>
        <v/>
      </c>
      <c r="H81" s="48" t="str">
        <f>IF($J81="","",IF(ISBLANK(INDEX('Product Backlog'!$H$5:$H$504,$J81)),"",INDEX('Product Backlog'!$H$5:$H$504,$J81)))</f>
        <v/>
      </c>
      <c r="I81" s="48" t="str">
        <f>IF($J81="","",IF(ISBLANK(INDEX('Product Backlog'!$I$5:$I$504,$J81)),"",INDEX('Product Backlog'!$I$5:$I$504,$J81)))</f>
        <v/>
      </c>
      <c r="J81" t="str">
        <f>IFERROR(MATCH($B$4&amp;"-"&amp;ROWS($A$10:A81),'Product Backlog'!$J$5:$J$504,0),"")</f>
        <v/>
      </c>
    </row>
    <row r="82" spans="1:10" ht="21" customHeight="1" x14ac:dyDescent="0.2">
      <c r="A82" s="46" t="str">
        <f>IF($J82="","",IF(ISBLANK(INDEX('Product Backlog'!$A$5:$A$504,$J82)),"",INDEX('Product Backlog'!$A$5:$A$504,$J82)))</f>
        <v/>
      </c>
      <c r="B82" s="46" t="str">
        <f>IF($J82="","",IF(ISBLANK(INDEX('Product Backlog'!$B$5:$B$504,$J82)),"",INDEX('Product Backlog'!$B$5:$B$504,$J82)))</f>
        <v/>
      </c>
      <c r="C82" s="46" t="str">
        <f>IF($J82="","",IF(ISBLANK(INDEX('Product Backlog'!$C$5:$C$504,$J82)),"",INDEX('Product Backlog'!$C$5:$C$504,$J82)))</f>
        <v/>
      </c>
      <c r="D82" s="46" t="str">
        <f>IF($J82="","",IF(ISBLANK(INDEX('Product Backlog'!$D$5:$D$504,$J82)),"",INDEX('Product Backlog'!$D$5:$D$504,$J82)))</f>
        <v/>
      </c>
      <c r="E82" s="46" t="str">
        <f>IF($J82="","",IF(ISBLANK(INDEX('Product Backlog'!$E$5:$E$504,$J82)),"",INDEX('Product Backlog'!$E$5:$E$504,$J82)))</f>
        <v/>
      </c>
      <c r="F82" s="47" t="str">
        <f>IF($J82="","",IF(ISBLANK(INDEX('Product Backlog'!$F$5:$F$504,$J82)),"",INDEX('Product Backlog'!$F$5:$F$504,$J82)))</f>
        <v/>
      </c>
      <c r="G82" s="47" t="str">
        <f>IF($J82="","",IF(ISBLANK(INDEX('Product Backlog'!$G$5:$G$504,$J82)),"",INDEX('Product Backlog'!$G$5:$G$504,$J82)))</f>
        <v/>
      </c>
      <c r="H82" s="48" t="str">
        <f>IF($J82="","",IF(ISBLANK(INDEX('Product Backlog'!$H$5:$H$504,$J82)),"",INDEX('Product Backlog'!$H$5:$H$504,$J82)))</f>
        <v/>
      </c>
      <c r="I82" s="48" t="str">
        <f>IF($J82="","",IF(ISBLANK(INDEX('Product Backlog'!$I$5:$I$504,$J82)),"",INDEX('Product Backlog'!$I$5:$I$504,$J82)))</f>
        <v/>
      </c>
      <c r="J82" t="str">
        <f>IFERROR(MATCH($B$4&amp;"-"&amp;ROWS($A$10:A82),'Product Backlog'!$J$5:$J$504,0),"")</f>
        <v/>
      </c>
    </row>
    <row r="83" spans="1:10" ht="21" customHeight="1" x14ac:dyDescent="0.2">
      <c r="A83" s="46" t="str">
        <f>IF($J83="","",IF(ISBLANK(INDEX('Product Backlog'!$A$5:$A$504,$J83)),"",INDEX('Product Backlog'!$A$5:$A$504,$J83)))</f>
        <v/>
      </c>
      <c r="B83" s="46" t="str">
        <f>IF($J83="","",IF(ISBLANK(INDEX('Product Backlog'!$B$5:$B$504,$J83)),"",INDEX('Product Backlog'!$B$5:$B$504,$J83)))</f>
        <v/>
      </c>
      <c r="C83" s="46" t="str">
        <f>IF($J83="","",IF(ISBLANK(INDEX('Product Backlog'!$C$5:$C$504,$J83)),"",INDEX('Product Backlog'!$C$5:$C$504,$J83)))</f>
        <v/>
      </c>
      <c r="D83" s="46" t="str">
        <f>IF($J83="","",IF(ISBLANK(INDEX('Product Backlog'!$D$5:$D$504,$J83)),"",INDEX('Product Backlog'!$D$5:$D$504,$J83)))</f>
        <v/>
      </c>
      <c r="E83" s="46" t="str">
        <f>IF($J83="","",IF(ISBLANK(INDEX('Product Backlog'!$E$5:$E$504,$J83)),"",INDEX('Product Backlog'!$E$5:$E$504,$J83)))</f>
        <v/>
      </c>
      <c r="F83" s="47" t="str">
        <f>IF($J83="","",IF(ISBLANK(INDEX('Product Backlog'!$F$5:$F$504,$J83)),"",INDEX('Product Backlog'!$F$5:$F$504,$J83)))</f>
        <v/>
      </c>
      <c r="G83" s="47" t="str">
        <f>IF($J83="","",IF(ISBLANK(INDEX('Product Backlog'!$G$5:$G$504,$J83)),"",INDEX('Product Backlog'!$G$5:$G$504,$J83)))</f>
        <v/>
      </c>
      <c r="H83" s="48" t="str">
        <f>IF($J83="","",IF(ISBLANK(INDEX('Product Backlog'!$H$5:$H$504,$J83)),"",INDEX('Product Backlog'!$H$5:$H$504,$J83)))</f>
        <v/>
      </c>
      <c r="I83" s="48" t="str">
        <f>IF($J83="","",IF(ISBLANK(INDEX('Product Backlog'!$I$5:$I$504,$J83)),"",INDEX('Product Backlog'!$I$5:$I$504,$J83)))</f>
        <v/>
      </c>
      <c r="J83" t="str">
        <f>IFERROR(MATCH($B$4&amp;"-"&amp;ROWS($A$10:A83),'Product Backlog'!$J$5:$J$504,0),"")</f>
        <v/>
      </c>
    </row>
    <row r="84" spans="1:10" ht="21" customHeight="1" x14ac:dyDescent="0.2">
      <c r="A84" s="46" t="str">
        <f>IF($J84="","",IF(ISBLANK(INDEX('Product Backlog'!$A$5:$A$504,$J84)),"",INDEX('Product Backlog'!$A$5:$A$504,$J84)))</f>
        <v/>
      </c>
      <c r="B84" s="46" t="str">
        <f>IF($J84="","",IF(ISBLANK(INDEX('Product Backlog'!$B$5:$B$504,$J84)),"",INDEX('Product Backlog'!$B$5:$B$504,$J84)))</f>
        <v/>
      </c>
      <c r="C84" s="46" t="str">
        <f>IF($J84="","",IF(ISBLANK(INDEX('Product Backlog'!$C$5:$C$504,$J84)),"",INDEX('Product Backlog'!$C$5:$C$504,$J84)))</f>
        <v/>
      </c>
      <c r="D84" s="46" t="str">
        <f>IF($J84="","",IF(ISBLANK(INDEX('Product Backlog'!$D$5:$D$504,$J84)),"",INDEX('Product Backlog'!$D$5:$D$504,$J84)))</f>
        <v/>
      </c>
      <c r="E84" s="46" t="str">
        <f>IF($J84="","",IF(ISBLANK(INDEX('Product Backlog'!$E$5:$E$504,$J84)),"",INDEX('Product Backlog'!$E$5:$E$504,$J84)))</f>
        <v/>
      </c>
      <c r="F84" s="47" t="str">
        <f>IF($J84="","",IF(ISBLANK(INDEX('Product Backlog'!$F$5:$F$504,$J84)),"",INDEX('Product Backlog'!$F$5:$F$504,$J84)))</f>
        <v/>
      </c>
      <c r="G84" s="47" t="str">
        <f>IF($J84="","",IF(ISBLANK(INDEX('Product Backlog'!$G$5:$G$504,$J84)),"",INDEX('Product Backlog'!$G$5:$G$504,$J84)))</f>
        <v/>
      </c>
      <c r="H84" s="48" t="str">
        <f>IF($J84="","",IF(ISBLANK(INDEX('Product Backlog'!$H$5:$H$504,$J84)),"",INDEX('Product Backlog'!$H$5:$H$504,$J84)))</f>
        <v/>
      </c>
      <c r="I84" s="48" t="str">
        <f>IF($J84="","",IF(ISBLANK(INDEX('Product Backlog'!$I$5:$I$504,$J84)),"",INDEX('Product Backlog'!$I$5:$I$504,$J84)))</f>
        <v/>
      </c>
      <c r="J84" t="str">
        <f>IFERROR(MATCH($B$4&amp;"-"&amp;ROWS($A$10:A84),'Product Backlog'!$J$5:$J$504,0),"")</f>
        <v/>
      </c>
    </row>
    <row r="85" spans="1:10" ht="21" customHeight="1" x14ac:dyDescent="0.2">
      <c r="A85" s="46" t="str">
        <f>IF($J85="","",IF(ISBLANK(INDEX('Product Backlog'!$A$5:$A$504,$J85)),"",INDEX('Product Backlog'!$A$5:$A$504,$J85)))</f>
        <v/>
      </c>
      <c r="B85" s="46" t="str">
        <f>IF($J85="","",IF(ISBLANK(INDEX('Product Backlog'!$B$5:$B$504,$J85)),"",INDEX('Product Backlog'!$B$5:$B$504,$J85)))</f>
        <v/>
      </c>
      <c r="C85" s="46" t="str">
        <f>IF($J85="","",IF(ISBLANK(INDEX('Product Backlog'!$C$5:$C$504,$J85)),"",INDEX('Product Backlog'!$C$5:$C$504,$J85)))</f>
        <v/>
      </c>
      <c r="D85" s="46" t="str">
        <f>IF($J85="","",IF(ISBLANK(INDEX('Product Backlog'!$D$5:$D$504,$J85)),"",INDEX('Product Backlog'!$D$5:$D$504,$J85)))</f>
        <v/>
      </c>
      <c r="E85" s="46" t="str">
        <f>IF($J85="","",IF(ISBLANK(INDEX('Product Backlog'!$E$5:$E$504,$J85)),"",INDEX('Product Backlog'!$E$5:$E$504,$J85)))</f>
        <v/>
      </c>
      <c r="F85" s="47" t="str">
        <f>IF($J85="","",IF(ISBLANK(INDEX('Product Backlog'!$F$5:$F$504,$J85)),"",INDEX('Product Backlog'!$F$5:$F$504,$J85)))</f>
        <v/>
      </c>
      <c r="G85" s="47" t="str">
        <f>IF($J85="","",IF(ISBLANK(INDEX('Product Backlog'!$G$5:$G$504,$J85)),"",INDEX('Product Backlog'!$G$5:$G$504,$J85)))</f>
        <v/>
      </c>
      <c r="H85" s="48" t="str">
        <f>IF($J85="","",IF(ISBLANK(INDEX('Product Backlog'!$H$5:$H$504,$J85)),"",INDEX('Product Backlog'!$H$5:$H$504,$J85)))</f>
        <v/>
      </c>
      <c r="I85" s="48" t="str">
        <f>IF($J85="","",IF(ISBLANK(INDEX('Product Backlog'!$I$5:$I$504,$J85)),"",INDEX('Product Backlog'!$I$5:$I$504,$J85)))</f>
        <v/>
      </c>
      <c r="J85" t="str">
        <f>IFERROR(MATCH($B$4&amp;"-"&amp;ROWS($A$10:A85),'Product Backlog'!$J$5:$J$504,0),"")</f>
        <v/>
      </c>
    </row>
    <row r="86" spans="1:10" ht="21" customHeight="1" x14ac:dyDescent="0.2">
      <c r="A86" s="46" t="str">
        <f>IF($J86="","",IF(ISBLANK(INDEX('Product Backlog'!$A$5:$A$504,$J86)),"",INDEX('Product Backlog'!$A$5:$A$504,$J86)))</f>
        <v/>
      </c>
      <c r="B86" s="46" t="str">
        <f>IF($J86="","",IF(ISBLANK(INDEX('Product Backlog'!$B$5:$B$504,$J86)),"",INDEX('Product Backlog'!$B$5:$B$504,$J86)))</f>
        <v/>
      </c>
      <c r="C86" s="46" t="str">
        <f>IF($J86="","",IF(ISBLANK(INDEX('Product Backlog'!$C$5:$C$504,$J86)),"",INDEX('Product Backlog'!$C$5:$C$504,$J86)))</f>
        <v/>
      </c>
      <c r="D86" s="46" t="str">
        <f>IF($J86="","",IF(ISBLANK(INDEX('Product Backlog'!$D$5:$D$504,$J86)),"",INDEX('Product Backlog'!$D$5:$D$504,$J86)))</f>
        <v/>
      </c>
      <c r="E86" s="46" t="str">
        <f>IF($J86="","",IF(ISBLANK(INDEX('Product Backlog'!$E$5:$E$504,$J86)),"",INDEX('Product Backlog'!$E$5:$E$504,$J86)))</f>
        <v/>
      </c>
      <c r="F86" s="47" t="str">
        <f>IF($J86="","",IF(ISBLANK(INDEX('Product Backlog'!$F$5:$F$504,$J86)),"",INDEX('Product Backlog'!$F$5:$F$504,$J86)))</f>
        <v/>
      </c>
      <c r="G86" s="47" t="str">
        <f>IF($J86="","",IF(ISBLANK(INDEX('Product Backlog'!$G$5:$G$504,$J86)),"",INDEX('Product Backlog'!$G$5:$G$504,$J86)))</f>
        <v/>
      </c>
      <c r="H86" s="48" t="str">
        <f>IF($J86="","",IF(ISBLANK(INDEX('Product Backlog'!$H$5:$H$504,$J86)),"",INDEX('Product Backlog'!$H$5:$H$504,$J86)))</f>
        <v/>
      </c>
      <c r="I86" s="48" t="str">
        <f>IF($J86="","",IF(ISBLANK(INDEX('Product Backlog'!$I$5:$I$504,$J86)),"",INDEX('Product Backlog'!$I$5:$I$504,$J86)))</f>
        <v/>
      </c>
      <c r="J86" t="str">
        <f>IFERROR(MATCH($B$4&amp;"-"&amp;ROWS($A$10:A86),'Product Backlog'!$J$5:$J$504,0),"")</f>
        <v/>
      </c>
    </row>
    <row r="87" spans="1:10" ht="21" customHeight="1" x14ac:dyDescent="0.2">
      <c r="A87" s="46" t="str">
        <f>IF($J87="","",IF(ISBLANK(INDEX('Product Backlog'!$A$5:$A$504,$J87)),"",INDEX('Product Backlog'!$A$5:$A$504,$J87)))</f>
        <v/>
      </c>
      <c r="B87" s="46" t="str">
        <f>IF($J87="","",IF(ISBLANK(INDEX('Product Backlog'!$B$5:$B$504,$J87)),"",INDEX('Product Backlog'!$B$5:$B$504,$J87)))</f>
        <v/>
      </c>
      <c r="C87" s="46" t="str">
        <f>IF($J87="","",IF(ISBLANK(INDEX('Product Backlog'!$C$5:$C$504,$J87)),"",INDEX('Product Backlog'!$C$5:$C$504,$J87)))</f>
        <v/>
      </c>
      <c r="D87" s="46" t="str">
        <f>IF($J87="","",IF(ISBLANK(INDEX('Product Backlog'!$D$5:$D$504,$J87)),"",INDEX('Product Backlog'!$D$5:$D$504,$J87)))</f>
        <v/>
      </c>
      <c r="E87" s="46" t="str">
        <f>IF($J87="","",IF(ISBLANK(INDEX('Product Backlog'!$E$5:$E$504,$J87)),"",INDEX('Product Backlog'!$E$5:$E$504,$J87)))</f>
        <v/>
      </c>
      <c r="F87" s="47" t="str">
        <f>IF($J87="","",IF(ISBLANK(INDEX('Product Backlog'!$F$5:$F$504,$J87)),"",INDEX('Product Backlog'!$F$5:$F$504,$J87)))</f>
        <v/>
      </c>
      <c r="G87" s="47" t="str">
        <f>IF($J87="","",IF(ISBLANK(INDEX('Product Backlog'!$G$5:$G$504,$J87)),"",INDEX('Product Backlog'!$G$5:$G$504,$J87)))</f>
        <v/>
      </c>
      <c r="H87" s="48" t="str">
        <f>IF($J87="","",IF(ISBLANK(INDEX('Product Backlog'!$H$5:$H$504,$J87)),"",INDEX('Product Backlog'!$H$5:$H$504,$J87)))</f>
        <v/>
      </c>
      <c r="I87" s="48" t="str">
        <f>IF($J87="","",IF(ISBLANK(INDEX('Product Backlog'!$I$5:$I$504,$J87)),"",INDEX('Product Backlog'!$I$5:$I$504,$J87)))</f>
        <v/>
      </c>
      <c r="J87" t="str">
        <f>IFERROR(MATCH($B$4&amp;"-"&amp;ROWS($A$10:A87),'Product Backlog'!$J$5:$J$504,0),"")</f>
        <v/>
      </c>
    </row>
    <row r="88" spans="1:10" ht="21" customHeight="1" x14ac:dyDescent="0.2">
      <c r="A88" s="46" t="str">
        <f>IF($J88="","",IF(ISBLANK(INDEX('Product Backlog'!$A$5:$A$504,$J88)),"",INDEX('Product Backlog'!$A$5:$A$504,$J88)))</f>
        <v/>
      </c>
      <c r="B88" s="46" t="str">
        <f>IF($J88="","",IF(ISBLANK(INDEX('Product Backlog'!$B$5:$B$504,$J88)),"",INDEX('Product Backlog'!$B$5:$B$504,$J88)))</f>
        <v/>
      </c>
      <c r="C88" s="46" t="str">
        <f>IF($J88="","",IF(ISBLANK(INDEX('Product Backlog'!$C$5:$C$504,$J88)),"",INDEX('Product Backlog'!$C$5:$C$504,$J88)))</f>
        <v/>
      </c>
      <c r="D88" s="46" t="str">
        <f>IF($J88="","",IF(ISBLANK(INDEX('Product Backlog'!$D$5:$D$504,$J88)),"",INDEX('Product Backlog'!$D$5:$D$504,$J88)))</f>
        <v/>
      </c>
      <c r="E88" s="46" t="str">
        <f>IF($J88="","",IF(ISBLANK(INDEX('Product Backlog'!$E$5:$E$504,$J88)),"",INDEX('Product Backlog'!$E$5:$E$504,$J88)))</f>
        <v/>
      </c>
      <c r="F88" s="47" t="str">
        <f>IF($J88="","",IF(ISBLANK(INDEX('Product Backlog'!$F$5:$F$504,$J88)),"",INDEX('Product Backlog'!$F$5:$F$504,$J88)))</f>
        <v/>
      </c>
      <c r="G88" s="47" t="str">
        <f>IF($J88="","",IF(ISBLANK(INDEX('Product Backlog'!$G$5:$G$504,$J88)),"",INDEX('Product Backlog'!$G$5:$G$504,$J88)))</f>
        <v/>
      </c>
      <c r="H88" s="48" t="str">
        <f>IF($J88="","",IF(ISBLANK(INDEX('Product Backlog'!$H$5:$H$504,$J88)),"",INDEX('Product Backlog'!$H$5:$H$504,$J88)))</f>
        <v/>
      </c>
      <c r="I88" s="48" t="str">
        <f>IF($J88="","",IF(ISBLANK(INDEX('Product Backlog'!$I$5:$I$504,$J88)),"",INDEX('Product Backlog'!$I$5:$I$504,$J88)))</f>
        <v/>
      </c>
      <c r="J88" t="str">
        <f>IFERROR(MATCH($B$4&amp;"-"&amp;ROWS($A$10:A88),'Product Backlog'!$J$5:$J$504,0),"")</f>
        <v/>
      </c>
    </row>
    <row r="89" spans="1:10" ht="21" customHeight="1" x14ac:dyDescent="0.2">
      <c r="A89" s="46" t="str">
        <f>IF($J89="","",IF(ISBLANK(INDEX('Product Backlog'!$A$5:$A$504,$J89)),"",INDEX('Product Backlog'!$A$5:$A$504,$J89)))</f>
        <v/>
      </c>
      <c r="B89" s="46" t="str">
        <f>IF($J89="","",IF(ISBLANK(INDEX('Product Backlog'!$B$5:$B$504,$J89)),"",INDEX('Product Backlog'!$B$5:$B$504,$J89)))</f>
        <v/>
      </c>
      <c r="C89" s="46" t="str">
        <f>IF($J89="","",IF(ISBLANK(INDEX('Product Backlog'!$C$5:$C$504,$J89)),"",INDEX('Product Backlog'!$C$5:$C$504,$J89)))</f>
        <v/>
      </c>
      <c r="D89" s="46" t="str">
        <f>IF($J89="","",IF(ISBLANK(INDEX('Product Backlog'!$D$5:$D$504,$J89)),"",INDEX('Product Backlog'!$D$5:$D$504,$J89)))</f>
        <v/>
      </c>
      <c r="E89" s="46" t="str">
        <f>IF($J89="","",IF(ISBLANK(INDEX('Product Backlog'!$E$5:$E$504,$J89)),"",INDEX('Product Backlog'!$E$5:$E$504,$J89)))</f>
        <v/>
      </c>
      <c r="F89" s="47" t="str">
        <f>IF($J89="","",IF(ISBLANK(INDEX('Product Backlog'!$F$5:$F$504,$J89)),"",INDEX('Product Backlog'!$F$5:$F$504,$J89)))</f>
        <v/>
      </c>
      <c r="G89" s="47" t="str">
        <f>IF($J89="","",IF(ISBLANK(INDEX('Product Backlog'!$G$5:$G$504,$J89)),"",INDEX('Product Backlog'!$G$5:$G$504,$J89)))</f>
        <v/>
      </c>
      <c r="H89" s="48" t="str">
        <f>IF($J89="","",IF(ISBLANK(INDEX('Product Backlog'!$H$5:$H$504,$J89)),"",INDEX('Product Backlog'!$H$5:$H$504,$J89)))</f>
        <v/>
      </c>
      <c r="I89" s="48" t="str">
        <f>IF($J89="","",IF(ISBLANK(INDEX('Product Backlog'!$I$5:$I$504,$J89)),"",INDEX('Product Backlog'!$I$5:$I$504,$J89)))</f>
        <v/>
      </c>
      <c r="J89" t="str">
        <f>IFERROR(MATCH($B$4&amp;"-"&amp;ROWS($A$10:A89),'Product Backlog'!$J$5:$J$504,0),"")</f>
        <v/>
      </c>
    </row>
    <row r="90" spans="1:10" ht="21" customHeight="1" x14ac:dyDescent="0.2">
      <c r="A90" s="46" t="str">
        <f>IF($J90="","",IF(ISBLANK(INDEX('Product Backlog'!$A$5:$A$504,$J90)),"",INDEX('Product Backlog'!$A$5:$A$504,$J90)))</f>
        <v/>
      </c>
      <c r="B90" s="46" t="str">
        <f>IF($J90="","",IF(ISBLANK(INDEX('Product Backlog'!$B$5:$B$504,$J90)),"",INDEX('Product Backlog'!$B$5:$B$504,$J90)))</f>
        <v/>
      </c>
      <c r="C90" s="46" t="str">
        <f>IF($J90="","",IF(ISBLANK(INDEX('Product Backlog'!$C$5:$C$504,$J90)),"",INDEX('Product Backlog'!$C$5:$C$504,$J90)))</f>
        <v/>
      </c>
      <c r="D90" s="46" t="str">
        <f>IF($J90="","",IF(ISBLANK(INDEX('Product Backlog'!$D$5:$D$504,$J90)),"",INDEX('Product Backlog'!$D$5:$D$504,$J90)))</f>
        <v/>
      </c>
      <c r="E90" s="46" t="str">
        <f>IF($J90="","",IF(ISBLANK(INDEX('Product Backlog'!$E$5:$E$504,$J90)),"",INDEX('Product Backlog'!$E$5:$E$504,$J90)))</f>
        <v/>
      </c>
      <c r="F90" s="47" t="str">
        <f>IF($J90="","",IF(ISBLANK(INDEX('Product Backlog'!$F$5:$F$504,$J90)),"",INDEX('Product Backlog'!$F$5:$F$504,$J90)))</f>
        <v/>
      </c>
      <c r="G90" s="47" t="str">
        <f>IF($J90="","",IF(ISBLANK(INDEX('Product Backlog'!$G$5:$G$504,$J90)),"",INDEX('Product Backlog'!$G$5:$G$504,$J90)))</f>
        <v/>
      </c>
      <c r="H90" s="48" t="str">
        <f>IF($J90="","",IF(ISBLANK(INDEX('Product Backlog'!$H$5:$H$504,$J90)),"",INDEX('Product Backlog'!$H$5:$H$504,$J90)))</f>
        <v/>
      </c>
      <c r="I90" s="48" t="str">
        <f>IF($J90="","",IF(ISBLANK(INDEX('Product Backlog'!$I$5:$I$504,$J90)),"",INDEX('Product Backlog'!$I$5:$I$504,$J90)))</f>
        <v/>
      </c>
      <c r="J90" t="str">
        <f>IFERROR(MATCH($B$4&amp;"-"&amp;ROWS($A$10:A90),'Product Backlog'!$J$5:$J$504,0),"")</f>
        <v/>
      </c>
    </row>
    <row r="91" spans="1:10" ht="21" customHeight="1" x14ac:dyDescent="0.2">
      <c r="A91" s="46" t="str">
        <f>IF($J91="","",IF(ISBLANK(INDEX('Product Backlog'!$A$5:$A$504,$J91)),"",INDEX('Product Backlog'!$A$5:$A$504,$J91)))</f>
        <v/>
      </c>
      <c r="B91" s="46" t="str">
        <f>IF($J91="","",IF(ISBLANK(INDEX('Product Backlog'!$B$5:$B$504,$J91)),"",INDEX('Product Backlog'!$B$5:$B$504,$J91)))</f>
        <v/>
      </c>
      <c r="C91" s="46" t="str">
        <f>IF($J91="","",IF(ISBLANK(INDEX('Product Backlog'!$C$5:$C$504,$J91)),"",INDEX('Product Backlog'!$C$5:$C$504,$J91)))</f>
        <v/>
      </c>
      <c r="D91" s="46" t="str">
        <f>IF($J91="","",IF(ISBLANK(INDEX('Product Backlog'!$D$5:$D$504,$J91)),"",INDEX('Product Backlog'!$D$5:$D$504,$J91)))</f>
        <v/>
      </c>
      <c r="E91" s="46" t="str">
        <f>IF($J91="","",IF(ISBLANK(INDEX('Product Backlog'!$E$5:$E$504,$J91)),"",INDEX('Product Backlog'!$E$5:$E$504,$J91)))</f>
        <v/>
      </c>
      <c r="F91" s="47" t="str">
        <f>IF($J91="","",IF(ISBLANK(INDEX('Product Backlog'!$F$5:$F$504,$J91)),"",INDEX('Product Backlog'!$F$5:$F$504,$J91)))</f>
        <v/>
      </c>
      <c r="G91" s="47" t="str">
        <f>IF($J91="","",IF(ISBLANK(INDEX('Product Backlog'!$G$5:$G$504,$J91)),"",INDEX('Product Backlog'!$G$5:$G$504,$J91)))</f>
        <v/>
      </c>
      <c r="H91" s="48" t="str">
        <f>IF($J91="","",IF(ISBLANK(INDEX('Product Backlog'!$H$5:$H$504,$J91)),"",INDEX('Product Backlog'!$H$5:$H$504,$J91)))</f>
        <v/>
      </c>
      <c r="I91" s="48" t="str">
        <f>IF($J91="","",IF(ISBLANK(INDEX('Product Backlog'!$I$5:$I$504,$J91)),"",INDEX('Product Backlog'!$I$5:$I$504,$J91)))</f>
        <v/>
      </c>
      <c r="J91" t="str">
        <f>IFERROR(MATCH($B$4&amp;"-"&amp;ROWS($A$10:A91),'Product Backlog'!$J$5:$J$504,0),"")</f>
        <v/>
      </c>
    </row>
    <row r="92" spans="1:10" ht="21" customHeight="1" x14ac:dyDescent="0.2">
      <c r="A92" s="46" t="str">
        <f>IF($J92="","",IF(ISBLANK(INDEX('Product Backlog'!$A$5:$A$504,$J92)),"",INDEX('Product Backlog'!$A$5:$A$504,$J92)))</f>
        <v/>
      </c>
      <c r="B92" s="46" t="str">
        <f>IF($J92="","",IF(ISBLANK(INDEX('Product Backlog'!$B$5:$B$504,$J92)),"",INDEX('Product Backlog'!$B$5:$B$504,$J92)))</f>
        <v/>
      </c>
      <c r="C92" s="46" t="str">
        <f>IF($J92="","",IF(ISBLANK(INDEX('Product Backlog'!$C$5:$C$504,$J92)),"",INDEX('Product Backlog'!$C$5:$C$504,$J92)))</f>
        <v/>
      </c>
      <c r="D92" s="46" t="str">
        <f>IF($J92="","",IF(ISBLANK(INDEX('Product Backlog'!$D$5:$D$504,$J92)),"",INDEX('Product Backlog'!$D$5:$D$504,$J92)))</f>
        <v/>
      </c>
      <c r="E92" s="46" t="str">
        <f>IF($J92="","",IF(ISBLANK(INDEX('Product Backlog'!$E$5:$E$504,$J92)),"",INDEX('Product Backlog'!$E$5:$E$504,$J92)))</f>
        <v/>
      </c>
      <c r="F92" s="47" t="str">
        <f>IF($J92="","",IF(ISBLANK(INDEX('Product Backlog'!$F$5:$F$504,$J92)),"",INDEX('Product Backlog'!$F$5:$F$504,$J92)))</f>
        <v/>
      </c>
      <c r="G92" s="47" t="str">
        <f>IF($J92="","",IF(ISBLANK(INDEX('Product Backlog'!$G$5:$G$504,$J92)),"",INDEX('Product Backlog'!$G$5:$G$504,$J92)))</f>
        <v/>
      </c>
      <c r="H92" s="48" t="str">
        <f>IF($J92="","",IF(ISBLANK(INDEX('Product Backlog'!$H$5:$H$504,$J92)),"",INDEX('Product Backlog'!$H$5:$H$504,$J92)))</f>
        <v/>
      </c>
      <c r="I92" s="48" t="str">
        <f>IF($J92="","",IF(ISBLANK(INDEX('Product Backlog'!$I$5:$I$504,$J92)),"",INDEX('Product Backlog'!$I$5:$I$504,$J92)))</f>
        <v/>
      </c>
      <c r="J92" t="str">
        <f>IFERROR(MATCH($B$4&amp;"-"&amp;ROWS($A$10:A92),'Product Backlog'!$J$5:$J$504,0),"")</f>
        <v/>
      </c>
    </row>
    <row r="93" spans="1:10" ht="21" customHeight="1" x14ac:dyDescent="0.2">
      <c r="A93" s="46" t="str">
        <f>IF($J93="","",IF(ISBLANK(INDEX('Product Backlog'!$A$5:$A$504,$J93)),"",INDEX('Product Backlog'!$A$5:$A$504,$J93)))</f>
        <v/>
      </c>
      <c r="B93" s="46" t="str">
        <f>IF($J93="","",IF(ISBLANK(INDEX('Product Backlog'!$B$5:$B$504,$J93)),"",INDEX('Product Backlog'!$B$5:$B$504,$J93)))</f>
        <v/>
      </c>
      <c r="C93" s="46" t="str">
        <f>IF($J93="","",IF(ISBLANK(INDEX('Product Backlog'!$C$5:$C$504,$J93)),"",INDEX('Product Backlog'!$C$5:$C$504,$J93)))</f>
        <v/>
      </c>
      <c r="D93" s="46" t="str">
        <f>IF($J93="","",IF(ISBLANK(INDEX('Product Backlog'!$D$5:$D$504,$J93)),"",INDEX('Product Backlog'!$D$5:$D$504,$J93)))</f>
        <v/>
      </c>
      <c r="E93" s="46" t="str">
        <f>IF($J93="","",IF(ISBLANK(INDEX('Product Backlog'!$E$5:$E$504,$J93)),"",INDEX('Product Backlog'!$E$5:$E$504,$J93)))</f>
        <v/>
      </c>
      <c r="F93" s="47" t="str">
        <f>IF($J93="","",IF(ISBLANK(INDEX('Product Backlog'!$F$5:$F$504,$J93)),"",INDEX('Product Backlog'!$F$5:$F$504,$J93)))</f>
        <v/>
      </c>
      <c r="G93" s="47" t="str">
        <f>IF($J93="","",IF(ISBLANK(INDEX('Product Backlog'!$G$5:$G$504,$J93)),"",INDEX('Product Backlog'!$G$5:$G$504,$J93)))</f>
        <v/>
      </c>
      <c r="H93" s="48" t="str">
        <f>IF($J93="","",IF(ISBLANK(INDEX('Product Backlog'!$H$5:$H$504,$J93)),"",INDEX('Product Backlog'!$H$5:$H$504,$J93)))</f>
        <v/>
      </c>
      <c r="I93" s="48" t="str">
        <f>IF($J93="","",IF(ISBLANK(INDEX('Product Backlog'!$I$5:$I$504,$J93)),"",INDEX('Product Backlog'!$I$5:$I$504,$J93)))</f>
        <v/>
      </c>
      <c r="J93" t="str">
        <f>IFERROR(MATCH($B$4&amp;"-"&amp;ROWS($A$10:A93),'Product Backlog'!$J$5:$J$504,0),"")</f>
        <v/>
      </c>
    </row>
    <row r="94" spans="1:10" ht="21" customHeight="1" x14ac:dyDescent="0.2">
      <c r="A94" s="46" t="str">
        <f>IF($J94="","",IF(ISBLANK(INDEX('Product Backlog'!$A$5:$A$504,$J94)),"",INDEX('Product Backlog'!$A$5:$A$504,$J94)))</f>
        <v/>
      </c>
      <c r="B94" s="46" t="str">
        <f>IF($J94="","",IF(ISBLANK(INDEX('Product Backlog'!$B$5:$B$504,$J94)),"",INDEX('Product Backlog'!$B$5:$B$504,$J94)))</f>
        <v/>
      </c>
      <c r="C94" s="46" t="str">
        <f>IF($J94="","",IF(ISBLANK(INDEX('Product Backlog'!$C$5:$C$504,$J94)),"",INDEX('Product Backlog'!$C$5:$C$504,$J94)))</f>
        <v/>
      </c>
      <c r="D94" s="46" t="str">
        <f>IF($J94="","",IF(ISBLANK(INDEX('Product Backlog'!$D$5:$D$504,$J94)),"",INDEX('Product Backlog'!$D$5:$D$504,$J94)))</f>
        <v/>
      </c>
      <c r="E94" s="46" t="str">
        <f>IF($J94="","",IF(ISBLANK(INDEX('Product Backlog'!$E$5:$E$504,$J94)),"",INDEX('Product Backlog'!$E$5:$E$504,$J94)))</f>
        <v/>
      </c>
      <c r="F94" s="47" t="str">
        <f>IF($J94="","",IF(ISBLANK(INDEX('Product Backlog'!$F$5:$F$504,$J94)),"",INDEX('Product Backlog'!$F$5:$F$504,$J94)))</f>
        <v/>
      </c>
      <c r="G94" s="47" t="str">
        <f>IF($J94="","",IF(ISBLANK(INDEX('Product Backlog'!$G$5:$G$504,$J94)),"",INDEX('Product Backlog'!$G$5:$G$504,$J94)))</f>
        <v/>
      </c>
      <c r="H94" s="48" t="str">
        <f>IF($J94="","",IF(ISBLANK(INDEX('Product Backlog'!$H$5:$H$504,$J94)),"",INDEX('Product Backlog'!$H$5:$H$504,$J94)))</f>
        <v/>
      </c>
      <c r="I94" s="48" t="str">
        <f>IF($J94="","",IF(ISBLANK(INDEX('Product Backlog'!$I$5:$I$504,$J94)),"",INDEX('Product Backlog'!$I$5:$I$504,$J94)))</f>
        <v/>
      </c>
      <c r="J94" t="str">
        <f>IFERROR(MATCH($B$4&amp;"-"&amp;ROWS($A$10:A94),'Product Backlog'!$J$5:$J$504,0),"")</f>
        <v/>
      </c>
    </row>
    <row r="95" spans="1:10" ht="21" customHeight="1" x14ac:dyDescent="0.2">
      <c r="A95" s="46" t="str">
        <f>IF($J95="","",IF(ISBLANK(INDEX('Product Backlog'!$A$5:$A$504,$J95)),"",INDEX('Product Backlog'!$A$5:$A$504,$J95)))</f>
        <v/>
      </c>
      <c r="B95" s="46" t="str">
        <f>IF($J95="","",IF(ISBLANK(INDEX('Product Backlog'!$B$5:$B$504,$J95)),"",INDEX('Product Backlog'!$B$5:$B$504,$J95)))</f>
        <v/>
      </c>
      <c r="C95" s="46" t="str">
        <f>IF($J95="","",IF(ISBLANK(INDEX('Product Backlog'!$C$5:$C$504,$J95)),"",INDEX('Product Backlog'!$C$5:$C$504,$J95)))</f>
        <v/>
      </c>
      <c r="D95" s="46" t="str">
        <f>IF($J95="","",IF(ISBLANK(INDEX('Product Backlog'!$D$5:$D$504,$J95)),"",INDEX('Product Backlog'!$D$5:$D$504,$J95)))</f>
        <v/>
      </c>
      <c r="E95" s="46" t="str">
        <f>IF($J95="","",IF(ISBLANK(INDEX('Product Backlog'!$E$5:$E$504,$J95)),"",INDEX('Product Backlog'!$E$5:$E$504,$J95)))</f>
        <v/>
      </c>
      <c r="F95" s="47" t="str">
        <f>IF($J95="","",IF(ISBLANK(INDEX('Product Backlog'!$F$5:$F$504,$J95)),"",INDEX('Product Backlog'!$F$5:$F$504,$J95)))</f>
        <v/>
      </c>
      <c r="G95" s="47" t="str">
        <f>IF($J95="","",IF(ISBLANK(INDEX('Product Backlog'!$G$5:$G$504,$J95)),"",INDEX('Product Backlog'!$G$5:$G$504,$J95)))</f>
        <v/>
      </c>
      <c r="H95" s="48" t="str">
        <f>IF($J95="","",IF(ISBLANK(INDEX('Product Backlog'!$H$5:$H$504,$J95)),"",INDEX('Product Backlog'!$H$5:$H$504,$J95)))</f>
        <v/>
      </c>
      <c r="I95" s="48" t="str">
        <f>IF($J95="","",IF(ISBLANK(INDEX('Product Backlog'!$I$5:$I$504,$J95)),"",INDEX('Product Backlog'!$I$5:$I$504,$J95)))</f>
        <v/>
      </c>
      <c r="J95" t="str">
        <f>IFERROR(MATCH($B$4&amp;"-"&amp;ROWS($A$10:A95),'Product Backlog'!$J$5:$J$504,0),"")</f>
        <v/>
      </c>
    </row>
    <row r="96" spans="1:10" ht="21" customHeight="1" x14ac:dyDescent="0.2">
      <c r="A96" s="46" t="str">
        <f>IF($J96="","",IF(ISBLANK(INDEX('Product Backlog'!$A$5:$A$504,$J96)),"",INDEX('Product Backlog'!$A$5:$A$504,$J96)))</f>
        <v/>
      </c>
      <c r="B96" s="46" t="str">
        <f>IF($J96="","",IF(ISBLANK(INDEX('Product Backlog'!$B$5:$B$504,$J96)),"",INDEX('Product Backlog'!$B$5:$B$504,$J96)))</f>
        <v/>
      </c>
      <c r="C96" s="46" t="str">
        <f>IF($J96="","",IF(ISBLANK(INDEX('Product Backlog'!$C$5:$C$504,$J96)),"",INDEX('Product Backlog'!$C$5:$C$504,$J96)))</f>
        <v/>
      </c>
      <c r="D96" s="46" t="str">
        <f>IF($J96="","",IF(ISBLANK(INDEX('Product Backlog'!$D$5:$D$504,$J96)),"",INDEX('Product Backlog'!$D$5:$D$504,$J96)))</f>
        <v/>
      </c>
      <c r="E96" s="46" t="str">
        <f>IF($J96="","",IF(ISBLANK(INDEX('Product Backlog'!$E$5:$E$504,$J96)),"",INDEX('Product Backlog'!$E$5:$E$504,$J96)))</f>
        <v/>
      </c>
      <c r="F96" s="47" t="str">
        <f>IF($J96="","",IF(ISBLANK(INDEX('Product Backlog'!$F$5:$F$504,$J96)),"",INDEX('Product Backlog'!$F$5:$F$504,$J96)))</f>
        <v/>
      </c>
      <c r="G96" s="47" t="str">
        <f>IF($J96="","",IF(ISBLANK(INDEX('Product Backlog'!$G$5:$G$504,$J96)),"",INDEX('Product Backlog'!$G$5:$G$504,$J96)))</f>
        <v/>
      </c>
      <c r="H96" s="48" t="str">
        <f>IF($J96="","",IF(ISBLANK(INDEX('Product Backlog'!$H$5:$H$504,$J96)),"",INDEX('Product Backlog'!$H$5:$H$504,$J96)))</f>
        <v/>
      </c>
      <c r="I96" s="48" t="str">
        <f>IF($J96="","",IF(ISBLANK(INDEX('Product Backlog'!$I$5:$I$504,$J96)),"",INDEX('Product Backlog'!$I$5:$I$504,$J96)))</f>
        <v/>
      </c>
      <c r="J96" t="str">
        <f>IFERROR(MATCH($B$4&amp;"-"&amp;ROWS($A$10:A96),'Product Backlog'!$J$5:$J$504,0),"")</f>
        <v/>
      </c>
    </row>
    <row r="97" spans="1:10" ht="21" customHeight="1" x14ac:dyDescent="0.2">
      <c r="A97" s="46" t="str">
        <f>IF($J97="","",IF(ISBLANK(INDEX('Product Backlog'!$A$5:$A$504,$J97)),"",INDEX('Product Backlog'!$A$5:$A$504,$J97)))</f>
        <v/>
      </c>
      <c r="B97" s="46" t="str">
        <f>IF($J97="","",IF(ISBLANK(INDEX('Product Backlog'!$B$5:$B$504,$J97)),"",INDEX('Product Backlog'!$B$5:$B$504,$J97)))</f>
        <v/>
      </c>
      <c r="C97" s="46" t="str">
        <f>IF($J97="","",IF(ISBLANK(INDEX('Product Backlog'!$C$5:$C$504,$J97)),"",INDEX('Product Backlog'!$C$5:$C$504,$J97)))</f>
        <v/>
      </c>
      <c r="D97" s="46" t="str">
        <f>IF($J97="","",IF(ISBLANK(INDEX('Product Backlog'!$D$5:$D$504,$J97)),"",INDEX('Product Backlog'!$D$5:$D$504,$J97)))</f>
        <v/>
      </c>
      <c r="E97" s="46" t="str">
        <f>IF($J97="","",IF(ISBLANK(INDEX('Product Backlog'!$E$5:$E$504,$J97)),"",INDEX('Product Backlog'!$E$5:$E$504,$J97)))</f>
        <v/>
      </c>
      <c r="F97" s="47" t="str">
        <f>IF($J97="","",IF(ISBLANK(INDEX('Product Backlog'!$F$5:$F$504,$J97)),"",INDEX('Product Backlog'!$F$5:$F$504,$J97)))</f>
        <v/>
      </c>
      <c r="G97" s="47" t="str">
        <f>IF($J97="","",IF(ISBLANK(INDEX('Product Backlog'!$G$5:$G$504,$J97)),"",INDEX('Product Backlog'!$G$5:$G$504,$J97)))</f>
        <v/>
      </c>
      <c r="H97" s="48" t="str">
        <f>IF($J97="","",IF(ISBLANK(INDEX('Product Backlog'!$H$5:$H$504,$J97)),"",INDEX('Product Backlog'!$H$5:$H$504,$J97)))</f>
        <v/>
      </c>
      <c r="I97" s="48" t="str">
        <f>IF($J97="","",IF(ISBLANK(INDEX('Product Backlog'!$I$5:$I$504,$J97)),"",INDEX('Product Backlog'!$I$5:$I$504,$J97)))</f>
        <v/>
      </c>
      <c r="J97" t="str">
        <f>IFERROR(MATCH($B$4&amp;"-"&amp;ROWS($A$10:A97),'Product Backlog'!$J$5:$J$504,0),"")</f>
        <v/>
      </c>
    </row>
    <row r="98" spans="1:10" ht="21" customHeight="1" x14ac:dyDescent="0.2">
      <c r="A98" s="46" t="str">
        <f>IF($J98="","",IF(ISBLANK(INDEX('Product Backlog'!$A$5:$A$504,$J98)),"",INDEX('Product Backlog'!$A$5:$A$504,$J98)))</f>
        <v/>
      </c>
      <c r="B98" s="46" t="str">
        <f>IF($J98="","",IF(ISBLANK(INDEX('Product Backlog'!$B$5:$B$504,$J98)),"",INDEX('Product Backlog'!$B$5:$B$504,$J98)))</f>
        <v/>
      </c>
      <c r="C98" s="46" t="str">
        <f>IF($J98="","",IF(ISBLANK(INDEX('Product Backlog'!$C$5:$C$504,$J98)),"",INDEX('Product Backlog'!$C$5:$C$504,$J98)))</f>
        <v/>
      </c>
      <c r="D98" s="46" t="str">
        <f>IF($J98="","",IF(ISBLANK(INDEX('Product Backlog'!$D$5:$D$504,$J98)),"",INDEX('Product Backlog'!$D$5:$D$504,$J98)))</f>
        <v/>
      </c>
      <c r="E98" s="46" t="str">
        <f>IF($J98="","",IF(ISBLANK(INDEX('Product Backlog'!$E$5:$E$504,$J98)),"",INDEX('Product Backlog'!$E$5:$E$504,$J98)))</f>
        <v/>
      </c>
      <c r="F98" s="47" t="str">
        <f>IF($J98="","",IF(ISBLANK(INDEX('Product Backlog'!$F$5:$F$504,$J98)),"",INDEX('Product Backlog'!$F$5:$F$504,$J98)))</f>
        <v/>
      </c>
      <c r="G98" s="47" t="str">
        <f>IF($J98="","",IF(ISBLANK(INDEX('Product Backlog'!$G$5:$G$504,$J98)),"",INDEX('Product Backlog'!$G$5:$G$504,$J98)))</f>
        <v/>
      </c>
      <c r="H98" s="48" t="str">
        <f>IF($J98="","",IF(ISBLANK(INDEX('Product Backlog'!$H$5:$H$504,$J98)),"",INDEX('Product Backlog'!$H$5:$H$504,$J98)))</f>
        <v/>
      </c>
      <c r="I98" s="48" t="str">
        <f>IF($J98="","",IF(ISBLANK(INDEX('Product Backlog'!$I$5:$I$504,$J98)),"",INDEX('Product Backlog'!$I$5:$I$504,$J98)))</f>
        <v/>
      </c>
      <c r="J98" t="str">
        <f>IFERROR(MATCH($B$4&amp;"-"&amp;ROWS($A$10:A98),'Product Backlog'!$J$5:$J$504,0),"")</f>
        <v/>
      </c>
    </row>
    <row r="99" spans="1:10" ht="21" customHeight="1" x14ac:dyDescent="0.2">
      <c r="A99" s="46" t="str">
        <f>IF($J99="","",IF(ISBLANK(INDEX('Product Backlog'!$A$5:$A$504,$J99)),"",INDEX('Product Backlog'!$A$5:$A$504,$J99)))</f>
        <v/>
      </c>
      <c r="B99" s="46" t="str">
        <f>IF($J99="","",IF(ISBLANK(INDEX('Product Backlog'!$B$5:$B$504,$J99)),"",INDEX('Product Backlog'!$B$5:$B$504,$J99)))</f>
        <v/>
      </c>
      <c r="C99" s="46" t="str">
        <f>IF($J99="","",IF(ISBLANK(INDEX('Product Backlog'!$C$5:$C$504,$J99)),"",INDEX('Product Backlog'!$C$5:$C$504,$J99)))</f>
        <v/>
      </c>
      <c r="D99" s="46" t="str">
        <f>IF($J99="","",IF(ISBLANK(INDEX('Product Backlog'!$D$5:$D$504,$J99)),"",INDEX('Product Backlog'!$D$5:$D$504,$J99)))</f>
        <v/>
      </c>
      <c r="E99" s="46" t="str">
        <f>IF($J99="","",IF(ISBLANK(INDEX('Product Backlog'!$E$5:$E$504,$J99)),"",INDEX('Product Backlog'!$E$5:$E$504,$J99)))</f>
        <v/>
      </c>
      <c r="F99" s="47" t="str">
        <f>IF($J99="","",IF(ISBLANK(INDEX('Product Backlog'!$F$5:$F$504,$J99)),"",INDEX('Product Backlog'!$F$5:$F$504,$J99)))</f>
        <v/>
      </c>
      <c r="G99" s="47" t="str">
        <f>IF($J99="","",IF(ISBLANK(INDEX('Product Backlog'!$G$5:$G$504,$J99)),"",INDEX('Product Backlog'!$G$5:$G$504,$J99)))</f>
        <v/>
      </c>
      <c r="H99" s="48" t="str">
        <f>IF($J99="","",IF(ISBLANK(INDEX('Product Backlog'!$H$5:$H$504,$J99)),"",INDEX('Product Backlog'!$H$5:$H$504,$J99)))</f>
        <v/>
      </c>
      <c r="I99" s="48" t="str">
        <f>IF($J99="","",IF(ISBLANK(INDEX('Product Backlog'!$I$5:$I$504,$J99)),"",INDEX('Product Backlog'!$I$5:$I$504,$J99)))</f>
        <v/>
      </c>
      <c r="J99" t="str">
        <f>IFERROR(MATCH($B$4&amp;"-"&amp;ROWS($A$10:A99),'Product Backlog'!$J$5:$J$504,0),"")</f>
        <v/>
      </c>
    </row>
    <row r="100" spans="1:10" ht="21" customHeight="1" x14ac:dyDescent="0.2">
      <c r="A100" s="46" t="str">
        <f>IF($J100="","",IF(ISBLANK(INDEX('Product Backlog'!$A$5:$A$504,$J100)),"",INDEX('Product Backlog'!$A$5:$A$504,$J100)))</f>
        <v/>
      </c>
      <c r="B100" s="46" t="str">
        <f>IF($J100="","",IF(ISBLANK(INDEX('Product Backlog'!$B$5:$B$504,$J100)),"",INDEX('Product Backlog'!$B$5:$B$504,$J100)))</f>
        <v/>
      </c>
      <c r="C100" s="46" t="str">
        <f>IF($J100="","",IF(ISBLANK(INDEX('Product Backlog'!$C$5:$C$504,$J100)),"",INDEX('Product Backlog'!$C$5:$C$504,$J100)))</f>
        <v/>
      </c>
      <c r="D100" s="46" t="str">
        <f>IF($J100="","",IF(ISBLANK(INDEX('Product Backlog'!$D$5:$D$504,$J100)),"",INDEX('Product Backlog'!$D$5:$D$504,$J100)))</f>
        <v/>
      </c>
      <c r="E100" s="46" t="str">
        <f>IF($J100="","",IF(ISBLANK(INDEX('Product Backlog'!$E$5:$E$504,$J100)),"",INDEX('Product Backlog'!$E$5:$E$504,$J100)))</f>
        <v/>
      </c>
      <c r="F100" s="47" t="str">
        <f>IF($J100="","",IF(ISBLANK(INDEX('Product Backlog'!$F$5:$F$504,$J100)),"",INDEX('Product Backlog'!$F$5:$F$504,$J100)))</f>
        <v/>
      </c>
      <c r="G100" s="47" t="str">
        <f>IF($J100="","",IF(ISBLANK(INDEX('Product Backlog'!$G$5:$G$504,$J100)),"",INDEX('Product Backlog'!$G$5:$G$504,$J100)))</f>
        <v/>
      </c>
      <c r="H100" s="48" t="str">
        <f>IF($J100="","",IF(ISBLANK(INDEX('Product Backlog'!$H$5:$H$504,$J100)),"",INDEX('Product Backlog'!$H$5:$H$504,$J100)))</f>
        <v/>
      </c>
      <c r="I100" s="48" t="str">
        <f>IF($J100="","",IF(ISBLANK(INDEX('Product Backlog'!$I$5:$I$504,$J100)),"",INDEX('Product Backlog'!$I$5:$I$504,$J100)))</f>
        <v/>
      </c>
      <c r="J100" t="str">
        <f>IFERROR(MATCH($B$4&amp;"-"&amp;ROWS($A$10:A100),'Product Backlog'!$J$5:$J$504,0),"")</f>
        <v/>
      </c>
    </row>
    <row r="101" spans="1:10" ht="21" customHeight="1" x14ac:dyDescent="0.2">
      <c r="A101" s="46" t="str">
        <f>IF($J101="","",IF(ISBLANK(INDEX('Product Backlog'!$A$5:$A$504,$J101)),"",INDEX('Product Backlog'!$A$5:$A$504,$J101)))</f>
        <v/>
      </c>
      <c r="B101" s="46" t="str">
        <f>IF($J101="","",IF(ISBLANK(INDEX('Product Backlog'!$B$5:$B$504,$J101)),"",INDEX('Product Backlog'!$B$5:$B$504,$J101)))</f>
        <v/>
      </c>
      <c r="C101" s="46" t="str">
        <f>IF($J101="","",IF(ISBLANK(INDEX('Product Backlog'!$C$5:$C$504,$J101)),"",INDEX('Product Backlog'!$C$5:$C$504,$J101)))</f>
        <v/>
      </c>
      <c r="D101" s="46" t="str">
        <f>IF($J101="","",IF(ISBLANK(INDEX('Product Backlog'!$D$5:$D$504,$J101)),"",INDEX('Product Backlog'!$D$5:$D$504,$J101)))</f>
        <v/>
      </c>
      <c r="E101" s="46" t="str">
        <f>IF($J101="","",IF(ISBLANK(INDEX('Product Backlog'!$E$5:$E$504,$J101)),"",INDEX('Product Backlog'!$E$5:$E$504,$J101)))</f>
        <v/>
      </c>
      <c r="F101" s="47" t="str">
        <f>IF($J101="","",IF(ISBLANK(INDEX('Product Backlog'!$F$5:$F$504,$J101)),"",INDEX('Product Backlog'!$F$5:$F$504,$J101)))</f>
        <v/>
      </c>
      <c r="G101" s="47" t="str">
        <f>IF($J101="","",IF(ISBLANK(INDEX('Product Backlog'!$G$5:$G$504,$J101)),"",INDEX('Product Backlog'!$G$5:$G$504,$J101)))</f>
        <v/>
      </c>
      <c r="H101" s="48" t="str">
        <f>IF($J101="","",IF(ISBLANK(INDEX('Product Backlog'!$H$5:$H$504,$J101)),"",INDEX('Product Backlog'!$H$5:$H$504,$J101)))</f>
        <v/>
      </c>
      <c r="I101" s="48" t="str">
        <f>IF($J101="","",IF(ISBLANK(INDEX('Product Backlog'!$I$5:$I$504,$J101)),"",INDEX('Product Backlog'!$I$5:$I$504,$J101)))</f>
        <v/>
      </c>
      <c r="J101" t="str">
        <f>IFERROR(MATCH($B$4&amp;"-"&amp;ROWS($A$10:A101),'Product Backlog'!$J$5:$J$504,0),"")</f>
        <v/>
      </c>
    </row>
    <row r="102" spans="1:10" ht="21" customHeight="1" x14ac:dyDescent="0.2">
      <c r="A102" s="46" t="str">
        <f>IF($J102="","",IF(ISBLANK(INDEX('Product Backlog'!$A$5:$A$504,$J102)),"",INDEX('Product Backlog'!$A$5:$A$504,$J102)))</f>
        <v/>
      </c>
      <c r="B102" s="46" t="str">
        <f>IF($J102="","",IF(ISBLANK(INDEX('Product Backlog'!$B$5:$B$504,$J102)),"",INDEX('Product Backlog'!$B$5:$B$504,$J102)))</f>
        <v/>
      </c>
      <c r="C102" s="46" t="str">
        <f>IF($J102="","",IF(ISBLANK(INDEX('Product Backlog'!$C$5:$C$504,$J102)),"",INDEX('Product Backlog'!$C$5:$C$504,$J102)))</f>
        <v/>
      </c>
      <c r="D102" s="46" t="str">
        <f>IF($J102="","",IF(ISBLANK(INDEX('Product Backlog'!$D$5:$D$504,$J102)),"",INDEX('Product Backlog'!$D$5:$D$504,$J102)))</f>
        <v/>
      </c>
      <c r="E102" s="46" t="str">
        <f>IF($J102="","",IF(ISBLANK(INDEX('Product Backlog'!$E$5:$E$504,$J102)),"",INDEX('Product Backlog'!$E$5:$E$504,$J102)))</f>
        <v/>
      </c>
      <c r="F102" s="47" t="str">
        <f>IF($J102="","",IF(ISBLANK(INDEX('Product Backlog'!$F$5:$F$504,$J102)),"",INDEX('Product Backlog'!$F$5:$F$504,$J102)))</f>
        <v/>
      </c>
      <c r="G102" s="47" t="str">
        <f>IF($J102="","",IF(ISBLANK(INDEX('Product Backlog'!$G$5:$G$504,$J102)),"",INDEX('Product Backlog'!$G$5:$G$504,$J102)))</f>
        <v/>
      </c>
      <c r="H102" s="48" t="str">
        <f>IF($J102="","",IF(ISBLANK(INDEX('Product Backlog'!$H$5:$H$504,$J102)),"",INDEX('Product Backlog'!$H$5:$H$504,$J102)))</f>
        <v/>
      </c>
      <c r="I102" s="48" t="str">
        <f>IF($J102="","",IF(ISBLANK(INDEX('Product Backlog'!$I$5:$I$504,$J102)),"",INDEX('Product Backlog'!$I$5:$I$504,$J102)))</f>
        <v/>
      </c>
      <c r="J102" t="str">
        <f>IFERROR(MATCH($B$4&amp;"-"&amp;ROWS($A$10:A102),'Product Backlog'!$J$5:$J$504,0),"")</f>
        <v/>
      </c>
    </row>
    <row r="103" spans="1:10" ht="21" customHeight="1" x14ac:dyDescent="0.2">
      <c r="A103" s="46" t="str">
        <f>IF($J103="","",IF(ISBLANK(INDEX('Product Backlog'!$A$5:$A$504,$J103)),"",INDEX('Product Backlog'!$A$5:$A$504,$J103)))</f>
        <v/>
      </c>
      <c r="B103" s="46" t="str">
        <f>IF($J103="","",IF(ISBLANK(INDEX('Product Backlog'!$B$5:$B$504,$J103)),"",INDEX('Product Backlog'!$B$5:$B$504,$J103)))</f>
        <v/>
      </c>
      <c r="C103" s="46" t="str">
        <f>IF($J103="","",IF(ISBLANK(INDEX('Product Backlog'!$C$5:$C$504,$J103)),"",INDEX('Product Backlog'!$C$5:$C$504,$J103)))</f>
        <v/>
      </c>
      <c r="D103" s="46" t="str">
        <f>IF($J103="","",IF(ISBLANK(INDEX('Product Backlog'!$D$5:$D$504,$J103)),"",INDEX('Product Backlog'!$D$5:$D$504,$J103)))</f>
        <v/>
      </c>
      <c r="E103" s="46" t="str">
        <f>IF($J103="","",IF(ISBLANK(INDEX('Product Backlog'!$E$5:$E$504,$J103)),"",INDEX('Product Backlog'!$E$5:$E$504,$J103)))</f>
        <v/>
      </c>
      <c r="F103" s="47" t="str">
        <f>IF($J103="","",IF(ISBLANK(INDEX('Product Backlog'!$F$5:$F$504,$J103)),"",INDEX('Product Backlog'!$F$5:$F$504,$J103)))</f>
        <v/>
      </c>
      <c r="G103" s="47" t="str">
        <f>IF($J103="","",IF(ISBLANK(INDEX('Product Backlog'!$G$5:$G$504,$J103)),"",INDEX('Product Backlog'!$G$5:$G$504,$J103)))</f>
        <v/>
      </c>
      <c r="H103" s="48" t="str">
        <f>IF($J103="","",IF(ISBLANK(INDEX('Product Backlog'!$H$5:$H$504,$J103)),"",INDEX('Product Backlog'!$H$5:$H$504,$J103)))</f>
        <v/>
      </c>
      <c r="I103" s="48" t="str">
        <f>IF($J103="","",IF(ISBLANK(INDEX('Product Backlog'!$I$5:$I$504,$J103)),"",INDEX('Product Backlog'!$I$5:$I$504,$J103)))</f>
        <v/>
      </c>
      <c r="J103" t="str">
        <f>IFERROR(MATCH($B$4&amp;"-"&amp;ROWS($A$10:A103),'Product Backlog'!$J$5:$J$504,0),"")</f>
        <v/>
      </c>
    </row>
    <row r="104" spans="1:10" ht="21" customHeight="1" x14ac:dyDescent="0.2">
      <c r="A104" s="46" t="str">
        <f>IF($J104="","",IF(ISBLANK(INDEX('Product Backlog'!$A$5:$A$504,$J104)),"",INDEX('Product Backlog'!$A$5:$A$504,$J104)))</f>
        <v/>
      </c>
      <c r="B104" s="46" t="str">
        <f>IF($J104="","",IF(ISBLANK(INDEX('Product Backlog'!$B$5:$B$504,$J104)),"",INDEX('Product Backlog'!$B$5:$B$504,$J104)))</f>
        <v/>
      </c>
      <c r="C104" s="46" t="str">
        <f>IF($J104="","",IF(ISBLANK(INDEX('Product Backlog'!$C$5:$C$504,$J104)),"",INDEX('Product Backlog'!$C$5:$C$504,$J104)))</f>
        <v/>
      </c>
      <c r="D104" s="46" t="str">
        <f>IF($J104="","",IF(ISBLANK(INDEX('Product Backlog'!$D$5:$D$504,$J104)),"",INDEX('Product Backlog'!$D$5:$D$504,$J104)))</f>
        <v/>
      </c>
      <c r="E104" s="46" t="str">
        <f>IF($J104="","",IF(ISBLANK(INDEX('Product Backlog'!$E$5:$E$504,$J104)),"",INDEX('Product Backlog'!$E$5:$E$504,$J104)))</f>
        <v/>
      </c>
      <c r="F104" s="47" t="str">
        <f>IF($J104="","",IF(ISBLANK(INDEX('Product Backlog'!$F$5:$F$504,$J104)),"",INDEX('Product Backlog'!$F$5:$F$504,$J104)))</f>
        <v/>
      </c>
      <c r="G104" s="47" t="str">
        <f>IF($J104="","",IF(ISBLANK(INDEX('Product Backlog'!$G$5:$G$504,$J104)),"",INDEX('Product Backlog'!$G$5:$G$504,$J104)))</f>
        <v/>
      </c>
      <c r="H104" s="48" t="str">
        <f>IF($J104="","",IF(ISBLANK(INDEX('Product Backlog'!$H$5:$H$504,$J104)),"",INDEX('Product Backlog'!$H$5:$H$504,$J104)))</f>
        <v/>
      </c>
      <c r="I104" s="48" t="str">
        <f>IF($J104="","",IF(ISBLANK(INDEX('Product Backlog'!$I$5:$I$504,$J104)),"",INDEX('Product Backlog'!$I$5:$I$504,$J104)))</f>
        <v/>
      </c>
      <c r="J104" t="str">
        <f>IFERROR(MATCH($B$4&amp;"-"&amp;ROWS($A$10:A104),'Product Backlog'!$J$5:$J$504,0),"")</f>
        <v/>
      </c>
    </row>
    <row r="105" spans="1:10" ht="21" customHeight="1" x14ac:dyDescent="0.2">
      <c r="A105" s="46" t="str">
        <f>IF($J105="","",IF(ISBLANK(INDEX('Product Backlog'!$A$5:$A$504,$J105)),"",INDEX('Product Backlog'!$A$5:$A$504,$J105)))</f>
        <v/>
      </c>
      <c r="B105" s="46" t="str">
        <f>IF($J105="","",IF(ISBLANK(INDEX('Product Backlog'!$B$5:$B$504,$J105)),"",INDEX('Product Backlog'!$B$5:$B$504,$J105)))</f>
        <v/>
      </c>
      <c r="C105" s="46" t="str">
        <f>IF($J105="","",IF(ISBLANK(INDEX('Product Backlog'!$C$5:$C$504,$J105)),"",INDEX('Product Backlog'!$C$5:$C$504,$J105)))</f>
        <v/>
      </c>
      <c r="D105" s="46" t="str">
        <f>IF($J105="","",IF(ISBLANK(INDEX('Product Backlog'!$D$5:$D$504,$J105)),"",INDEX('Product Backlog'!$D$5:$D$504,$J105)))</f>
        <v/>
      </c>
      <c r="E105" s="46" t="str">
        <f>IF($J105="","",IF(ISBLANK(INDEX('Product Backlog'!$E$5:$E$504,$J105)),"",INDEX('Product Backlog'!$E$5:$E$504,$J105)))</f>
        <v/>
      </c>
      <c r="F105" s="47" t="str">
        <f>IF($J105="","",IF(ISBLANK(INDEX('Product Backlog'!$F$5:$F$504,$J105)),"",INDEX('Product Backlog'!$F$5:$F$504,$J105)))</f>
        <v/>
      </c>
      <c r="G105" s="47" t="str">
        <f>IF($J105="","",IF(ISBLANK(INDEX('Product Backlog'!$G$5:$G$504,$J105)),"",INDEX('Product Backlog'!$G$5:$G$504,$J105)))</f>
        <v/>
      </c>
      <c r="H105" s="48" t="str">
        <f>IF($J105="","",IF(ISBLANK(INDEX('Product Backlog'!$H$5:$H$504,$J105)),"",INDEX('Product Backlog'!$H$5:$H$504,$J105)))</f>
        <v/>
      </c>
      <c r="I105" s="48" t="str">
        <f>IF($J105="","",IF(ISBLANK(INDEX('Product Backlog'!$I$5:$I$504,$J105)),"",INDEX('Product Backlog'!$I$5:$I$504,$J105)))</f>
        <v/>
      </c>
      <c r="J105" t="str">
        <f>IFERROR(MATCH($B$4&amp;"-"&amp;ROWS($A$10:A105),'Product Backlog'!$J$5:$J$504,0),"")</f>
        <v/>
      </c>
    </row>
    <row r="106" spans="1:10" ht="21" customHeight="1" x14ac:dyDescent="0.2">
      <c r="A106" s="46" t="str">
        <f>IF($J106="","",IF(ISBLANK(INDEX('Product Backlog'!$A$5:$A$504,$J106)),"",INDEX('Product Backlog'!$A$5:$A$504,$J106)))</f>
        <v/>
      </c>
      <c r="B106" s="46" t="str">
        <f>IF($J106="","",IF(ISBLANK(INDEX('Product Backlog'!$B$5:$B$504,$J106)),"",INDEX('Product Backlog'!$B$5:$B$504,$J106)))</f>
        <v/>
      </c>
      <c r="C106" s="46" t="str">
        <f>IF($J106="","",IF(ISBLANK(INDEX('Product Backlog'!$C$5:$C$504,$J106)),"",INDEX('Product Backlog'!$C$5:$C$504,$J106)))</f>
        <v/>
      </c>
      <c r="D106" s="46" t="str">
        <f>IF($J106="","",IF(ISBLANK(INDEX('Product Backlog'!$D$5:$D$504,$J106)),"",INDEX('Product Backlog'!$D$5:$D$504,$J106)))</f>
        <v/>
      </c>
      <c r="E106" s="46" t="str">
        <f>IF($J106="","",IF(ISBLANK(INDEX('Product Backlog'!$E$5:$E$504,$J106)),"",INDEX('Product Backlog'!$E$5:$E$504,$J106)))</f>
        <v/>
      </c>
      <c r="F106" s="47" t="str">
        <f>IF($J106="","",IF(ISBLANK(INDEX('Product Backlog'!$F$5:$F$504,$J106)),"",INDEX('Product Backlog'!$F$5:$F$504,$J106)))</f>
        <v/>
      </c>
      <c r="G106" s="47" t="str">
        <f>IF($J106="","",IF(ISBLANK(INDEX('Product Backlog'!$G$5:$G$504,$J106)),"",INDEX('Product Backlog'!$G$5:$G$504,$J106)))</f>
        <v/>
      </c>
      <c r="H106" s="48" t="str">
        <f>IF($J106="","",IF(ISBLANK(INDEX('Product Backlog'!$H$5:$H$504,$J106)),"",INDEX('Product Backlog'!$H$5:$H$504,$J106)))</f>
        <v/>
      </c>
      <c r="I106" s="48" t="str">
        <f>IF($J106="","",IF(ISBLANK(INDEX('Product Backlog'!$I$5:$I$504,$J106)),"",INDEX('Product Backlog'!$I$5:$I$504,$J106)))</f>
        <v/>
      </c>
      <c r="J106" t="str">
        <f>IFERROR(MATCH($B$4&amp;"-"&amp;ROWS($A$10:A106),'Product Backlog'!$J$5:$J$504,0),"")</f>
        <v/>
      </c>
    </row>
    <row r="107" spans="1:10" ht="21" customHeight="1" x14ac:dyDescent="0.2">
      <c r="A107" s="46" t="str">
        <f>IF($J107="","",IF(ISBLANK(INDEX('Product Backlog'!$A$5:$A$504,$J107)),"",INDEX('Product Backlog'!$A$5:$A$504,$J107)))</f>
        <v/>
      </c>
      <c r="B107" s="46" t="str">
        <f>IF($J107="","",IF(ISBLANK(INDEX('Product Backlog'!$B$5:$B$504,$J107)),"",INDEX('Product Backlog'!$B$5:$B$504,$J107)))</f>
        <v/>
      </c>
      <c r="C107" s="46" t="str">
        <f>IF($J107="","",IF(ISBLANK(INDEX('Product Backlog'!$C$5:$C$504,$J107)),"",INDEX('Product Backlog'!$C$5:$C$504,$J107)))</f>
        <v/>
      </c>
      <c r="D107" s="46" t="str">
        <f>IF($J107="","",IF(ISBLANK(INDEX('Product Backlog'!$D$5:$D$504,$J107)),"",INDEX('Product Backlog'!$D$5:$D$504,$J107)))</f>
        <v/>
      </c>
      <c r="E107" s="46" t="str">
        <f>IF($J107="","",IF(ISBLANK(INDEX('Product Backlog'!$E$5:$E$504,$J107)),"",INDEX('Product Backlog'!$E$5:$E$504,$J107)))</f>
        <v/>
      </c>
      <c r="F107" s="47" t="str">
        <f>IF($J107="","",IF(ISBLANK(INDEX('Product Backlog'!$F$5:$F$504,$J107)),"",INDEX('Product Backlog'!$F$5:$F$504,$J107)))</f>
        <v/>
      </c>
      <c r="G107" s="47" t="str">
        <f>IF($J107="","",IF(ISBLANK(INDEX('Product Backlog'!$G$5:$G$504,$J107)),"",INDEX('Product Backlog'!$G$5:$G$504,$J107)))</f>
        <v/>
      </c>
      <c r="H107" s="48" t="str">
        <f>IF($J107="","",IF(ISBLANK(INDEX('Product Backlog'!$H$5:$H$504,$J107)),"",INDEX('Product Backlog'!$H$5:$H$504,$J107)))</f>
        <v/>
      </c>
      <c r="I107" s="48" t="str">
        <f>IF($J107="","",IF(ISBLANK(INDEX('Product Backlog'!$I$5:$I$504,$J107)),"",INDEX('Product Backlog'!$I$5:$I$504,$J107)))</f>
        <v/>
      </c>
      <c r="J107" t="str">
        <f>IFERROR(MATCH($B$4&amp;"-"&amp;ROWS($A$10:A107),'Product Backlog'!$J$5:$J$504,0),"")</f>
        <v/>
      </c>
    </row>
    <row r="108" spans="1:10" ht="21" customHeight="1" x14ac:dyDescent="0.2">
      <c r="A108" s="46" t="str">
        <f>IF($J108="","",IF(ISBLANK(INDEX('Product Backlog'!$A$5:$A$504,$J108)),"",INDEX('Product Backlog'!$A$5:$A$504,$J108)))</f>
        <v/>
      </c>
      <c r="B108" s="46" t="str">
        <f>IF($J108="","",IF(ISBLANK(INDEX('Product Backlog'!$B$5:$B$504,$J108)),"",INDEX('Product Backlog'!$B$5:$B$504,$J108)))</f>
        <v/>
      </c>
      <c r="C108" s="46" t="str">
        <f>IF($J108="","",IF(ISBLANK(INDEX('Product Backlog'!$C$5:$C$504,$J108)),"",INDEX('Product Backlog'!$C$5:$C$504,$J108)))</f>
        <v/>
      </c>
      <c r="D108" s="46" t="str">
        <f>IF($J108="","",IF(ISBLANK(INDEX('Product Backlog'!$D$5:$D$504,$J108)),"",INDEX('Product Backlog'!$D$5:$D$504,$J108)))</f>
        <v/>
      </c>
      <c r="E108" s="46" t="str">
        <f>IF($J108="","",IF(ISBLANK(INDEX('Product Backlog'!$E$5:$E$504,$J108)),"",INDEX('Product Backlog'!$E$5:$E$504,$J108)))</f>
        <v/>
      </c>
      <c r="F108" s="47" t="str">
        <f>IF($J108="","",IF(ISBLANK(INDEX('Product Backlog'!$F$5:$F$504,$J108)),"",INDEX('Product Backlog'!$F$5:$F$504,$J108)))</f>
        <v/>
      </c>
      <c r="G108" s="47" t="str">
        <f>IF($J108="","",IF(ISBLANK(INDEX('Product Backlog'!$G$5:$G$504,$J108)),"",INDEX('Product Backlog'!$G$5:$G$504,$J108)))</f>
        <v/>
      </c>
      <c r="H108" s="48" t="str">
        <f>IF($J108="","",IF(ISBLANK(INDEX('Product Backlog'!$H$5:$H$504,$J108)),"",INDEX('Product Backlog'!$H$5:$H$504,$J108)))</f>
        <v/>
      </c>
      <c r="I108" s="48" t="str">
        <f>IF($J108="","",IF(ISBLANK(INDEX('Product Backlog'!$I$5:$I$504,$J108)),"",INDEX('Product Backlog'!$I$5:$I$504,$J108)))</f>
        <v/>
      </c>
      <c r="J108" t="str">
        <f>IFERROR(MATCH($B$4&amp;"-"&amp;ROWS($A$10:A108),'Product Backlog'!$J$5:$J$504,0),"")</f>
        <v/>
      </c>
    </row>
    <row r="109" spans="1:10" ht="21" customHeight="1" x14ac:dyDescent="0.2">
      <c r="A109" s="46" t="str">
        <f>IF($J109="","",IF(ISBLANK(INDEX('Product Backlog'!$A$5:$A$504,$J109)),"",INDEX('Product Backlog'!$A$5:$A$504,$J109)))</f>
        <v/>
      </c>
      <c r="B109" s="46" t="str">
        <f>IF($J109="","",IF(ISBLANK(INDEX('Product Backlog'!$B$5:$B$504,$J109)),"",INDEX('Product Backlog'!$B$5:$B$504,$J109)))</f>
        <v/>
      </c>
      <c r="C109" s="46" t="str">
        <f>IF($J109="","",IF(ISBLANK(INDEX('Product Backlog'!$C$5:$C$504,$J109)),"",INDEX('Product Backlog'!$C$5:$C$504,$J109)))</f>
        <v/>
      </c>
      <c r="D109" s="46" t="str">
        <f>IF($J109="","",IF(ISBLANK(INDEX('Product Backlog'!$D$5:$D$504,$J109)),"",INDEX('Product Backlog'!$D$5:$D$504,$J109)))</f>
        <v/>
      </c>
      <c r="E109" s="46" t="str">
        <f>IF($J109="","",IF(ISBLANK(INDEX('Product Backlog'!$E$5:$E$504,$J109)),"",INDEX('Product Backlog'!$E$5:$E$504,$J109)))</f>
        <v/>
      </c>
      <c r="F109" s="47" t="str">
        <f>IF($J109="","",IF(ISBLANK(INDEX('Product Backlog'!$F$5:$F$504,$J109)),"",INDEX('Product Backlog'!$F$5:$F$504,$J109)))</f>
        <v/>
      </c>
      <c r="G109" s="47" t="str">
        <f>IF($J109="","",IF(ISBLANK(INDEX('Product Backlog'!$G$5:$G$504,$J109)),"",INDEX('Product Backlog'!$G$5:$G$504,$J109)))</f>
        <v/>
      </c>
      <c r="H109" s="48" t="str">
        <f>IF($J109="","",IF(ISBLANK(INDEX('Product Backlog'!$H$5:$H$504,$J109)),"",INDEX('Product Backlog'!$H$5:$H$504,$J109)))</f>
        <v/>
      </c>
      <c r="I109" s="48" t="str">
        <f>IF($J109="","",IF(ISBLANK(INDEX('Product Backlog'!$I$5:$I$504,$J109)),"",INDEX('Product Backlog'!$I$5:$I$504,$J109)))</f>
        <v/>
      </c>
      <c r="J109" t="str">
        <f>IFERROR(MATCH($B$4&amp;"-"&amp;ROWS($A$10:A109),'Product Backlog'!$J$5:$J$504,0),"")</f>
        <v/>
      </c>
    </row>
    <row r="110" spans="1:10" ht="21" customHeight="1" x14ac:dyDescent="0.2">
      <c r="A110" s="46"/>
      <c r="B110" s="46"/>
      <c r="C110" s="46"/>
      <c r="D110" s="46"/>
      <c r="E110" s="46"/>
      <c r="F110" s="47"/>
      <c r="G110" s="47"/>
      <c r="H110" s="48"/>
      <c r="I110" s="48"/>
    </row>
    <row r="111" spans="1:10" ht="21" customHeight="1" x14ac:dyDescent="0.2">
      <c r="A111" s="46"/>
      <c r="B111" s="46"/>
      <c r="C111" s="46"/>
      <c r="D111" s="46"/>
      <c r="E111" s="46"/>
      <c r="F111" s="47"/>
      <c r="G111" s="47"/>
      <c r="H111" s="48"/>
      <c r="I111" s="48"/>
    </row>
    <row r="112" spans="1:10" ht="21" customHeight="1" x14ac:dyDescent="0.2">
      <c r="A112" s="46"/>
      <c r="B112" s="46"/>
      <c r="C112" s="46"/>
      <c r="D112" s="46"/>
      <c r="E112" s="46"/>
      <c r="F112" s="47"/>
      <c r="G112" s="47"/>
      <c r="H112" s="48"/>
      <c r="I112" s="48"/>
    </row>
    <row r="113" spans="1:9" ht="21" customHeight="1" x14ac:dyDescent="0.2">
      <c r="A113" s="46"/>
      <c r="B113" s="46"/>
      <c r="C113" s="46"/>
      <c r="D113" s="46"/>
      <c r="E113" s="46"/>
      <c r="F113" s="47"/>
      <c r="G113" s="47"/>
      <c r="H113" s="48"/>
      <c r="I113" s="48"/>
    </row>
    <row r="114" spans="1:9" ht="21" customHeight="1" x14ac:dyDescent="0.2">
      <c r="A114" s="46"/>
      <c r="B114" s="46"/>
      <c r="C114" s="46"/>
      <c r="D114" s="46"/>
      <c r="E114" s="46"/>
      <c r="F114" s="47"/>
      <c r="G114" s="47"/>
      <c r="H114" s="48"/>
      <c r="I114" s="48"/>
    </row>
    <row r="115" spans="1:9" ht="21" customHeight="1" x14ac:dyDescent="0.2">
      <c r="A115" s="46"/>
      <c r="B115" s="46"/>
      <c r="C115" s="46"/>
      <c r="D115" s="46"/>
      <c r="E115" s="46"/>
      <c r="F115" s="47"/>
      <c r="G115" s="47"/>
      <c r="H115" s="48"/>
      <c r="I115" s="48"/>
    </row>
    <row r="116" spans="1:9" ht="21" customHeight="1" x14ac:dyDescent="0.2">
      <c r="A116" s="46"/>
      <c r="B116" s="46"/>
      <c r="C116" s="46"/>
      <c r="D116" s="46"/>
      <c r="E116" s="46"/>
      <c r="F116" s="47"/>
      <c r="G116" s="47"/>
      <c r="H116" s="48"/>
      <c r="I116" s="48"/>
    </row>
    <row r="117" spans="1:9" ht="21" customHeight="1" x14ac:dyDescent="0.2">
      <c r="A117" s="46"/>
      <c r="B117" s="46"/>
      <c r="C117" s="46"/>
      <c r="D117" s="46"/>
      <c r="E117" s="46"/>
      <c r="F117" s="47"/>
      <c r="G117" s="47"/>
      <c r="H117" s="48"/>
      <c r="I117" s="48"/>
    </row>
    <row r="118" spans="1:9" ht="21" customHeight="1" x14ac:dyDescent="0.2">
      <c r="A118" s="46"/>
      <c r="B118" s="46"/>
      <c r="C118" s="46"/>
      <c r="D118" s="46"/>
      <c r="E118" s="46"/>
      <c r="F118" s="47"/>
      <c r="G118" s="47"/>
      <c r="H118" s="48"/>
      <c r="I118" s="48"/>
    </row>
    <row r="119" spans="1:9" ht="21" customHeight="1" x14ac:dyDescent="0.2">
      <c r="A119" s="46"/>
      <c r="B119" s="46"/>
      <c r="C119" s="46"/>
      <c r="D119" s="46"/>
      <c r="E119" s="46"/>
      <c r="F119" s="47"/>
      <c r="G119" s="47"/>
      <c r="H119" s="48"/>
      <c r="I119" s="48"/>
    </row>
    <row r="120" spans="1:9" ht="21" customHeight="1" x14ac:dyDescent="0.2">
      <c r="A120" s="46"/>
      <c r="B120" s="46"/>
      <c r="C120" s="46"/>
      <c r="D120" s="46"/>
      <c r="E120" s="46"/>
      <c r="F120" s="47"/>
      <c r="G120" s="47"/>
      <c r="H120" s="48"/>
      <c r="I120" s="48"/>
    </row>
    <row r="121" spans="1:9" ht="21" customHeight="1" x14ac:dyDescent="0.2">
      <c r="A121" s="46"/>
      <c r="B121" s="46"/>
      <c r="C121" s="46"/>
      <c r="D121" s="46"/>
      <c r="E121" s="46"/>
      <c r="F121" s="47"/>
      <c r="G121" s="47"/>
      <c r="H121" s="48"/>
      <c r="I121" s="48"/>
    </row>
    <row r="122" spans="1:9" ht="21" customHeight="1" x14ac:dyDescent="0.2">
      <c r="A122" s="46"/>
      <c r="B122" s="46"/>
      <c r="C122" s="46"/>
      <c r="D122" s="46"/>
      <c r="E122" s="46"/>
      <c r="F122" s="47"/>
      <c r="G122" s="47"/>
      <c r="H122" s="48"/>
      <c r="I122" s="48"/>
    </row>
    <row r="123" spans="1:9" ht="21" customHeight="1" x14ac:dyDescent="0.2">
      <c r="A123" s="46"/>
      <c r="B123" s="46"/>
      <c r="C123" s="46"/>
      <c r="D123" s="46"/>
      <c r="E123" s="46"/>
      <c r="F123" s="47"/>
      <c r="G123" s="47"/>
      <c r="H123" s="48"/>
      <c r="I123" s="48"/>
    </row>
    <row r="124" spans="1:9" ht="21" customHeight="1" x14ac:dyDescent="0.2">
      <c r="A124" s="46"/>
      <c r="B124" s="46"/>
      <c r="C124" s="46"/>
      <c r="D124" s="46"/>
      <c r="E124" s="46"/>
      <c r="F124" s="47"/>
      <c r="G124" s="47"/>
      <c r="H124" s="48"/>
      <c r="I124" s="48"/>
    </row>
    <row r="125" spans="1:9" ht="21" customHeight="1" x14ac:dyDescent="0.2">
      <c r="A125" s="46"/>
      <c r="B125" s="46"/>
      <c r="C125" s="46"/>
      <c r="D125" s="46"/>
      <c r="E125" s="46"/>
      <c r="F125" s="47"/>
      <c r="G125" s="47"/>
      <c r="H125" s="48"/>
      <c r="I125" s="48"/>
    </row>
    <row r="126" spans="1:9" ht="21" customHeight="1" x14ac:dyDescent="0.2">
      <c r="A126" s="46"/>
      <c r="B126" s="46"/>
      <c r="C126" s="46"/>
      <c r="D126" s="46"/>
      <c r="E126" s="46"/>
      <c r="F126" s="47"/>
      <c r="G126" s="47"/>
      <c r="H126" s="48"/>
      <c r="I126" s="48"/>
    </row>
    <row r="127" spans="1:9" ht="21" customHeight="1" x14ac:dyDescent="0.2">
      <c r="A127" s="46"/>
      <c r="B127" s="46"/>
      <c r="C127" s="46"/>
      <c r="D127" s="46"/>
      <c r="E127" s="46"/>
      <c r="F127" s="47"/>
      <c r="G127" s="47"/>
      <c r="H127" s="48"/>
      <c r="I127" s="48"/>
    </row>
    <row r="128" spans="1:9" ht="21" customHeight="1" x14ac:dyDescent="0.2">
      <c r="A128" s="46"/>
      <c r="B128" s="46"/>
      <c r="C128" s="46"/>
      <c r="D128" s="46"/>
      <c r="E128" s="46"/>
      <c r="F128" s="47"/>
      <c r="G128" s="47"/>
      <c r="H128" s="48"/>
      <c r="I128" s="48"/>
    </row>
    <row r="129" spans="1:9" ht="21" customHeight="1" x14ac:dyDescent="0.2">
      <c r="A129" s="46"/>
      <c r="B129" s="46"/>
      <c r="C129" s="46"/>
      <c r="D129" s="46"/>
      <c r="E129" s="46"/>
      <c r="F129" s="47"/>
      <c r="G129" s="47"/>
      <c r="H129" s="48"/>
      <c r="I129" s="48"/>
    </row>
    <row r="130" spans="1:9" ht="21" customHeight="1" x14ac:dyDescent="0.2">
      <c r="A130" s="46"/>
      <c r="B130" s="46"/>
      <c r="C130" s="46"/>
      <c r="D130" s="46"/>
      <c r="E130" s="46"/>
      <c r="F130" s="47"/>
      <c r="G130" s="47"/>
      <c r="H130" s="48"/>
      <c r="I130" s="48"/>
    </row>
    <row r="131" spans="1:9" ht="21" customHeight="1" x14ac:dyDescent="0.2">
      <c r="A131" s="46"/>
      <c r="B131" s="46"/>
      <c r="C131" s="46"/>
      <c r="D131" s="46"/>
      <c r="E131" s="46"/>
      <c r="F131" s="47"/>
      <c r="G131" s="47"/>
      <c r="H131" s="48"/>
      <c r="I131" s="48"/>
    </row>
    <row r="132" spans="1:9" ht="21" customHeight="1" x14ac:dyDescent="0.2">
      <c r="A132" s="46"/>
      <c r="B132" s="46"/>
      <c r="C132" s="46"/>
      <c r="D132" s="46"/>
      <c r="E132" s="46"/>
      <c r="F132" s="47"/>
      <c r="G132" s="47"/>
      <c r="H132" s="48"/>
      <c r="I132" s="48"/>
    </row>
    <row r="133" spans="1:9" ht="21" customHeight="1" x14ac:dyDescent="0.2">
      <c r="A133" s="46"/>
      <c r="B133" s="46"/>
      <c r="C133" s="46"/>
      <c r="D133" s="46"/>
      <c r="E133" s="46"/>
      <c r="F133" s="47"/>
      <c r="G133" s="47"/>
      <c r="H133" s="48"/>
      <c r="I133" s="48"/>
    </row>
    <row r="134" spans="1:9" ht="21" customHeight="1" x14ac:dyDescent="0.2">
      <c r="A134" s="46"/>
      <c r="B134" s="46"/>
      <c r="C134" s="46"/>
      <c r="D134" s="46"/>
      <c r="E134" s="46"/>
      <c r="F134" s="47"/>
      <c r="G134" s="47"/>
      <c r="H134" s="48"/>
      <c r="I134" s="48"/>
    </row>
    <row r="135" spans="1:9" ht="21" customHeight="1" x14ac:dyDescent="0.2">
      <c r="A135" s="46"/>
      <c r="B135" s="46"/>
      <c r="C135" s="46"/>
      <c r="D135" s="46"/>
      <c r="E135" s="46"/>
      <c r="F135" s="47"/>
      <c r="G135" s="47"/>
      <c r="H135" s="48"/>
      <c r="I135" s="48"/>
    </row>
    <row r="136" spans="1:9" ht="21" customHeight="1" x14ac:dyDescent="0.2">
      <c r="A136" s="46"/>
      <c r="B136" s="46"/>
      <c r="C136" s="46"/>
      <c r="D136" s="46"/>
      <c r="E136" s="46"/>
      <c r="F136" s="47"/>
      <c r="G136" s="47"/>
      <c r="H136" s="48"/>
      <c r="I136" s="48"/>
    </row>
    <row r="137" spans="1:9" ht="21" customHeight="1" x14ac:dyDescent="0.2">
      <c r="A137" s="46"/>
      <c r="B137" s="46"/>
      <c r="C137" s="46"/>
      <c r="D137" s="46"/>
      <c r="E137" s="46"/>
      <c r="F137" s="47"/>
      <c r="G137" s="47"/>
      <c r="H137" s="48"/>
      <c r="I137" s="48"/>
    </row>
    <row r="138" spans="1:9" ht="21" customHeight="1" x14ac:dyDescent="0.2">
      <c r="A138" s="46"/>
      <c r="B138" s="46"/>
      <c r="C138" s="46"/>
      <c r="D138" s="46"/>
      <c r="E138" s="46"/>
      <c r="F138" s="47"/>
      <c r="G138" s="47"/>
      <c r="H138" s="48"/>
      <c r="I138" s="48"/>
    </row>
    <row r="139" spans="1:9" ht="21" customHeight="1" x14ac:dyDescent="0.2">
      <c r="A139" s="46"/>
      <c r="B139" s="46"/>
      <c r="C139" s="46"/>
      <c r="D139" s="46"/>
      <c r="E139" s="46"/>
      <c r="F139" s="47"/>
      <c r="G139" s="47"/>
      <c r="H139" s="48"/>
      <c r="I139" s="48"/>
    </row>
    <row r="140" spans="1:9" ht="21" customHeight="1" x14ac:dyDescent="0.2">
      <c r="A140" s="46"/>
      <c r="B140" s="46"/>
      <c r="C140" s="46"/>
      <c r="D140" s="46"/>
      <c r="E140" s="46"/>
      <c r="F140" s="47"/>
      <c r="G140" s="47"/>
      <c r="H140" s="48"/>
      <c r="I140" s="48"/>
    </row>
    <row r="141" spans="1:9" ht="21" customHeight="1" x14ac:dyDescent="0.2">
      <c r="A141" s="46"/>
      <c r="B141" s="46"/>
      <c r="C141" s="46"/>
      <c r="D141" s="46"/>
      <c r="E141" s="46"/>
      <c r="F141" s="47"/>
      <c r="G141" s="47"/>
      <c r="H141" s="48"/>
      <c r="I141" s="48"/>
    </row>
    <row r="142" spans="1:9" ht="21" customHeight="1" x14ac:dyDescent="0.2">
      <c r="A142" s="46"/>
      <c r="B142" s="46"/>
      <c r="C142" s="46"/>
      <c r="D142" s="46"/>
      <c r="E142" s="46"/>
      <c r="F142" s="47"/>
      <c r="G142" s="47"/>
      <c r="H142" s="48"/>
      <c r="I142" s="48"/>
    </row>
    <row r="143" spans="1:9" ht="21" customHeight="1" x14ac:dyDescent="0.2">
      <c r="A143" s="46"/>
      <c r="B143" s="46"/>
      <c r="C143" s="46"/>
      <c r="D143" s="46"/>
      <c r="E143" s="46"/>
      <c r="F143" s="47"/>
      <c r="G143" s="47"/>
      <c r="H143" s="48"/>
      <c r="I143" s="48"/>
    </row>
    <row r="144" spans="1:9" ht="21" customHeight="1" x14ac:dyDescent="0.2">
      <c r="A144" s="46"/>
      <c r="B144" s="46"/>
      <c r="C144" s="46"/>
      <c r="D144" s="46"/>
      <c r="E144" s="46"/>
      <c r="F144" s="47"/>
      <c r="G144" s="47"/>
      <c r="H144" s="48"/>
      <c r="I144" s="48"/>
    </row>
    <row r="145" spans="1:9" ht="21" customHeight="1" x14ac:dyDescent="0.2">
      <c r="A145" s="46"/>
      <c r="B145" s="46"/>
      <c r="C145" s="46"/>
      <c r="D145" s="46"/>
      <c r="E145" s="46"/>
      <c r="F145" s="47"/>
      <c r="G145" s="47"/>
      <c r="H145" s="48"/>
      <c r="I145" s="48"/>
    </row>
    <row r="146" spans="1:9" ht="21" customHeight="1" x14ac:dyDescent="0.2">
      <c r="A146" s="46"/>
      <c r="B146" s="46"/>
      <c r="C146" s="46"/>
      <c r="D146" s="46"/>
      <c r="E146" s="46"/>
      <c r="F146" s="47"/>
      <c r="G146" s="47"/>
      <c r="H146" s="48"/>
      <c r="I146" s="48"/>
    </row>
    <row r="147" spans="1:9" ht="21" customHeight="1" x14ac:dyDescent="0.2">
      <c r="A147" s="46"/>
      <c r="B147" s="46"/>
      <c r="C147" s="46"/>
      <c r="D147" s="46"/>
      <c r="E147" s="46"/>
      <c r="F147" s="47"/>
      <c r="G147" s="47"/>
      <c r="H147" s="48"/>
      <c r="I147" s="48"/>
    </row>
    <row r="148" spans="1:9" ht="21" customHeight="1" x14ac:dyDescent="0.2">
      <c r="A148" s="46"/>
      <c r="B148" s="46"/>
      <c r="C148" s="46"/>
      <c r="D148" s="46"/>
      <c r="E148" s="46"/>
      <c r="F148" s="47"/>
      <c r="G148" s="47"/>
      <c r="H148" s="48"/>
      <c r="I148" s="48"/>
    </row>
    <row r="149" spans="1:9" ht="21" customHeight="1" x14ac:dyDescent="0.2">
      <c r="A149" s="46"/>
      <c r="B149" s="46"/>
      <c r="C149" s="46"/>
      <c r="D149" s="46"/>
      <c r="E149" s="46"/>
      <c r="F149" s="47"/>
      <c r="G149" s="47"/>
      <c r="H149" s="48"/>
      <c r="I149" s="48"/>
    </row>
    <row r="150" spans="1:9" ht="21" customHeight="1" x14ac:dyDescent="0.2">
      <c r="A150" s="46"/>
      <c r="B150" s="46"/>
      <c r="C150" s="46"/>
      <c r="D150" s="46"/>
      <c r="E150" s="46"/>
      <c r="F150" s="47"/>
      <c r="G150" s="47"/>
      <c r="H150" s="48"/>
      <c r="I150" s="48"/>
    </row>
    <row r="151" spans="1:9" ht="21" customHeight="1" x14ac:dyDescent="0.2">
      <c r="A151" s="46"/>
      <c r="B151" s="46"/>
      <c r="C151" s="46"/>
      <c r="D151" s="46"/>
      <c r="E151" s="46"/>
      <c r="F151" s="47"/>
      <c r="G151" s="47"/>
      <c r="H151" s="48"/>
      <c r="I151" s="48"/>
    </row>
    <row r="152" spans="1:9" ht="21" customHeight="1" x14ac:dyDescent="0.2">
      <c r="A152" s="46"/>
      <c r="B152" s="46"/>
      <c r="C152" s="46"/>
      <c r="D152" s="46"/>
      <c r="E152" s="46"/>
      <c r="F152" s="47"/>
      <c r="G152" s="47"/>
      <c r="H152" s="48"/>
      <c r="I152" s="48"/>
    </row>
    <row r="153" spans="1:9" ht="21" customHeight="1" x14ac:dyDescent="0.2">
      <c r="A153" s="46"/>
      <c r="B153" s="46"/>
      <c r="C153" s="46"/>
      <c r="D153" s="46"/>
      <c r="E153" s="46"/>
      <c r="F153" s="47"/>
      <c r="G153" s="47"/>
      <c r="H153" s="48"/>
      <c r="I153" s="48"/>
    </row>
    <row r="154" spans="1:9" ht="21" customHeight="1" x14ac:dyDescent="0.2">
      <c r="A154" s="46"/>
      <c r="B154" s="46"/>
      <c r="C154" s="46"/>
      <c r="D154" s="46"/>
      <c r="E154" s="46"/>
      <c r="F154" s="47"/>
      <c r="G154" s="47"/>
      <c r="H154" s="48"/>
      <c r="I154" s="48"/>
    </row>
    <row r="155" spans="1:9" ht="21" customHeight="1" x14ac:dyDescent="0.2">
      <c r="A155" s="46"/>
      <c r="B155" s="46"/>
      <c r="C155" s="46"/>
      <c r="D155" s="46"/>
      <c r="E155" s="46"/>
      <c r="F155" s="47"/>
      <c r="G155" s="47"/>
      <c r="H155" s="48"/>
      <c r="I155" s="48"/>
    </row>
    <row r="156" spans="1:9" ht="21" customHeight="1" x14ac:dyDescent="0.2">
      <c r="A156" s="46"/>
      <c r="B156" s="46"/>
      <c r="C156" s="46"/>
      <c r="D156" s="46"/>
      <c r="E156" s="46"/>
      <c r="F156" s="47"/>
      <c r="G156" s="47"/>
      <c r="H156" s="48"/>
      <c r="I156" s="48"/>
    </row>
    <row r="157" spans="1:9" ht="21" customHeight="1" x14ac:dyDescent="0.2">
      <c r="A157" s="46"/>
      <c r="B157" s="46"/>
      <c r="C157" s="46"/>
      <c r="D157" s="46"/>
      <c r="E157" s="46"/>
      <c r="F157" s="47"/>
      <c r="G157" s="47"/>
      <c r="H157" s="48"/>
      <c r="I157" s="48"/>
    </row>
    <row r="158" spans="1:9" ht="21" customHeight="1" x14ac:dyDescent="0.2">
      <c r="A158" s="46"/>
      <c r="B158" s="46"/>
      <c r="C158" s="46"/>
      <c r="D158" s="46"/>
      <c r="E158" s="46"/>
      <c r="F158" s="47"/>
      <c r="G158" s="47"/>
      <c r="H158" s="48"/>
      <c r="I158" s="48"/>
    </row>
    <row r="159" spans="1:9" ht="21" customHeight="1" x14ac:dyDescent="0.2">
      <c r="A159" s="46"/>
      <c r="B159" s="46"/>
      <c r="C159" s="46"/>
      <c r="D159" s="46"/>
      <c r="E159" s="46"/>
      <c r="F159" s="47"/>
      <c r="G159" s="47"/>
      <c r="H159" s="48"/>
      <c r="I159" s="48"/>
    </row>
    <row r="160" spans="1:9" ht="21" customHeight="1" x14ac:dyDescent="0.2">
      <c r="A160" s="46"/>
      <c r="B160" s="46"/>
      <c r="C160" s="46"/>
      <c r="D160" s="46"/>
      <c r="E160" s="46"/>
      <c r="F160" s="47"/>
      <c r="G160" s="47"/>
      <c r="H160" s="48"/>
      <c r="I160" s="48"/>
    </row>
    <row r="161" spans="1:9" ht="21" customHeight="1" x14ac:dyDescent="0.2">
      <c r="A161" s="46"/>
      <c r="B161" s="46"/>
      <c r="C161" s="46"/>
      <c r="D161" s="46"/>
      <c r="E161" s="46"/>
      <c r="F161" s="47"/>
      <c r="G161" s="47"/>
      <c r="H161" s="48"/>
      <c r="I161" s="48"/>
    </row>
    <row r="162" spans="1:9" ht="21" customHeight="1" x14ac:dyDescent="0.2">
      <c r="A162" s="46"/>
      <c r="B162" s="46"/>
      <c r="C162" s="46"/>
      <c r="D162" s="46"/>
      <c r="E162" s="46"/>
      <c r="F162" s="47"/>
      <c r="G162" s="47"/>
      <c r="H162" s="48"/>
      <c r="I162" s="48"/>
    </row>
    <row r="163" spans="1:9" ht="21" customHeight="1" x14ac:dyDescent="0.2">
      <c r="A163" s="46"/>
      <c r="B163" s="46"/>
      <c r="C163" s="46"/>
      <c r="D163" s="46"/>
      <c r="E163" s="46"/>
      <c r="F163" s="47"/>
      <c r="G163" s="47"/>
      <c r="H163" s="48"/>
      <c r="I163" s="48"/>
    </row>
    <row r="164" spans="1:9" ht="21" customHeight="1" x14ac:dyDescent="0.2">
      <c r="A164" s="46"/>
      <c r="B164" s="46"/>
      <c r="C164" s="46"/>
      <c r="D164" s="46"/>
      <c r="E164" s="46"/>
      <c r="F164" s="47"/>
      <c r="G164" s="47"/>
      <c r="H164" s="48"/>
      <c r="I164" s="48"/>
    </row>
    <row r="165" spans="1:9" ht="21" customHeight="1" x14ac:dyDescent="0.2">
      <c r="A165" s="46"/>
      <c r="B165" s="46"/>
      <c r="C165" s="46"/>
      <c r="D165" s="46"/>
      <c r="E165" s="46"/>
      <c r="F165" s="47"/>
      <c r="G165" s="47"/>
      <c r="H165" s="48"/>
      <c r="I165" s="48"/>
    </row>
    <row r="166" spans="1:9" ht="21" customHeight="1" x14ac:dyDescent="0.2">
      <c r="A166" s="46"/>
      <c r="B166" s="46"/>
      <c r="C166" s="46"/>
      <c r="D166" s="46"/>
      <c r="E166" s="46"/>
      <c r="F166" s="47"/>
      <c r="G166" s="47"/>
      <c r="H166" s="48"/>
      <c r="I166" s="48"/>
    </row>
    <row r="167" spans="1:9" ht="21" customHeight="1" x14ac:dyDescent="0.2">
      <c r="A167" s="46"/>
      <c r="B167" s="46"/>
      <c r="C167" s="46"/>
      <c r="D167" s="46"/>
      <c r="E167" s="46"/>
      <c r="F167" s="47"/>
      <c r="G167" s="47"/>
      <c r="H167" s="48"/>
      <c r="I167" s="48"/>
    </row>
    <row r="168" spans="1:9" ht="21" customHeight="1" x14ac:dyDescent="0.2">
      <c r="A168" s="46"/>
      <c r="B168" s="46"/>
      <c r="C168" s="46"/>
      <c r="D168" s="46"/>
      <c r="E168" s="46"/>
      <c r="F168" s="47"/>
      <c r="G168" s="47"/>
      <c r="H168" s="48"/>
      <c r="I168" s="48"/>
    </row>
    <row r="169" spans="1:9" ht="21" customHeight="1" x14ac:dyDescent="0.2">
      <c r="A169" s="46"/>
      <c r="B169" s="46"/>
      <c r="C169" s="46"/>
      <c r="D169" s="46"/>
      <c r="E169" s="46"/>
      <c r="F169" s="47"/>
      <c r="G169" s="47"/>
      <c r="H169" s="48"/>
      <c r="I169" s="48"/>
    </row>
    <row r="170" spans="1:9" ht="21" customHeight="1" x14ac:dyDescent="0.2">
      <c r="A170" s="46"/>
      <c r="B170" s="46"/>
      <c r="C170" s="46"/>
      <c r="D170" s="46"/>
      <c r="E170" s="46"/>
      <c r="F170" s="47"/>
      <c r="G170" s="47"/>
      <c r="H170" s="48"/>
      <c r="I170" s="48"/>
    </row>
    <row r="171" spans="1:9" ht="21" customHeight="1" x14ac:dyDescent="0.2">
      <c r="A171" s="46"/>
      <c r="B171" s="46"/>
      <c r="C171" s="46"/>
      <c r="D171" s="46"/>
      <c r="E171" s="46"/>
      <c r="F171" s="47"/>
      <c r="G171" s="47"/>
      <c r="H171" s="48"/>
      <c r="I171" s="48"/>
    </row>
    <row r="172" spans="1:9" ht="21" customHeight="1" x14ac:dyDescent="0.2">
      <c r="A172" s="46"/>
      <c r="B172" s="46"/>
      <c r="C172" s="46"/>
      <c r="D172" s="46"/>
      <c r="E172" s="46"/>
      <c r="F172" s="47"/>
      <c r="G172" s="47"/>
      <c r="H172" s="48"/>
      <c r="I172" s="48"/>
    </row>
    <row r="173" spans="1:9" ht="21" customHeight="1" x14ac:dyDescent="0.2">
      <c r="A173" s="46"/>
      <c r="B173" s="46"/>
      <c r="C173" s="46"/>
      <c r="D173" s="46"/>
      <c r="E173" s="46"/>
      <c r="F173" s="47"/>
      <c r="G173" s="47"/>
      <c r="H173" s="48"/>
      <c r="I173" s="48"/>
    </row>
    <row r="174" spans="1:9" ht="21" customHeight="1" x14ac:dyDescent="0.2">
      <c r="A174" s="46"/>
      <c r="B174" s="46"/>
      <c r="C174" s="46"/>
      <c r="D174" s="46"/>
      <c r="E174" s="46"/>
      <c r="F174" s="47"/>
      <c r="G174" s="47"/>
      <c r="H174" s="48"/>
      <c r="I174" s="48"/>
    </row>
    <row r="175" spans="1:9" ht="21" customHeight="1" x14ac:dyDescent="0.2">
      <c r="A175" s="46"/>
      <c r="B175" s="46"/>
      <c r="C175" s="46"/>
      <c r="D175" s="46"/>
      <c r="E175" s="46"/>
      <c r="F175" s="47"/>
      <c r="G175" s="47"/>
      <c r="H175" s="48"/>
      <c r="I175" s="48"/>
    </row>
    <row r="176" spans="1:9" ht="21" customHeight="1" x14ac:dyDescent="0.2">
      <c r="A176" s="46"/>
      <c r="B176" s="46"/>
      <c r="C176" s="46"/>
      <c r="D176" s="46"/>
      <c r="E176" s="46"/>
      <c r="F176" s="47"/>
      <c r="G176" s="47"/>
      <c r="H176" s="48"/>
      <c r="I176" s="48"/>
    </row>
    <row r="177" spans="1:9" ht="21" customHeight="1" x14ac:dyDescent="0.2">
      <c r="A177" s="46"/>
      <c r="B177" s="46"/>
      <c r="C177" s="46"/>
      <c r="D177" s="46"/>
      <c r="E177" s="46"/>
      <c r="F177" s="47"/>
      <c r="G177" s="47"/>
      <c r="H177" s="48"/>
      <c r="I177" s="48"/>
    </row>
    <row r="178" spans="1:9" ht="21" customHeight="1" x14ac:dyDescent="0.2">
      <c r="A178" s="46"/>
      <c r="B178" s="46"/>
      <c r="C178" s="46"/>
      <c r="D178" s="46"/>
      <c r="E178" s="46"/>
      <c r="F178" s="47"/>
      <c r="G178" s="47"/>
      <c r="H178" s="48"/>
      <c r="I178" s="48"/>
    </row>
    <row r="179" spans="1:9" ht="21" customHeight="1" x14ac:dyDescent="0.2">
      <c r="A179" s="46"/>
      <c r="B179" s="46"/>
      <c r="C179" s="46"/>
      <c r="D179" s="46"/>
      <c r="E179" s="46"/>
      <c r="F179" s="47"/>
      <c r="G179" s="47"/>
      <c r="H179" s="48"/>
      <c r="I179" s="48"/>
    </row>
    <row r="180" spans="1:9" ht="21" customHeight="1" x14ac:dyDescent="0.2">
      <c r="A180" s="46"/>
      <c r="B180" s="46"/>
      <c r="C180" s="46"/>
      <c r="D180" s="46"/>
      <c r="E180" s="46"/>
      <c r="F180" s="47"/>
      <c r="G180" s="47"/>
      <c r="H180" s="48"/>
      <c r="I180" s="48"/>
    </row>
    <row r="181" spans="1:9" ht="21" customHeight="1" x14ac:dyDescent="0.2">
      <c r="A181" s="46"/>
      <c r="B181" s="46"/>
      <c r="C181" s="46"/>
      <c r="D181" s="46"/>
      <c r="E181" s="46"/>
      <c r="F181" s="47"/>
      <c r="G181" s="47"/>
      <c r="H181" s="48"/>
      <c r="I181" s="48"/>
    </row>
    <row r="182" spans="1:9" ht="21" customHeight="1" x14ac:dyDescent="0.2">
      <c r="A182" s="46"/>
      <c r="B182" s="46"/>
      <c r="C182" s="46"/>
      <c r="D182" s="46"/>
      <c r="E182" s="46"/>
      <c r="F182" s="47"/>
      <c r="G182" s="47"/>
      <c r="H182" s="48"/>
      <c r="I182" s="48"/>
    </row>
    <row r="183" spans="1:9" ht="21" customHeight="1" x14ac:dyDescent="0.2">
      <c r="A183" s="46"/>
      <c r="B183" s="46"/>
      <c r="C183" s="46"/>
      <c r="D183" s="46"/>
      <c r="E183" s="46"/>
      <c r="F183" s="47"/>
      <c r="G183" s="47"/>
      <c r="H183" s="48"/>
      <c r="I183" s="48"/>
    </row>
    <row r="184" spans="1:9" ht="21" customHeight="1" x14ac:dyDescent="0.2">
      <c r="A184" s="46"/>
      <c r="B184" s="46"/>
      <c r="C184" s="46"/>
      <c r="D184" s="46"/>
      <c r="E184" s="46"/>
      <c r="F184" s="47"/>
      <c r="G184" s="47"/>
      <c r="H184" s="48"/>
      <c r="I184" s="48"/>
    </row>
    <row r="185" spans="1:9" ht="21" customHeight="1" x14ac:dyDescent="0.2">
      <c r="A185" s="46"/>
      <c r="B185" s="46"/>
      <c r="C185" s="46"/>
      <c r="D185" s="46"/>
      <c r="E185" s="46"/>
      <c r="F185" s="47"/>
      <c r="G185" s="47"/>
      <c r="H185" s="48"/>
      <c r="I185" s="48"/>
    </row>
    <row r="186" spans="1:9" ht="21" customHeight="1" x14ac:dyDescent="0.2">
      <c r="A186" s="46"/>
      <c r="B186" s="46"/>
      <c r="C186" s="46"/>
      <c r="D186" s="46"/>
      <c r="E186" s="46"/>
      <c r="F186" s="47"/>
      <c r="G186" s="47"/>
      <c r="H186" s="48"/>
      <c r="I186" s="48"/>
    </row>
    <row r="187" spans="1:9" ht="21" customHeight="1" x14ac:dyDescent="0.2">
      <c r="A187" s="46"/>
      <c r="B187" s="46"/>
      <c r="C187" s="46"/>
      <c r="D187" s="46"/>
      <c r="E187" s="46"/>
      <c r="F187" s="47"/>
      <c r="G187" s="47"/>
      <c r="H187" s="48"/>
      <c r="I187" s="48"/>
    </row>
    <row r="188" spans="1:9" ht="21" customHeight="1" x14ac:dyDescent="0.2">
      <c r="A188" s="46"/>
      <c r="B188" s="46"/>
      <c r="C188" s="46"/>
      <c r="D188" s="46"/>
      <c r="E188" s="46"/>
      <c r="F188" s="47"/>
      <c r="G188" s="47"/>
      <c r="H188" s="48"/>
      <c r="I188" s="48"/>
    </row>
    <row r="189" spans="1:9" ht="21" customHeight="1" x14ac:dyDescent="0.2">
      <c r="A189" s="46"/>
      <c r="B189" s="46"/>
      <c r="C189" s="46"/>
      <c r="D189" s="46"/>
      <c r="E189" s="46"/>
      <c r="F189" s="47"/>
      <c r="G189" s="47"/>
      <c r="H189" s="48"/>
      <c r="I189" s="48"/>
    </row>
    <row r="190" spans="1:9" ht="21" customHeight="1" x14ac:dyDescent="0.2">
      <c r="A190" s="46"/>
      <c r="B190" s="46"/>
      <c r="C190" s="46"/>
      <c r="D190" s="46"/>
      <c r="E190" s="46"/>
      <c r="F190" s="47"/>
      <c r="G190" s="47"/>
      <c r="H190" s="48"/>
      <c r="I190" s="48"/>
    </row>
    <row r="191" spans="1:9" ht="21" customHeight="1" x14ac:dyDescent="0.2">
      <c r="A191" s="46"/>
      <c r="B191" s="46"/>
      <c r="C191" s="46"/>
      <c r="D191" s="46"/>
      <c r="E191" s="46"/>
      <c r="F191" s="47"/>
      <c r="G191" s="47"/>
      <c r="H191" s="48"/>
      <c r="I191" s="48"/>
    </row>
    <row r="192" spans="1:9" ht="21" customHeight="1" x14ac:dyDescent="0.2">
      <c r="A192" s="46"/>
      <c r="B192" s="46"/>
      <c r="C192" s="46"/>
      <c r="D192" s="46"/>
      <c r="E192" s="46"/>
      <c r="F192" s="47"/>
      <c r="G192" s="47"/>
      <c r="H192" s="48"/>
      <c r="I192" s="48"/>
    </row>
    <row r="193" spans="1:9" ht="21" customHeight="1" x14ac:dyDescent="0.2">
      <c r="A193" s="46"/>
      <c r="B193" s="46"/>
      <c r="C193" s="46"/>
      <c r="D193" s="46"/>
      <c r="E193" s="46"/>
      <c r="F193" s="47"/>
      <c r="G193" s="47"/>
      <c r="H193" s="48"/>
      <c r="I193" s="48"/>
    </row>
    <row r="194" spans="1:9" ht="21" customHeight="1" x14ac:dyDescent="0.2">
      <c r="A194" s="46"/>
      <c r="B194" s="46"/>
      <c r="C194" s="46"/>
      <c r="D194" s="46"/>
      <c r="E194" s="46"/>
      <c r="F194" s="47"/>
      <c r="G194" s="47"/>
      <c r="H194" s="48"/>
      <c r="I194" s="48"/>
    </row>
    <row r="195" spans="1:9" ht="21" customHeight="1" x14ac:dyDescent="0.2">
      <c r="A195" s="46"/>
      <c r="B195" s="46"/>
      <c r="C195" s="46"/>
      <c r="D195" s="46"/>
      <c r="E195" s="46"/>
      <c r="F195" s="47"/>
      <c r="G195" s="47"/>
      <c r="H195" s="48"/>
      <c r="I195" s="48"/>
    </row>
    <row r="196" spans="1:9" ht="21" customHeight="1" x14ac:dyDescent="0.2">
      <c r="A196" s="46"/>
      <c r="B196" s="46"/>
      <c r="C196" s="46"/>
      <c r="D196" s="46"/>
      <c r="E196" s="46"/>
      <c r="F196" s="47"/>
      <c r="G196" s="47"/>
      <c r="H196" s="48"/>
      <c r="I196" s="48"/>
    </row>
    <row r="197" spans="1:9" ht="21" customHeight="1" x14ac:dyDescent="0.2">
      <c r="A197" s="46"/>
      <c r="B197" s="46"/>
      <c r="C197" s="46"/>
      <c r="D197" s="46"/>
      <c r="E197" s="46"/>
      <c r="F197" s="47"/>
      <c r="G197" s="47"/>
      <c r="H197" s="48"/>
      <c r="I197" s="48"/>
    </row>
    <row r="198" spans="1:9" ht="21" customHeight="1" x14ac:dyDescent="0.2">
      <c r="A198" s="46"/>
      <c r="B198" s="46"/>
      <c r="C198" s="46"/>
      <c r="D198" s="46"/>
      <c r="E198" s="46"/>
      <c r="F198" s="47"/>
      <c r="G198" s="47"/>
      <c r="H198" s="48"/>
      <c r="I198" s="48"/>
    </row>
    <row r="199" spans="1:9" ht="21" customHeight="1" x14ac:dyDescent="0.2">
      <c r="A199" s="46"/>
      <c r="B199" s="46"/>
      <c r="C199" s="46"/>
      <c r="D199" s="46"/>
      <c r="E199" s="46"/>
      <c r="F199" s="47"/>
      <c r="G199" s="47"/>
      <c r="H199" s="48"/>
      <c r="I199" s="48"/>
    </row>
    <row r="200" spans="1:9" ht="21" customHeight="1" x14ac:dyDescent="0.2">
      <c r="A200" s="46"/>
      <c r="B200" s="46"/>
      <c r="C200" s="46"/>
      <c r="D200" s="46"/>
      <c r="E200" s="46"/>
      <c r="F200" s="47"/>
      <c r="G200" s="47"/>
      <c r="H200" s="48"/>
      <c r="I200" s="48"/>
    </row>
    <row r="201" spans="1:9" ht="21" customHeight="1" x14ac:dyDescent="0.2">
      <c r="A201" s="46"/>
      <c r="B201" s="46"/>
      <c r="C201" s="46"/>
      <c r="D201" s="46"/>
      <c r="E201" s="46"/>
      <c r="F201" s="47"/>
      <c r="G201" s="47"/>
      <c r="H201" s="48"/>
      <c r="I201" s="48"/>
    </row>
    <row r="202" spans="1:9" ht="21" customHeight="1" x14ac:dyDescent="0.2">
      <c r="A202" s="46"/>
      <c r="B202" s="46"/>
      <c r="C202" s="46"/>
      <c r="D202" s="46"/>
      <c r="E202" s="46"/>
      <c r="F202" s="47"/>
      <c r="G202" s="47"/>
      <c r="H202" s="48"/>
      <c r="I202" s="48"/>
    </row>
    <row r="203" spans="1:9" ht="21" customHeight="1" x14ac:dyDescent="0.2">
      <c r="A203" s="46"/>
      <c r="B203" s="46"/>
      <c r="C203" s="46"/>
      <c r="D203" s="46"/>
      <c r="E203" s="46"/>
      <c r="F203" s="47"/>
      <c r="G203" s="47"/>
      <c r="H203" s="48"/>
      <c r="I203" s="48"/>
    </row>
    <row r="204" spans="1:9" ht="21" customHeight="1" x14ac:dyDescent="0.2">
      <c r="A204" s="46"/>
      <c r="B204" s="46"/>
      <c r="C204" s="46"/>
      <c r="D204" s="46"/>
      <c r="E204" s="46"/>
      <c r="F204" s="47"/>
      <c r="G204" s="47"/>
      <c r="H204" s="48"/>
      <c r="I204" s="48"/>
    </row>
    <row r="205" spans="1:9" ht="21" customHeight="1" x14ac:dyDescent="0.2">
      <c r="A205" s="46"/>
      <c r="B205" s="46"/>
      <c r="C205" s="46"/>
      <c r="D205" s="46"/>
      <c r="E205" s="46"/>
      <c r="F205" s="47"/>
      <c r="G205" s="47"/>
      <c r="H205" s="48"/>
      <c r="I205" s="48"/>
    </row>
    <row r="206" spans="1:9" ht="21" customHeight="1" x14ac:dyDescent="0.2">
      <c r="A206" s="46"/>
      <c r="B206" s="46"/>
      <c r="C206" s="46"/>
      <c r="D206" s="46"/>
      <c r="E206" s="46"/>
      <c r="F206" s="47"/>
      <c r="G206" s="47"/>
      <c r="H206" s="48"/>
      <c r="I206" s="48"/>
    </row>
    <row r="207" spans="1:9" ht="21" customHeight="1" x14ac:dyDescent="0.2">
      <c r="A207" s="46"/>
      <c r="B207" s="46"/>
      <c r="C207" s="46"/>
      <c r="D207" s="46"/>
      <c r="E207" s="46"/>
      <c r="F207" s="47"/>
      <c r="G207" s="47"/>
      <c r="H207" s="48"/>
      <c r="I207" s="48"/>
    </row>
    <row r="208" spans="1:9" ht="21" customHeight="1" x14ac:dyDescent="0.2">
      <c r="A208" s="46"/>
      <c r="B208" s="46"/>
      <c r="C208" s="46"/>
      <c r="D208" s="46"/>
      <c r="E208" s="46"/>
      <c r="F208" s="47"/>
      <c r="G208" s="47"/>
      <c r="H208" s="48"/>
      <c r="I208" s="48"/>
    </row>
    <row r="209" spans="1:9" ht="21" customHeight="1" x14ac:dyDescent="0.2">
      <c r="A209" s="46"/>
      <c r="B209" s="46"/>
      <c r="C209" s="46"/>
      <c r="D209" s="46"/>
      <c r="E209" s="46"/>
      <c r="F209" s="47"/>
      <c r="G209" s="47"/>
      <c r="H209" s="48"/>
      <c r="I209" s="48"/>
    </row>
    <row r="210" spans="1:9" ht="21" customHeight="1" x14ac:dyDescent="0.2">
      <c r="A210" s="46"/>
      <c r="B210" s="46"/>
      <c r="C210" s="46"/>
      <c r="D210" s="46"/>
      <c r="E210" s="46"/>
      <c r="F210" s="47"/>
      <c r="G210" s="47"/>
      <c r="H210" s="48"/>
      <c r="I210" s="48"/>
    </row>
    <row r="211" spans="1:9" ht="21" customHeight="1" x14ac:dyDescent="0.2">
      <c r="A211" s="46"/>
      <c r="B211" s="46"/>
      <c r="C211" s="46"/>
      <c r="D211" s="46"/>
      <c r="E211" s="46"/>
      <c r="F211" s="47"/>
      <c r="G211" s="47"/>
      <c r="H211" s="48"/>
      <c r="I211" s="48"/>
    </row>
    <row r="212" spans="1:9" ht="21" customHeight="1" x14ac:dyDescent="0.2">
      <c r="A212" s="46"/>
      <c r="B212" s="46"/>
      <c r="C212" s="46"/>
      <c r="D212" s="46"/>
      <c r="E212" s="46"/>
      <c r="F212" s="47"/>
      <c r="G212" s="47"/>
      <c r="H212" s="48"/>
      <c r="I212" s="48"/>
    </row>
    <row r="213" spans="1:9" ht="21" customHeight="1" x14ac:dyDescent="0.2">
      <c r="A213" s="46"/>
      <c r="B213" s="46"/>
      <c r="C213" s="46"/>
      <c r="D213" s="46"/>
      <c r="E213" s="46"/>
      <c r="F213" s="47"/>
      <c r="G213" s="47"/>
      <c r="H213" s="48"/>
      <c r="I213" s="48"/>
    </row>
    <row r="214" spans="1:9" ht="21" customHeight="1" x14ac:dyDescent="0.2">
      <c r="A214" s="46"/>
      <c r="B214" s="46"/>
      <c r="C214" s="46"/>
      <c r="D214" s="46"/>
      <c r="E214" s="46"/>
      <c r="F214" s="47"/>
      <c r="G214" s="47"/>
      <c r="H214" s="48"/>
      <c r="I214" s="48"/>
    </row>
    <row r="215" spans="1:9" ht="21" customHeight="1" x14ac:dyDescent="0.2">
      <c r="A215" s="46"/>
      <c r="B215" s="46"/>
      <c r="C215" s="46"/>
      <c r="D215" s="46"/>
      <c r="E215" s="46"/>
      <c r="F215" s="47"/>
      <c r="G215" s="47"/>
      <c r="H215" s="48"/>
      <c r="I215" s="48"/>
    </row>
    <row r="216" spans="1:9" ht="21" customHeight="1" x14ac:dyDescent="0.2">
      <c r="A216" s="46"/>
      <c r="B216" s="46"/>
      <c r="C216" s="46"/>
      <c r="D216" s="46"/>
      <c r="E216" s="46"/>
      <c r="F216" s="47"/>
      <c r="G216" s="47"/>
      <c r="H216" s="48"/>
      <c r="I216" s="48"/>
    </row>
    <row r="217" spans="1:9" ht="21" customHeight="1" x14ac:dyDescent="0.2">
      <c r="A217" s="46"/>
      <c r="B217" s="46"/>
      <c r="C217" s="46"/>
      <c r="D217" s="46"/>
      <c r="E217" s="46"/>
      <c r="F217" s="47"/>
      <c r="G217" s="47"/>
      <c r="H217" s="48"/>
      <c r="I217" s="48"/>
    </row>
    <row r="218" spans="1:9" ht="21" customHeight="1" x14ac:dyDescent="0.2">
      <c r="A218" s="46"/>
      <c r="B218" s="46"/>
      <c r="C218" s="46"/>
      <c r="D218" s="46"/>
      <c r="E218" s="46"/>
      <c r="F218" s="47"/>
      <c r="G218" s="47"/>
      <c r="H218" s="48"/>
      <c r="I218" s="48"/>
    </row>
    <row r="219" spans="1:9" ht="21" customHeight="1" x14ac:dyDescent="0.2">
      <c r="A219" s="46"/>
      <c r="B219" s="46"/>
      <c r="C219" s="46"/>
      <c r="D219" s="46"/>
      <c r="E219" s="46"/>
      <c r="F219" s="47"/>
      <c r="G219" s="47"/>
      <c r="H219" s="48"/>
      <c r="I219" s="48"/>
    </row>
    <row r="220" spans="1:9" ht="21" customHeight="1" x14ac:dyDescent="0.2">
      <c r="A220" s="46"/>
      <c r="B220" s="46"/>
      <c r="C220" s="46"/>
      <c r="D220" s="46"/>
      <c r="E220" s="46"/>
      <c r="F220" s="47"/>
      <c r="G220" s="47"/>
      <c r="H220" s="48"/>
      <c r="I220" s="48"/>
    </row>
    <row r="221" spans="1:9" ht="21" customHeight="1" x14ac:dyDescent="0.2">
      <c r="A221" s="46"/>
      <c r="B221" s="46"/>
      <c r="C221" s="46"/>
      <c r="D221" s="46"/>
      <c r="E221" s="46"/>
      <c r="F221" s="47"/>
      <c r="G221" s="47"/>
      <c r="H221" s="48"/>
      <c r="I221" s="48"/>
    </row>
    <row r="222" spans="1:9" ht="21" customHeight="1" x14ac:dyDescent="0.2">
      <c r="A222" s="46"/>
      <c r="B222" s="46"/>
      <c r="C222" s="46"/>
      <c r="D222" s="46"/>
      <c r="E222" s="46"/>
      <c r="F222" s="47"/>
      <c r="G222" s="47"/>
      <c r="H222" s="48"/>
      <c r="I222" s="48"/>
    </row>
    <row r="223" spans="1:9" ht="21" customHeight="1" x14ac:dyDescent="0.2">
      <c r="A223" s="46"/>
      <c r="B223" s="46"/>
      <c r="C223" s="46"/>
      <c r="D223" s="46"/>
      <c r="E223" s="46"/>
      <c r="F223" s="47"/>
      <c r="G223" s="47"/>
      <c r="H223" s="48"/>
      <c r="I223" s="48"/>
    </row>
    <row r="224" spans="1:9" ht="21" customHeight="1" x14ac:dyDescent="0.2">
      <c r="A224" s="46"/>
      <c r="B224" s="46"/>
      <c r="C224" s="46"/>
      <c r="D224" s="46"/>
      <c r="E224" s="46"/>
      <c r="F224" s="47"/>
      <c r="G224" s="47"/>
      <c r="H224" s="48"/>
      <c r="I224" s="48"/>
    </row>
    <row r="225" spans="1:9" ht="21" customHeight="1" x14ac:dyDescent="0.2">
      <c r="A225" s="46"/>
      <c r="B225" s="46"/>
      <c r="C225" s="46"/>
      <c r="D225" s="46"/>
      <c r="E225" s="46"/>
      <c r="F225" s="47"/>
      <c r="G225" s="47"/>
      <c r="H225" s="48"/>
      <c r="I225" s="48"/>
    </row>
    <row r="226" spans="1:9" ht="21" customHeight="1" x14ac:dyDescent="0.2">
      <c r="A226" s="46"/>
      <c r="B226" s="46"/>
      <c r="C226" s="46"/>
      <c r="D226" s="46"/>
      <c r="E226" s="46"/>
      <c r="F226" s="47"/>
      <c r="G226" s="47"/>
      <c r="H226" s="48"/>
      <c r="I226" s="48"/>
    </row>
    <row r="227" spans="1:9" ht="21" customHeight="1" x14ac:dyDescent="0.2">
      <c r="A227" s="46"/>
      <c r="B227" s="46"/>
      <c r="C227" s="46"/>
      <c r="D227" s="46"/>
      <c r="E227" s="46"/>
      <c r="F227" s="47"/>
      <c r="G227" s="47"/>
      <c r="H227" s="48"/>
      <c r="I227" s="48"/>
    </row>
    <row r="228" spans="1:9" ht="21" customHeight="1" x14ac:dyDescent="0.2">
      <c r="A228" s="46"/>
      <c r="B228" s="46"/>
      <c r="C228" s="46"/>
      <c r="D228" s="46"/>
      <c r="E228" s="46"/>
      <c r="F228" s="47"/>
      <c r="G228" s="47"/>
      <c r="H228" s="48"/>
      <c r="I228" s="48"/>
    </row>
    <row r="229" spans="1:9" ht="21" customHeight="1" x14ac:dyDescent="0.2">
      <c r="A229" s="46"/>
      <c r="B229" s="46"/>
      <c r="C229" s="46"/>
      <c r="D229" s="46"/>
      <c r="E229" s="46"/>
      <c r="F229" s="47"/>
      <c r="G229" s="47"/>
      <c r="H229" s="48"/>
      <c r="I229" s="48"/>
    </row>
    <row r="230" spans="1:9" ht="21" customHeight="1" x14ac:dyDescent="0.2">
      <c r="A230" s="46"/>
      <c r="B230" s="46"/>
      <c r="C230" s="46"/>
      <c r="D230" s="46"/>
      <c r="E230" s="46"/>
      <c r="F230" s="47"/>
      <c r="G230" s="47"/>
      <c r="H230" s="48"/>
      <c r="I230" s="48"/>
    </row>
    <row r="231" spans="1:9" ht="21" customHeight="1" x14ac:dyDescent="0.2">
      <c r="A231" s="46"/>
      <c r="B231" s="46"/>
      <c r="C231" s="46"/>
      <c r="D231" s="46"/>
      <c r="E231" s="46"/>
      <c r="F231" s="47"/>
      <c r="G231" s="47"/>
      <c r="H231" s="48"/>
      <c r="I231" s="48"/>
    </row>
    <row r="232" spans="1:9" ht="21" customHeight="1" x14ac:dyDescent="0.2">
      <c r="A232" s="46"/>
      <c r="B232" s="46"/>
      <c r="C232" s="46"/>
      <c r="D232" s="46"/>
      <c r="E232" s="46"/>
      <c r="F232" s="47"/>
      <c r="G232" s="47"/>
      <c r="H232" s="48"/>
      <c r="I232" s="48"/>
    </row>
    <row r="233" spans="1:9" ht="21" customHeight="1" x14ac:dyDescent="0.2">
      <c r="A233" s="46"/>
      <c r="B233" s="46"/>
      <c r="C233" s="46"/>
      <c r="D233" s="46"/>
      <c r="E233" s="46"/>
      <c r="F233" s="47"/>
      <c r="G233" s="47"/>
      <c r="H233" s="48"/>
      <c r="I233" s="48"/>
    </row>
    <row r="234" spans="1:9" ht="21" customHeight="1" x14ac:dyDescent="0.2">
      <c r="A234" s="46"/>
      <c r="B234" s="46"/>
      <c r="C234" s="46"/>
      <c r="D234" s="46"/>
      <c r="E234" s="46"/>
      <c r="F234" s="47"/>
      <c r="G234" s="47"/>
      <c r="H234" s="48"/>
      <c r="I234" s="48"/>
    </row>
    <row r="235" spans="1:9" ht="21" customHeight="1" x14ac:dyDescent="0.2">
      <c r="A235" s="46"/>
      <c r="B235" s="46"/>
      <c r="C235" s="46"/>
      <c r="D235" s="46"/>
      <c r="E235" s="46"/>
      <c r="F235" s="47"/>
      <c r="G235" s="47"/>
      <c r="H235" s="48"/>
      <c r="I235" s="48"/>
    </row>
    <row r="236" spans="1:9" ht="21" customHeight="1" x14ac:dyDescent="0.2">
      <c r="A236" s="46"/>
      <c r="B236" s="46"/>
      <c r="C236" s="46"/>
      <c r="D236" s="46"/>
      <c r="E236" s="46"/>
      <c r="F236" s="47"/>
      <c r="G236" s="47"/>
      <c r="H236" s="48"/>
      <c r="I236" s="48"/>
    </row>
    <row r="237" spans="1:9" ht="21" customHeight="1" x14ac:dyDescent="0.2">
      <c r="A237" s="46"/>
      <c r="B237" s="46"/>
      <c r="C237" s="46"/>
      <c r="D237" s="46"/>
      <c r="E237" s="46"/>
      <c r="F237" s="47"/>
      <c r="G237" s="47"/>
      <c r="H237" s="48"/>
      <c r="I237" s="48"/>
    </row>
    <row r="238" spans="1:9" ht="21" customHeight="1" x14ac:dyDescent="0.2">
      <c r="A238" s="46"/>
      <c r="B238" s="46"/>
      <c r="C238" s="46"/>
      <c r="D238" s="46"/>
      <c r="E238" s="46"/>
      <c r="F238" s="47"/>
      <c r="G238" s="47"/>
      <c r="H238" s="48"/>
      <c r="I238" s="48"/>
    </row>
    <row r="239" spans="1:9" ht="21" customHeight="1" x14ac:dyDescent="0.2">
      <c r="A239" s="46"/>
      <c r="B239" s="46"/>
      <c r="C239" s="46"/>
      <c r="D239" s="46"/>
      <c r="E239" s="46"/>
      <c r="F239" s="47"/>
      <c r="G239" s="47"/>
      <c r="H239" s="48"/>
      <c r="I239" s="48"/>
    </row>
    <row r="240" spans="1:9" ht="21" customHeight="1" x14ac:dyDescent="0.2">
      <c r="A240" s="46"/>
      <c r="B240" s="46"/>
      <c r="C240" s="46"/>
      <c r="D240" s="46"/>
      <c r="E240" s="46"/>
      <c r="F240" s="47"/>
      <c r="G240" s="47"/>
      <c r="H240" s="48"/>
      <c r="I240" s="48"/>
    </row>
    <row r="241" spans="1:9" ht="21" customHeight="1" x14ac:dyDescent="0.2">
      <c r="A241" s="46"/>
      <c r="B241" s="46"/>
      <c r="C241" s="46"/>
      <c r="D241" s="46"/>
      <c r="E241" s="46"/>
      <c r="F241" s="47"/>
      <c r="G241" s="47"/>
      <c r="H241" s="48"/>
      <c r="I241" s="48"/>
    </row>
    <row r="242" spans="1:9" ht="21" customHeight="1" x14ac:dyDescent="0.2">
      <c r="A242" s="46"/>
      <c r="B242" s="46"/>
      <c r="C242" s="46"/>
      <c r="D242" s="46"/>
      <c r="E242" s="46"/>
      <c r="F242" s="47"/>
      <c r="G242" s="47"/>
      <c r="H242" s="48"/>
      <c r="I242" s="48"/>
    </row>
    <row r="243" spans="1:9" ht="21" customHeight="1" x14ac:dyDescent="0.2">
      <c r="A243" s="46"/>
      <c r="B243" s="46"/>
      <c r="C243" s="46"/>
      <c r="D243" s="46"/>
      <c r="E243" s="46"/>
      <c r="F243" s="47"/>
      <c r="G243" s="47"/>
      <c r="H243" s="48"/>
      <c r="I243" s="48"/>
    </row>
    <row r="244" spans="1:9" ht="21" customHeight="1" x14ac:dyDescent="0.2">
      <c r="A244" s="46"/>
      <c r="B244" s="46"/>
      <c r="C244" s="46"/>
      <c r="D244" s="46"/>
      <c r="E244" s="46"/>
      <c r="F244" s="47"/>
      <c r="G244" s="47"/>
      <c r="H244" s="48"/>
      <c r="I244" s="48"/>
    </row>
    <row r="245" spans="1:9" ht="21" customHeight="1" x14ac:dyDescent="0.2">
      <c r="A245" s="46"/>
      <c r="B245" s="46"/>
      <c r="C245" s="46"/>
      <c r="D245" s="46"/>
      <c r="E245" s="46"/>
      <c r="F245" s="47"/>
      <c r="G245" s="47"/>
      <c r="H245" s="48"/>
      <c r="I245" s="48"/>
    </row>
    <row r="246" spans="1:9" ht="21" customHeight="1" x14ac:dyDescent="0.2">
      <c r="A246" s="46"/>
      <c r="B246" s="46"/>
      <c r="C246" s="46"/>
      <c r="D246" s="46"/>
      <c r="E246" s="46"/>
      <c r="F246" s="47"/>
      <c r="G246" s="47"/>
      <c r="H246" s="48"/>
      <c r="I246" s="48"/>
    </row>
    <row r="247" spans="1:9" ht="21" customHeight="1" x14ac:dyDescent="0.2">
      <c r="A247" s="46"/>
      <c r="B247" s="46"/>
      <c r="C247" s="46"/>
      <c r="D247" s="46"/>
      <c r="E247" s="46"/>
      <c r="F247" s="47"/>
      <c r="G247" s="47"/>
      <c r="H247" s="48"/>
      <c r="I247" s="48"/>
    </row>
    <row r="248" spans="1:9" ht="21" customHeight="1" x14ac:dyDescent="0.2">
      <c r="A248" s="46"/>
      <c r="B248" s="46"/>
      <c r="C248" s="46"/>
      <c r="D248" s="46"/>
      <c r="E248" s="46"/>
      <c r="F248" s="47"/>
      <c r="G248" s="47"/>
      <c r="H248" s="48"/>
      <c r="I248" s="48"/>
    </row>
    <row r="249" spans="1:9" ht="21" customHeight="1" x14ac:dyDescent="0.2">
      <c r="A249" s="46"/>
      <c r="B249" s="46"/>
      <c r="C249" s="46"/>
      <c r="D249" s="46"/>
      <c r="E249" s="46"/>
      <c r="F249" s="47"/>
      <c r="G249" s="47"/>
      <c r="H249" s="48"/>
      <c r="I249" s="48"/>
    </row>
    <row r="250" spans="1:9" ht="21" customHeight="1" x14ac:dyDescent="0.2">
      <c r="A250" s="46"/>
      <c r="B250" s="46"/>
      <c r="C250" s="46"/>
      <c r="D250" s="46"/>
      <c r="E250" s="46"/>
      <c r="F250" s="47"/>
      <c r="G250" s="47"/>
      <c r="H250" s="48"/>
      <c r="I250" s="48"/>
    </row>
    <row r="251" spans="1:9" ht="21" customHeight="1" x14ac:dyDescent="0.2">
      <c r="A251" s="46"/>
      <c r="B251" s="46"/>
      <c r="C251" s="46"/>
      <c r="D251" s="46"/>
      <c r="E251" s="46"/>
      <c r="F251" s="47"/>
      <c r="G251" s="47"/>
      <c r="H251" s="48"/>
      <c r="I251" s="48"/>
    </row>
    <row r="252" spans="1:9" ht="21" customHeight="1" x14ac:dyDescent="0.2">
      <c r="A252" s="46"/>
      <c r="B252" s="46"/>
      <c r="C252" s="46"/>
      <c r="D252" s="46"/>
      <c r="E252" s="46"/>
      <c r="F252" s="47"/>
      <c r="G252" s="47"/>
      <c r="H252" s="48"/>
      <c r="I252" s="48"/>
    </row>
    <row r="253" spans="1:9" ht="21" customHeight="1" x14ac:dyDescent="0.2">
      <c r="A253" s="46"/>
      <c r="B253" s="46"/>
      <c r="C253" s="46"/>
      <c r="D253" s="46"/>
      <c r="E253" s="46"/>
      <c r="F253" s="47"/>
      <c r="G253" s="47"/>
      <c r="H253" s="48"/>
      <c r="I253" s="48"/>
    </row>
    <row r="254" spans="1:9" ht="21" customHeight="1" x14ac:dyDescent="0.2">
      <c r="A254" s="46"/>
      <c r="B254" s="46"/>
      <c r="C254" s="46"/>
      <c r="D254" s="46"/>
      <c r="E254" s="46"/>
      <c r="F254" s="47"/>
      <c r="G254" s="47"/>
      <c r="H254" s="48"/>
      <c r="I254" s="48"/>
    </row>
    <row r="255" spans="1:9" ht="21" customHeight="1" x14ac:dyDescent="0.2">
      <c r="A255" s="46"/>
      <c r="B255" s="46"/>
      <c r="C255" s="46"/>
      <c r="D255" s="46"/>
      <c r="E255" s="46"/>
      <c r="F255" s="47"/>
      <c r="G255" s="47"/>
      <c r="H255" s="48"/>
      <c r="I255" s="48"/>
    </row>
    <row r="256" spans="1:9" ht="21" customHeight="1" x14ac:dyDescent="0.2">
      <c r="A256" s="46"/>
      <c r="B256" s="46"/>
      <c r="C256" s="46"/>
      <c r="D256" s="46"/>
      <c r="E256" s="46"/>
      <c r="F256" s="47"/>
      <c r="G256" s="47"/>
      <c r="H256" s="48"/>
      <c r="I256" s="48"/>
    </row>
    <row r="257" spans="1:9" ht="21" customHeight="1" x14ac:dyDescent="0.2">
      <c r="A257" s="46"/>
      <c r="B257" s="46"/>
      <c r="C257" s="46"/>
      <c r="D257" s="46"/>
      <c r="E257" s="46"/>
      <c r="F257" s="47"/>
      <c r="G257" s="47"/>
      <c r="H257" s="48"/>
      <c r="I257" s="48"/>
    </row>
    <row r="258" spans="1:9" ht="21" customHeight="1" x14ac:dyDescent="0.2">
      <c r="A258" s="46"/>
      <c r="B258" s="46"/>
      <c r="C258" s="46"/>
      <c r="D258" s="46"/>
      <c r="E258" s="46"/>
      <c r="F258" s="47"/>
      <c r="G258" s="47"/>
      <c r="H258" s="48"/>
      <c r="I258" s="48"/>
    </row>
    <row r="259" spans="1:9" ht="21" customHeight="1" x14ac:dyDescent="0.2">
      <c r="A259" s="46"/>
      <c r="B259" s="46"/>
      <c r="C259" s="46"/>
      <c r="D259" s="46"/>
      <c r="E259" s="46"/>
      <c r="F259" s="47"/>
      <c r="G259" s="47"/>
      <c r="H259" s="48"/>
      <c r="I259" s="48"/>
    </row>
    <row r="260" spans="1:9" ht="21" customHeight="1" x14ac:dyDescent="0.2">
      <c r="A260" s="46"/>
      <c r="B260" s="46"/>
      <c r="C260" s="46"/>
      <c r="D260" s="46"/>
      <c r="E260" s="46"/>
      <c r="F260" s="47"/>
      <c r="G260" s="47"/>
      <c r="H260" s="48"/>
      <c r="I260" s="48"/>
    </row>
    <row r="261" spans="1:9" ht="21" customHeight="1" x14ac:dyDescent="0.2">
      <c r="A261" s="46"/>
      <c r="B261" s="46"/>
      <c r="C261" s="46"/>
      <c r="D261" s="46"/>
      <c r="E261" s="46"/>
      <c r="F261" s="47"/>
      <c r="G261" s="47"/>
      <c r="H261" s="48"/>
      <c r="I261" s="48"/>
    </row>
    <row r="262" spans="1:9" ht="21" customHeight="1" x14ac:dyDescent="0.2">
      <c r="A262" s="46"/>
      <c r="B262" s="46"/>
      <c r="C262" s="46"/>
      <c r="D262" s="46"/>
      <c r="E262" s="46"/>
      <c r="F262" s="47"/>
      <c r="G262" s="47"/>
      <c r="H262" s="48"/>
      <c r="I262" s="48"/>
    </row>
    <row r="263" spans="1:9" ht="21" customHeight="1" x14ac:dyDescent="0.2">
      <c r="A263" s="46"/>
      <c r="B263" s="46"/>
      <c r="C263" s="46"/>
      <c r="D263" s="46"/>
      <c r="E263" s="46"/>
      <c r="F263" s="47"/>
      <c r="G263" s="47"/>
      <c r="H263" s="48"/>
      <c r="I263" s="48"/>
    </row>
    <row r="264" spans="1:9" ht="21" customHeight="1" x14ac:dyDescent="0.2">
      <c r="A264" s="46"/>
      <c r="B264" s="46"/>
      <c r="C264" s="46"/>
      <c r="D264" s="46"/>
      <c r="E264" s="46"/>
      <c r="F264" s="47"/>
      <c r="G264" s="47"/>
      <c r="H264" s="48"/>
      <c r="I264" s="48"/>
    </row>
    <row r="265" spans="1:9" ht="21" customHeight="1" x14ac:dyDescent="0.2">
      <c r="A265" s="46"/>
      <c r="B265" s="46"/>
      <c r="C265" s="46"/>
      <c r="D265" s="46"/>
      <c r="E265" s="46"/>
      <c r="F265" s="47"/>
      <c r="G265" s="47"/>
      <c r="H265" s="48"/>
      <c r="I265" s="48"/>
    </row>
    <row r="266" spans="1:9" ht="21" customHeight="1" x14ac:dyDescent="0.2">
      <c r="A266" s="46"/>
      <c r="B266" s="46"/>
      <c r="C266" s="46"/>
      <c r="D266" s="46"/>
      <c r="E266" s="46"/>
      <c r="F266" s="47"/>
      <c r="G266" s="47"/>
      <c r="H266" s="48"/>
      <c r="I266" s="48"/>
    </row>
    <row r="267" spans="1:9" ht="21" customHeight="1" x14ac:dyDescent="0.2">
      <c r="A267" s="46"/>
      <c r="B267" s="46"/>
      <c r="C267" s="46"/>
      <c r="D267" s="46"/>
      <c r="E267" s="46"/>
      <c r="F267" s="47"/>
      <c r="G267" s="47"/>
      <c r="H267" s="48"/>
      <c r="I267" s="48"/>
    </row>
    <row r="268" spans="1:9" ht="21" customHeight="1" x14ac:dyDescent="0.2">
      <c r="A268" s="46"/>
      <c r="B268" s="46"/>
      <c r="C268" s="46"/>
      <c r="D268" s="46"/>
      <c r="E268" s="46"/>
      <c r="F268" s="47"/>
      <c r="G268" s="47"/>
      <c r="H268" s="48"/>
      <c r="I268" s="48"/>
    </row>
    <row r="269" spans="1:9" ht="21" customHeight="1" x14ac:dyDescent="0.2">
      <c r="A269" s="46"/>
      <c r="B269" s="46"/>
      <c r="C269" s="46"/>
      <c r="D269" s="46"/>
      <c r="E269" s="46"/>
      <c r="F269" s="47"/>
      <c r="G269" s="47"/>
      <c r="H269" s="48"/>
      <c r="I269" s="48"/>
    </row>
    <row r="270" spans="1:9" ht="21" customHeight="1" x14ac:dyDescent="0.2">
      <c r="A270" s="46"/>
      <c r="B270" s="46"/>
      <c r="C270" s="46"/>
      <c r="D270" s="46"/>
      <c r="E270" s="46"/>
      <c r="F270" s="47"/>
      <c r="G270" s="47"/>
      <c r="H270" s="48"/>
      <c r="I270" s="48"/>
    </row>
    <row r="271" spans="1:9" ht="21" customHeight="1" x14ac:dyDescent="0.2">
      <c r="A271" s="46"/>
      <c r="B271" s="46"/>
      <c r="C271" s="46"/>
      <c r="D271" s="46"/>
      <c r="E271" s="46"/>
      <c r="F271" s="47"/>
      <c r="G271" s="47"/>
      <c r="H271" s="48"/>
      <c r="I271" s="48"/>
    </row>
    <row r="272" spans="1:9" ht="21" customHeight="1" x14ac:dyDescent="0.2">
      <c r="A272" s="46"/>
      <c r="B272" s="46"/>
      <c r="C272" s="46"/>
      <c r="D272" s="46"/>
      <c r="E272" s="46"/>
      <c r="F272" s="47"/>
      <c r="G272" s="47"/>
      <c r="H272" s="48"/>
      <c r="I272" s="48"/>
    </row>
    <row r="273" spans="1:9" ht="21" customHeight="1" x14ac:dyDescent="0.2">
      <c r="A273" s="46"/>
      <c r="B273" s="46"/>
      <c r="C273" s="46"/>
      <c r="D273" s="46"/>
      <c r="E273" s="46"/>
      <c r="F273" s="47"/>
      <c r="G273" s="47"/>
      <c r="H273" s="48"/>
      <c r="I273" s="48"/>
    </row>
    <row r="274" spans="1:9" ht="21" customHeight="1" x14ac:dyDescent="0.2">
      <c r="A274" s="46"/>
      <c r="B274" s="46"/>
      <c r="C274" s="46"/>
      <c r="D274" s="46"/>
      <c r="E274" s="46"/>
      <c r="F274" s="47"/>
      <c r="G274" s="47"/>
      <c r="H274" s="48"/>
      <c r="I274" s="48"/>
    </row>
    <row r="275" spans="1:9" ht="21" customHeight="1" x14ac:dyDescent="0.2">
      <c r="A275" s="46"/>
      <c r="B275" s="46"/>
      <c r="C275" s="46"/>
      <c r="D275" s="46"/>
      <c r="E275" s="46"/>
      <c r="F275" s="47"/>
      <c r="G275" s="47"/>
      <c r="H275" s="48"/>
      <c r="I275" s="48"/>
    </row>
    <row r="276" spans="1:9" ht="21" customHeight="1" x14ac:dyDescent="0.2">
      <c r="A276" s="46"/>
      <c r="B276" s="46"/>
      <c r="C276" s="46"/>
      <c r="D276" s="46"/>
      <c r="E276" s="46"/>
      <c r="F276" s="47"/>
      <c r="G276" s="47"/>
      <c r="H276" s="48"/>
      <c r="I276" s="48"/>
    </row>
    <row r="277" spans="1:9" ht="21" customHeight="1" x14ac:dyDescent="0.2">
      <c r="A277" s="46"/>
      <c r="B277" s="46"/>
      <c r="C277" s="46"/>
      <c r="D277" s="46"/>
      <c r="E277" s="46"/>
      <c r="F277" s="47"/>
      <c r="G277" s="47"/>
      <c r="H277" s="48"/>
      <c r="I277" s="48"/>
    </row>
    <row r="278" spans="1:9" ht="21" customHeight="1" x14ac:dyDescent="0.2">
      <c r="A278" s="46"/>
      <c r="B278" s="46"/>
      <c r="C278" s="46"/>
      <c r="D278" s="46"/>
      <c r="E278" s="46"/>
      <c r="F278" s="47"/>
      <c r="G278" s="47"/>
      <c r="H278" s="48"/>
      <c r="I278" s="48"/>
    </row>
    <row r="279" spans="1:9" ht="21" customHeight="1" x14ac:dyDescent="0.2">
      <c r="A279" s="46"/>
      <c r="B279" s="46"/>
      <c r="C279" s="46"/>
      <c r="D279" s="46"/>
      <c r="E279" s="46"/>
      <c r="F279" s="47"/>
      <c r="G279" s="47"/>
      <c r="H279" s="48"/>
      <c r="I279" s="48"/>
    </row>
    <row r="280" spans="1:9" ht="21" customHeight="1" x14ac:dyDescent="0.2">
      <c r="A280" s="46"/>
      <c r="B280" s="46"/>
      <c r="C280" s="46"/>
      <c r="D280" s="46"/>
      <c r="E280" s="46"/>
      <c r="F280" s="47"/>
      <c r="G280" s="47"/>
      <c r="H280" s="48"/>
      <c r="I280" s="48"/>
    </row>
    <row r="281" spans="1:9" ht="21" customHeight="1" x14ac:dyDescent="0.2">
      <c r="A281" s="46"/>
      <c r="B281" s="46"/>
      <c r="C281" s="46"/>
      <c r="D281" s="46"/>
      <c r="E281" s="46"/>
      <c r="F281" s="47"/>
      <c r="G281" s="47"/>
      <c r="H281" s="48"/>
      <c r="I281" s="48"/>
    </row>
    <row r="282" spans="1:9" ht="21" customHeight="1" x14ac:dyDescent="0.2">
      <c r="A282" s="46"/>
      <c r="B282" s="46"/>
      <c r="C282" s="46"/>
      <c r="D282" s="46"/>
      <c r="E282" s="46"/>
      <c r="F282" s="47"/>
      <c r="G282" s="47"/>
      <c r="H282" s="48"/>
      <c r="I282" s="48"/>
    </row>
    <row r="283" spans="1:9" ht="21" customHeight="1" x14ac:dyDescent="0.2">
      <c r="A283" s="46"/>
      <c r="B283" s="46"/>
      <c r="C283" s="46"/>
      <c r="D283" s="46"/>
      <c r="E283" s="46"/>
      <c r="F283" s="47"/>
      <c r="G283" s="47"/>
      <c r="H283" s="48"/>
      <c r="I283" s="48"/>
    </row>
    <row r="284" spans="1:9" ht="21" customHeight="1" x14ac:dyDescent="0.2">
      <c r="A284" s="46"/>
      <c r="B284" s="46"/>
      <c r="C284" s="46"/>
      <c r="D284" s="46"/>
      <c r="E284" s="46"/>
      <c r="F284" s="47"/>
      <c r="G284" s="47"/>
      <c r="H284" s="48"/>
      <c r="I284" s="48"/>
    </row>
    <row r="285" spans="1:9" ht="21" customHeight="1" x14ac:dyDescent="0.2">
      <c r="A285" s="46"/>
      <c r="B285" s="46"/>
      <c r="C285" s="46"/>
      <c r="D285" s="46"/>
      <c r="E285" s="46"/>
      <c r="F285" s="47"/>
      <c r="G285" s="47"/>
      <c r="H285" s="48"/>
      <c r="I285" s="48"/>
    </row>
    <row r="286" spans="1:9" ht="21" customHeight="1" x14ac:dyDescent="0.2">
      <c r="A286" s="46"/>
      <c r="B286" s="46"/>
      <c r="C286" s="46"/>
      <c r="D286" s="46"/>
      <c r="E286" s="46"/>
      <c r="F286" s="47"/>
      <c r="G286" s="47"/>
      <c r="H286" s="48"/>
      <c r="I286" s="48"/>
    </row>
    <row r="287" spans="1:9" ht="21" customHeight="1" x14ac:dyDescent="0.2">
      <c r="A287" s="46"/>
      <c r="B287" s="46"/>
      <c r="C287" s="46"/>
      <c r="D287" s="46"/>
      <c r="E287" s="46"/>
      <c r="F287" s="47"/>
      <c r="G287" s="47"/>
      <c r="H287" s="48"/>
      <c r="I287" s="48"/>
    </row>
    <row r="288" spans="1:9" ht="21" customHeight="1" x14ac:dyDescent="0.2">
      <c r="A288" s="46"/>
      <c r="B288" s="46"/>
      <c r="C288" s="46"/>
      <c r="D288" s="46"/>
      <c r="E288" s="46"/>
      <c r="F288" s="47"/>
      <c r="G288" s="47"/>
      <c r="H288" s="48"/>
      <c r="I288" s="48"/>
    </row>
    <row r="289" spans="1:9" ht="21" customHeight="1" x14ac:dyDescent="0.2">
      <c r="A289" s="46"/>
      <c r="B289" s="46"/>
      <c r="C289" s="46"/>
      <c r="D289" s="46"/>
      <c r="E289" s="46"/>
      <c r="F289" s="47"/>
      <c r="G289" s="47"/>
      <c r="H289" s="48"/>
      <c r="I289" s="48"/>
    </row>
    <row r="290" spans="1:9" ht="21" customHeight="1" x14ac:dyDescent="0.2">
      <c r="A290" s="46"/>
      <c r="B290" s="46"/>
      <c r="C290" s="46"/>
      <c r="D290" s="46"/>
      <c r="E290" s="46"/>
      <c r="F290" s="47"/>
      <c r="G290" s="47"/>
      <c r="H290" s="48"/>
      <c r="I290" s="48"/>
    </row>
    <row r="291" spans="1:9" ht="21" customHeight="1" x14ac:dyDescent="0.2">
      <c r="A291" s="46"/>
      <c r="B291" s="46"/>
      <c r="C291" s="46"/>
      <c r="D291" s="46"/>
      <c r="E291" s="46"/>
      <c r="F291" s="47"/>
      <c r="G291" s="47"/>
      <c r="H291" s="48"/>
      <c r="I291" s="48"/>
    </row>
    <row r="292" spans="1:9" ht="21" customHeight="1" x14ac:dyDescent="0.2">
      <c r="A292" s="46"/>
      <c r="B292" s="46"/>
      <c r="C292" s="46"/>
      <c r="D292" s="46"/>
      <c r="E292" s="46"/>
      <c r="F292" s="47"/>
      <c r="G292" s="47"/>
      <c r="H292" s="48"/>
      <c r="I292" s="48"/>
    </row>
    <row r="293" spans="1:9" ht="21" customHeight="1" x14ac:dyDescent="0.2">
      <c r="A293" s="46"/>
      <c r="B293" s="46"/>
      <c r="C293" s="46"/>
      <c r="D293" s="46"/>
      <c r="E293" s="46"/>
      <c r="F293" s="47"/>
      <c r="G293" s="47"/>
      <c r="H293" s="48"/>
      <c r="I293" s="48"/>
    </row>
    <row r="294" spans="1:9" ht="21" customHeight="1" x14ac:dyDescent="0.2">
      <c r="A294" s="46"/>
      <c r="B294" s="46"/>
      <c r="C294" s="46"/>
      <c r="D294" s="46"/>
      <c r="E294" s="46"/>
      <c r="F294" s="47"/>
      <c r="G294" s="47"/>
      <c r="H294" s="48"/>
      <c r="I294" s="48"/>
    </row>
    <row r="295" spans="1:9" ht="21" customHeight="1" x14ac:dyDescent="0.2">
      <c r="A295" s="46"/>
      <c r="B295" s="46"/>
      <c r="C295" s="46"/>
      <c r="D295" s="46"/>
      <c r="E295" s="46"/>
      <c r="F295" s="47"/>
      <c r="G295" s="47"/>
      <c r="H295" s="48"/>
      <c r="I295" s="48"/>
    </row>
    <row r="296" spans="1:9" ht="21" customHeight="1" x14ac:dyDescent="0.2">
      <c r="A296" s="46"/>
      <c r="B296" s="46"/>
      <c r="C296" s="46"/>
      <c r="D296" s="46"/>
      <c r="E296" s="46"/>
      <c r="F296" s="47"/>
      <c r="G296" s="47"/>
      <c r="H296" s="48"/>
      <c r="I296" s="48"/>
    </row>
    <row r="297" spans="1:9" ht="21" customHeight="1" x14ac:dyDescent="0.2">
      <c r="A297" s="46"/>
      <c r="B297" s="46"/>
      <c r="C297" s="46"/>
      <c r="D297" s="46"/>
      <c r="E297" s="46"/>
      <c r="F297" s="47"/>
      <c r="G297" s="47"/>
      <c r="H297" s="48"/>
      <c r="I297" s="48"/>
    </row>
    <row r="298" spans="1:9" ht="21" customHeight="1" x14ac:dyDescent="0.2">
      <c r="A298" s="46"/>
      <c r="B298" s="46"/>
      <c r="C298" s="46"/>
      <c r="D298" s="46"/>
      <c r="E298" s="46"/>
      <c r="F298" s="47"/>
      <c r="G298" s="47"/>
      <c r="H298" s="48"/>
      <c r="I298" s="48"/>
    </row>
    <row r="299" spans="1:9" ht="21" customHeight="1" x14ac:dyDescent="0.2">
      <c r="A299" s="46"/>
      <c r="B299" s="46"/>
      <c r="C299" s="46"/>
      <c r="D299" s="46"/>
      <c r="E299" s="46"/>
      <c r="F299" s="47"/>
      <c r="G299" s="47"/>
      <c r="H299" s="48"/>
      <c r="I299" s="48"/>
    </row>
    <row r="300" spans="1:9" ht="21" customHeight="1" x14ac:dyDescent="0.2">
      <c r="A300" s="46"/>
      <c r="B300" s="46"/>
      <c r="C300" s="46"/>
      <c r="D300" s="46"/>
      <c r="E300" s="46"/>
      <c r="F300" s="47"/>
      <c r="G300" s="47"/>
      <c r="H300" s="48"/>
      <c r="I300" s="48"/>
    </row>
    <row r="301" spans="1:9" ht="21" customHeight="1" x14ac:dyDescent="0.2">
      <c r="A301" s="46"/>
      <c r="B301" s="46"/>
      <c r="C301" s="46"/>
      <c r="D301" s="46"/>
      <c r="E301" s="46"/>
      <c r="F301" s="47"/>
      <c r="G301" s="47"/>
      <c r="H301" s="48"/>
      <c r="I301" s="48"/>
    </row>
    <row r="302" spans="1:9" ht="21" customHeight="1" x14ac:dyDescent="0.2">
      <c r="A302" s="46"/>
      <c r="B302" s="46"/>
      <c r="C302" s="46"/>
      <c r="D302" s="46"/>
      <c r="E302" s="46"/>
      <c r="F302" s="47"/>
      <c r="G302" s="47"/>
      <c r="H302" s="48"/>
      <c r="I302" s="48"/>
    </row>
    <row r="303" spans="1:9" ht="21" customHeight="1" x14ac:dyDescent="0.2">
      <c r="A303" s="46"/>
      <c r="B303" s="46"/>
      <c r="C303" s="46"/>
      <c r="D303" s="46"/>
      <c r="E303" s="46"/>
      <c r="F303" s="47"/>
      <c r="G303" s="47"/>
      <c r="H303" s="48"/>
      <c r="I303" s="48"/>
    </row>
    <row r="304" spans="1:9" ht="21" customHeight="1" x14ac:dyDescent="0.2">
      <c r="A304" s="46"/>
      <c r="B304" s="46"/>
      <c r="C304" s="46"/>
      <c r="D304" s="46"/>
      <c r="E304" s="46"/>
      <c r="F304" s="47"/>
      <c r="G304" s="47"/>
      <c r="H304" s="48"/>
      <c r="I304" s="48"/>
    </row>
    <row r="305" spans="1:9" ht="21" customHeight="1" x14ac:dyDescent="0.2">
      <c r="A305" s="46"/>
      <c r="B305" s="46"/>
      <c r="C305" s="46"/>
      <c r="D305" s="46"/>
      <c r="E305" s="46"/>
      <c r="F305" s="47"/>
      <c r="G305" s="47"/>
      <c r="H305" s="48"/>
      <c r="I305" s="48"/>
    </row>
    <row r="306" spans="1:9" ht="21" customHeight="1" x14ac:dyDescent="0.2">
      <c r="A306" s="46"/>
      <c r="B306" s="46"/>
      <c r="C306" s="46"/>
      <c r="D306" s="46"/>
      <c r="E306" s="46"/>
      <c r="F306" s="47"/>
      <c r="G306" s="47"/>
      <c r="H306" s="48"/>
      <c r="I306" s="48"/>
    </row>
    <row r="307" spans="1:9" ht="21" customHeight="1" x14ac:dyDescent="0.2">
      <c r="A307" s="46"/>
      <c r="B307" s="46"/>
      <c r="C307" s="46"/>
      <c r="D307" s="46"/>
      <c r="E307" s="46"/>
      <c r="F307" s="47"/>
      <c r="G307" s="47"/>
      <c r="H307" s="48"/>
      <c r="I307" s="48"/>
    </row>
    <row r="308" spans="1:9" ht="21" customHeight="1" x14ac:dyDescent="0.2">
      <c r="A308" s="46"/>
      <c r="B308" s="46"/>
      <c r="C308" s="46"/>
      <c r="D308" s="46"/>
      <c r="E308" s="46"/>
      <c r="F308" s="47"/>
      <c r="G308" s="47"/>
      <c r="H308" s="48"/>
      <c r="I308" s="48"/>
    </row>
    <row r="309" spans="1:9" ht="21" customHeight="1" x14ac:dyDescent="0.2">
      <c r="A309" s="46"/>
      <c r="B309" s="46"/>
      <c r="C309" s="46"/>
      <c r="D309" s="46"/>
      <c r="E309" s="46"/>
      <c r="F309" s="47"/>
      <c r="G309" s="47"/>
      <c r="H309" s="48"/>
      <c r="I309" s="48"/>
    </row>
    <row r="310" spans="1:9" ht="21" customHeight="1" x14ac:dyDescent="0.2">
      <c r="A310" s="46"/>
      <c r="B310" s="46"/>
      <c r="C310" s="46"/>
      <c r="D310" s="46"/>
      <c r="E310" s="46"/>
      <c r="F310" s="47"/>
      <c r="G310" s="47"/>
      <c r="H310" s="48"/>
      <c r="I310" s="48"/>
    </row>
    <row r="311" spans="1:9" ht="21" customHeight="1" x14ac:dyDescent="0.2">
      <c r="A311" s="46"/>
      <c r="B311" s="46"/>
      <c r="C311" s="46"/>
      <c r="D311" s="46"/>
      <c r="E311" s="46"/>
      <c r="F311" s="47"/>
      <c r="G311" s="47"/>
      <c r="H311" s="48"/>
      <c r="I311" s="48"/>
    </row>
    <row r="312" spans="1:9" ht="21" customHeight="1" x14ac:dyDescent="0.2">
      <c r="A312" s="46"/>
      <c r="B312" s="46"/>
      <c r="C312" s="46"/>
      <c r="D312" s="46"/>
      <c r="E312" s="46"/>
      <c r="F312" s="47"/>
      <c r="G312" s="47"/>
      <c r="H312" s="48"/>
      <c r="I312" s="48"/>
    </row>
    <row r="313" spans="1:9" ht="21" customHeight="1" x14ac:dyDescent="0.2">
      <c r="A313" s="46"/>
      <c r="B313" s="46"/>
      <c r="C313" s="46"/>
      <c r="D313" s="46"/>
      <c r="E313" s="46"/>
      <c r="F313" s="47"/>
      <c r="G313" s="47"/>
      <c r="H313" s="48"/>
      <c r="I313" s="48"/>
    </row>
    <row r="314" spans="1:9" ht="21" customHeight="1" x14ac:dyDescent="0.2">
      <c r="A314" s="46"/>
      <c r="B314" s="46"/>
      <c r="C314" s="46"/>
      <c r="D314" s="46"/>
      <c r="E314" s="46"/>
      <c r="F314" s="47"/>
      <c r="G314" s="47"/>
      <c r="H314" s="48"/>
      <c r="I314" s="48"/>
    </row>
    <row r="315" spans="1:9" ht="21" customHeight="1" x14ac:dyDescent="0.2">
      <c r="A315" s="46"/>
      <c r="B315" s="46"/>
      <c r="C315" s="46"/>
      <c r="D315" s="46"/>
      <c r="E315" s="46"/>
      <c r="F315" s="47"/>
      <c r="G315" s="47"/>
      <c r="H315" s="48"/>
      <c r="I315" s="48"/>
    </row>
    <row r="316" spans="1:9" ht="21" customHeight="1" x14ac:dyDescent="0.2">
      <c r="A316" s="46"/>
      <c r="B316" s="46"/>
      <c r="C316" s="46"/>
      <c r="D316" s="46"/>
      <c r="E316" s="46"/>
      <c r="F316" s="47"/>
      <c r="G316" s="47"/>
      <c r="H316" s="48"/>
      <c r="I316" s="48"/>
    </row>
    <row r="317" spans="1:9" ht="21" customHeight="1" x14ac:dyDescent="0.2">
      <c r="A317" s="46"/>
      <c r="B317" s="46"/>
      <c r="C317" s="46"/>
      <c r="D317" s="46"/>
      <c r="E317" s="46"/>
      <c r="F317" s="47"/>
      <c r="G317" s="47"/>
      <c r="H317" s="48"/>
      <c r="I317" s="48"/>
    </row>
    <row r="318" spans="1:9" ht="21" customHeight="1" x14ac:dyDescent="0.2">
      <c r="A318" s="46"/>
      <c r="B318" s="46"/>
      <c r="C318" s="46"/>
      <c r="D318" s="46"/>
      <c r="E318" s="46"/>
      <c r="F318" s="47"/>
      <c r="G318" s="47"/>
      <c r="H318" s="48"/>
      <c r="I318" s="48"/>
    </row>
    <row r="319" spans="1:9" ht="21" customHeight="1" x14ac:dyDescent="0.2">
      <c r="A319" s="46"/>
      <c r="B319" s="46"/>
      <c r="C319" s="46"/>
      <c r="D319" s="46"/>
      <c r="E319" s="46"/>
      <c r="F319" s="47"/>
      <c r="G319" s="47"/>
      <c r="H319" s="48"/>
      <c r="I319" s="48"/>
    </row>
    <row r="320" spans="1:9" ht="21" customHeight="1" x14ac:dyDescent="0.2">
      <c r="A320" s="46"/>
      <c r="B320" s="46"/>
      <c r="C320" s="46"/>
      <c r="D320" s="46"/>
      <c r="E320" s="46"/>
      <c r="F320" s="47"/>
      <c r="G320" s="47"/>
      <c r="H320" s="48"/>
      <c r="I320" s="48"/>
    </row>
    <row r="321" spans="1:9" ht="21" customHeight="1" x14ac:dyDescent="0.2">
      <c r="A321" s="46"/>
      <c r="B321" s="46"/>
      <c r="C321" s="46"/>
      <c r="D321" s="46"/>
      <c r="E321" s="46"/>
      <c r="F321" s="47"/>
      <c r="G321" s="47"/>
      <c r="H321" s="48"/>
      <c r="I321" s="48"/>
    </row>
    <row r="322" spans="1:9" ht="21" customHeight="1" x14ac:dyDescent="0.2">
      <c r="A322" s="46"/>
      <c r="B322" s="46"/>
      <c r="C322" s="46"/>
      <c r="D322" s="46"/>
      <c r="E322" s="46"/>
      <c r="F322" s="47"/>
      <c r="G322" s="47"/>
      <c r="H322" s="48"/>
      <c r="I322" s="48"/>
    </row>
    <row r="323" spans="1:9" ht="21" customHeight="1" x14ac:dyDescent="0.2">
      <c r="A323" s="46"/>
      <c r="B323" s="46"/>
      <c r="C323" s="46"/>
      <c r="D323" s="46"/>
      <c r="E323" s="46"/>
      <c r="F323" s="47"/>
      <c r="G323" s="47"/>
      <c r="H323" s="48"/>
      <c r="I323" s="48"/>
    </row>
    <row r="324" spans="1:9" ht="21" customHeight="1" x14ac:dyDescent="0.2">
      <c r="A324" s="46"/>
      <c r="B324" s="46"/>
      <c r="C324" s="46"/>
      <c r="D324" s="46"/>
      <c r="E324" s="46"/>
      <c r="F324" s="47"/>
      <c r="G324" s="47"/>
      <c r="H324" s="48"/>
      <c r="I324" s="48"/>
    </row>
    <row r="325" spans="1:9" ht="21" customHeight="1" x14ac:dyDescent="0.2">
      <c r="A325" s="46"/>
      <c r="B325" s="46"/>
      <c r="C325" s="46"/>
      <c r="D325" s="46"/>
      <c r="E325" s="46"/>
      <c r="F325" s="47"/>
      <c r="G325" s="47"/>
      <c r="H325" s="48"/>
      <c r="I325" s="48"/>
    </row>
    <row r="326" spans="1:9" ht="21" customHeight="1" x14ac:dyDescent="0.2">
      <c r="A326" s="46"/>
      <c r="B326" s="46"/>
      <c r="C326" s="46"/>
      <c r="D326" s="46"/>
      <c r="E326" s="46"/>
      <c r="F326" s="47"/>
      <c r="G326" s="47"/>
      <c r="H326" s="48"/>
      <c r="I326" s="48"/>
    </row>
    <row r="327" spans="1:9" ht="21" customHeight="1" x14ac:dyDescent="0.2">
      <c r="A327" s="46"/>
      <c r="B327" s="46"/>
      <c r="C327" s="46"/>
      <c r="D327" s="46"/>
      <c r="E327" s="46"/>
      <c r="F327" s="47"/>
      <c r="G327" s="47"/>
      <c r="H327" s="48"/>
      <c r="I327" s="48"/>
    </row>
    <row r="328" spans="1:9" ht="21" customHeight="1" x14ac:dyDescent="0.2">
      <c r="A328" s="46"/>
      <c r="B328" s="46"/>
      <c r="C328" s="46"/>
      <c r="D328" s="46"/>
      <c r="E328" s="46"/>
      <c r="F328" s="47"/>
      <c r="G328" s="47"/>
      <c r="H328" s="48"/>
      <c r="I328" s="48"/>
    </row>
    <row r="329" spans="1:9" ht="21" customHeight="1" x14ac:dyDescent="0.2">
      <c r="A329" s="46"/>
      <c r="B329" s="46"/>
      <c r="C329" s="46"/>
      <c r="D329" s="46"/>
      <c r="E329" s="46"/>
      <c r="F329" s="47"/>
      <c r="G329" s="47"/>
      <c r="H329" s="48"/>
      <c r="I329" s="48"/>
    </row>
    <row r="330" spans="1:9" ht="21" customHeight="1" x14ac:dyDescent="0.2">
      <c r="A330" s="46"/>
      <c r="B330" s="46"/>
      <c r="C330" s="46"/>
      <c r="D330" s="46"/>
      <c r="E330" s="46"/>
      <c r="F330" s="47"/>
      <c r="G330" s="47"/>
      <c r="H330" s="48"/>
      <c r="I330" s="48"/>
    </row>
    <row r="331" spans="1:9" ht="21" customHeight="1" x14ac:dyDescent="0.2">
      <c r="A331" s="46"/>
      <c r="B331" s="46"/>
      <c r="C331" s="46"/>
      <c r="D331" s="46"/>
      <c r="E331" s="46"/>
      <c r="F331" s="47"/>
      <c r="G331" s="47"/>
      <c r="H331" s="48"/>
      <c r="I331" s="48"/>
    </row>
    <row r="332" spans="1:9" ht="21" customHeight="1" x14ac:dyDescent="0.2">
      <c r="A332" s="46"/>
      <c r="B332" s="46"/>
      <c r="C332" s="46"/>
      <c r="D332" s="46"/>
      <c r="E332" s="46"/>
      <c r="F332" s="47"/>
      <c r="G332" s="47"/>
      <c r="H332" s="48"/>
      <c r="I332" s="48"/>
    </row>
    <row r="333" spans="1:9" ht="21" customHeight="1" x14ac:dyDescent="0.2">
      <c r="A333" s="46"/>
      <c r="B333" s="46"/>
      <c r="C333" s="46"/>
      <c r="D333" s="46"/>
      <c r="E333" s="46"/>
      <c r="F333" s="47"/>
      <c r="G333" s="47"/>
      <c r="H333" s="48"/>
      <c r="I333" s="48"/>
    </row>
    <row r="334" spans="1:9" ht="21" customHeight="1" x14ac:dyDescent="0.2">
      <c r="A334" s="46"/>
      <c r="B334" s="46"/>
      <c r="C334" s="46"/>
      <c r="D334" s="46"/>
      <c r="E334" s="46"/>
      <c r="F334" s="47"/>
      <c r="G334" s="47"/>
      <c r="H334" s="48"/>
      <c r="I334" s="48"/>
    </row>
    <row r="335" spans="1:9" ht="21" customHeight="1" x14ac:dyDescent="0.2">
      <c r="A335" s="46"/>
      <c r="B335" s="46"/>
      <c r="C335" s="46"/>
      <c r="D335" s="46"/>
      <c r="E335" s="46"/>
      <c r="F335" s="47"/>
      <c r="G335" s="47"/>
      <c r="H335" s="48"/>
      <c r="I335" s="48"/>
    </row>
    <row r="336" spans="1:9" ht="21" customHeight="1" x14ac:dyDescent="0.2">
      <c r="A336" s="46"/>
      <c r="B336" s="46"/>
      <c r="C336" s="46"/>
      <c r="D336" s="46"/>
      <c r="E336" s="46"/>
      <c r="F336" s="47"/>
      <c r="G336" s="47"/>
      <c r="H336" s="48"/>
      <c r="I336" s="48"/>
    </row>
    <row r="337" spans="1:9" ht="21" customHeight="1" x14ac:dyDescent="0.2">
      <c r="A337" s="46"/>
      <c r="B337" s="46"/>
      <c r="C337" s="46"/>
      <c r="D337" s="46"/>
      <c r="E337" s="46"/>
      <c r="F337" s="47"/>
      <c r="G337" s="47"/>
      <c r="H337" s="48"/>
      <c r="I337" s="48"/>
    </row>
    <row r="338" spans="1:9" ht="21" customHeight="1" x14ac:dyDescent="0.2">
      <c r="A338" s="46"/>
      <c r="B338" s="46"/>
      <c r="C338" s="46"/>
      <c r="D338" s="46"/>
      <c r="E338" s="46"/>
      <c r="F338" s="47"/>
      <c r="G338" s="47"/>
      <c r="H338" s="48"/>
      <c r="I338" s="48"/>
    </row>
    <row r="339" spans="1:9" ht="21" customHeight="1" x14ac:dyDescent="0.2">
      <c r="A339" s="46"/>
      <c r="B339" s="46"/>
      <c r="C339" s="46"/>
      <c r="D339" s="46"/>
      <c r="E339" s="46"/>
      <c r="F339" s="47"/>
      <c r="G339" s="47"/>
      <c r="H339" s="48"/>
      <c r="I339" s="48"/>
    </row>
    <row r="340" spans="1:9" ht="21" customHeight="1" x14ac:dyDescent="0.2">
      <c r="A340" s="46"/>
      <c r="B340" s="46"/>
      <c r="C340" s="46"/>
      <c r="D340" s="46"/>
      <c r="E340" s="46"/>
      <c r="F340" s="47"/>
      <c r="G340" s="47"/>
      <c r="H340" s="48"/>
      <c r="I340" s="48"/>
    </row>
    <row r="341" spans="1:9" ht="21" customHeight="1" x14ac:dyDescent="0.2">
      <c r="A341" s="46"/>
      <c r="B341" s="46"/>
      <c r="C341" s="46"/>
      <c r="D341" s="46"/>
      <c r="E341" s="46"/>
      <c r="F341" s="47"/>
      <c r="G341" s="47"/>
      <c r="H341" s="48"/>
      <c r="I341" s="48"/>
    </row>
    <row r="342" spans="1:9" ht="21" customHeight="1" x14ac:dyDescent="0.2">
      <c r="A342" s="46"/>
      <c r="B342" s="46"/>
      <c r="C342" s="46"/>
      <c r="D342" s="46"/>
      <c r="E342" s="46"/>
      <c r="F342" s="47"/>
      <c r="G342" s="47"/>
      <c r="H342" s="48"/>
      <c r="I342" s="48"/>
    </row>
    <row r="343" spans="1:9" ht="21" customHeight="1" x14ac:dyDescent="0.2">
      <c r="A343" s="46"/>
      <c r="B343" s="46"/>
      <c r="C343" s="46"/>
      <c r="D343" s="46"/>
      <c r="E343" s="46"/>
      <c r="F343" s="47"/>
      <c r="G343" s="47"/>
      <c r="H343" s="48"/>
      <c r="I343" s="48"/>
    </row>
    <row r="344" spans="1:9" ht="21" customHeight="1" x14ac:dyDescent="0.2">
      <c r="A344" s="46"/>
      <c r="B344" s="46"/>
      <c r="C344" s="46"/>
      <c r="D344" s="46"/>
      <c r="E344" s="46"/>
      <c r="F344" s="47"/>
      <c r="G344" s="47"/>
      <c r="H344" s="48"/>
      <c r="I344" s="48"/>
    </row>
    <row r="345" spans="1:9" ht="21" customHeight="1" x14ac:dyDescent="0.2">
      <c r="A345" s="46"/>
      <c r="B345" s="46"/>
      <c r="C345" s="46"/>
      <c r="D345" s="46"/>
      <c r="E345" s="46"/>
      <c r="F345" s="47"/>
      <c r="G345" s="47"/>
      <c r="H345" s="48"/>
      <c r="I345" s="48"/>
    </row>
    <row r="346" spans="1:9" ht="21" customHeight="1" x14ac:dyDescent="0.2">
      <c r="A346" s="46"/>
      <c r="B346" s="46"/>
      <c r="C346" s="46"/>
      <c r="D346" s="46"/>
      <c r="E346" s="46"/>
      <c r="F346" s="47"/>
      <c r="G346" s="47"/>
      <c r="H346" s="48"/>
      <c r="I346" s="48"/>
    </row>
    <row r="347" spans="1:9" ht="21" customHeight="1" x14ac:dyDescent="0.2">
      <c r="A347" s="46"/>
      <c r="B347" s="46"/>
      <c r="C347" s="46"/>
      <c r="D347" s="46"/>
      <c r="E347" s="46"/>
      <c r="F347" s="47"/>
      <c r="G347" s="47"/>
      <c r="H347" s="48"/>
      <c r="I347" s="48"/>
    </row>
    <row r="348" spans="1:9" ht="21" customHeight="1" x14ac:dyDescent="0.2">
      <c r="A348" s="46"/>
      <c r="B348" s="46"/>
      <c r="C348" s="46"/>
      <c r="D348" s="46"/>
      <c r="E348" s="46"/>
      <c r="F348" s="47"/>
      <c r="G348" s="47"/>
      <c r="H348" s="48"/>
      <c r="I348" s="48"/>
    </row>
    <row r="349" spans="1:9" ht="21" customHeight="1" x14ac:dyDescent="0.2">
      <c r="A349" s="46"/>
      <c r="B349" s="46"/>
      <c r="C349" s="46"/>
      <c r="D349" s="46"/>
      <c r="E349" s="46"/>
      <c r="F349" s="47"/>
      <c r="G349" s="47"/>
      <c r="H349" s="48"/>
      <c r="I349" s="48"/>
    </row>
    <row r="350" spans="1:9" ht="21" customHeight="1" x14ac:dyDescent="0.2">
      <c r="A350" s="46"/>
      <c r="B350" s="46"/>
      <c r="C350" s="46"/>
      <c r="D350" s="46"/>
      <c r="E350" s="46"/>
      <c r="F350" s="47"/>
      <c r="G350" s="47"/>
      <c r="H350" s="48"/>
      <c r="I350" s="48"/>
    </row>
    <row r="351" spans="1:9" ht="21" customHeight="1" x14ac:dyDescent="0.2">
      <c r="A351" s="46"/>
      <c r="B351" s="46"/>
      <c r="C351" s="46"/>
      <c r="D351" s="46"/>
      <c r="E351" s="46"/>
      <c r="F351" s="47"/>
      <c r="G351" s="47"/>
      <c r="H351" s="48"/>
      <c r="I351" s="48"/>
    </row>
    <row r="352" spans="1:9" ht="21" customHeight="1" x14ac:dyDescent="0.2">
      <c r="A352" s="46"/>
      <c r="B352" s="46"/>
      <c r="C352" s="46"/>
      <c r="D352" s="46"/>
      <c r="E352" s="46"/>
      <c r="F352" s="47"/>
      <c r="G352" s="47"/>
      <c r="H352" s="48"/>
      <c r="I352" s="48"/>
    </row>
    <row r="353" spans="1:9" ht="21" customHeight="1" x14ac:dyDescent="0.2">
      <c r="A353" s="46"/>
      <c r="B353" s="46"/>
      <c r="C353" s="46"/>
      <c r="D353" s="46"/>
      <c r="E353" s="46"/>
      <c r="F353" s="47"/>
      <c r="G353" s="47"/>
      <c r="H353" s="48"/>
      <c r="I353" s="48"/>
    </row>
    <row r="354" spans="1:9" ht="21" customHeight="1" x14ac:dyDescent="0.2">
      <c r="A354" s="46"/>
      <c r="B354" s="46"/>
      <c r="C354" s="46"/>
      <c r="D354" s="46"/>
      <c r="E354" s="46"/>
      <c r="F354" s="47"/>
      <c r="G354" s="47"/>
      <c r="H354" s="48"/>
      <c r="I354" s="48"/>
    </row>
    <row r="355" spans="1:9" ht="21" customHeight="1" x14ac:dyDescent="0.2">
      <c r="A355" s="46"/>
      <c r="B355" s="46"/>
      <c r="C355" s="46"/>
      <c r="D355" s="46"/>
      <c r="E355" s="46"/>
      <c r="F355" s="47"/>
      <c r="G355" s="47"/>
      <c r="H355" s="48"/>
      <c r="I355" s="48"/>
    </row>
    <row r="356" spans="1:9" ht="21" customHeight="1" x14ac:dyDescent="0.2">
      <c r="A356" s="46"/>
      <c r="B356" s="46"/>
      <c r="C356" s="46"/>
      <c r="D356" s="46"/>
      <c r="E356" s="46"/>
      <c r="F356" s="47"/>
      <c r="G356" s="47"/>
      <c r="H356" s="48"/>
      <c r="I356" s="48"/>
    </row>
    <row r="357" spans="1:9" ht="21" customHeight="1" x14ac:dyDescent="0.2">
      <c r="A357" s="46"/>
      <c r="B357" s="46"/>
      <c r="C357" s="46"/>
      <c r="D357" s="46"/>
      <c r="E357" s="46"/>
      <c r="F357" s="47"/>
      <c r="G357" s="47"/>
      <c r="H357" s="48"/>
      <c r="I357" s="48"/>
    </row>
    <row r="358" spans="1:9" ht="21" customHeight="1" x14ac:dyDescent="0.2">
      <c r="A358" s="46"/>
      <c r="B358" s="46"/>
      <c r="C358" s="46"/>
      <c r="D358" s="46"/>
      <c r="E358" s="46"/>
      <c r="F358" s="47"/>
      <c r="G358" s="47"/>
      <c r="H358" s="48"/>
      <c r="I358" s="48"/>
    </row>
    <row r="359" spans="1:9" ht="21" customHeight="1" x14ac:dyDescent="0.2">
      <c r="A359" s="46"/>
      <c r="B359" s="46"/>
      <c r="C359" s="46"/>
      <c r="D359" s="46"/>
      <c r="E359" s="46"/>
      <c r="F359" s="47"/>
      <c r="G359" s="47"/>
      <c r="H359" s="48"/>
      <c r="I359" s="48"/>
    </row>
    <row r="360" spans="1:9" ht="21" customHeight="1" x14ac:dyDescent="0.2">
      <c r="A360" s="46"/>
      <c r="B360" s="46"/>
      <c r="C360" s="46"/>
      <c r="D360" s="46"/>
      <c r="E360" s="46"/>
      <c r="F360" s="47"/>
      <c r="G360" s="47"/>
      <c r="H360" s="48"/>
      <c r="I360" s="48"/>
    </row>
    <row r="361" spans="1:9" ht="21" customHeight="1" x14ac:dyDescent="0.2">
      <c r="A361" s="46"/>
      <c r="B361" s="46"/>
      <c r="C361" s="46"/>
      <c r="D361" s="46"/>
      <c r="E361" s="46"/>
      <c r="F361" s="47"/>
      <c r="G361" s="47"/>
      <c r="H361" s="48"/>
      <c r="I361" s="48"/>
    </row>
    <row r="362" spans="1:9" ht="21" customHeight="1" x14ac:dyDescent="0.2">
      <c r="A362" s="46"/>
      <c r="B362" s="46"/>
      <c r="C362" s="46"/>
      <c r="D362" s="46"/>
      <c r="E362" s="46"/>
      <c r="F362" s="47"/>
      <c r="G362" s="47"/>
      <c r="H362" s="48"/>
      <c r="I362" s="48"/>
    </row>
    <row r="363" spans="1:9" ht="21" customHeight="1" x14ac:dyDescent="0.2">
      <c r="A363" s="46"/>
      <c r="B363" s="46"/>
      <c r="C363" s="46"/>
      <c r="D363" s="46"/>
      <c r="E363" s="46"/>
      <c r="F363" s="47"/>
      <c r="G363" s="47"/>
      <c r="H363" s="48"/>
      <c r="I363" s="48"/>
    </row>
    <row r="364" spans="1:9" ht="21" customHeight="1" x14ac:dyDescent="0.2">
      <c r="A364" s="46"/>
      <c r="B364" s="46"/>
      <c r="C364" s="46"/>
      <c r="D364" s="46"/>
      <c r="E364" s="46"/>
      <c r="F364" s="47"/>
      <c r="G364" s="47"/>
      <c r="H364" s="48"/>
      <c r="I364" s="48"/>
    </row>
    <row r="365" spans="1:9" ht="21" customHeight="1" x14ac:dyDescent="0.2">
      <c r="A365" s="46"/>
      <c r="B365" s="46"/>
      <c r="C365" s="46"/>
      <c r="D365" s="46"/>
      <c r="E365" s="46"/>
      <c r="F365" s="47"/>
      <c r="G365" s="47"/>
      <c r="H365" s="48"/>
      <c r="I365" s="48"/>
    </row>
    <row r="366" spans="1:9" ht="21" customHeight="1" x14ac:dyDescent="0.2">
      <c r="A366" s="46"/>
      <c r="B366" s="46"/>
      <c r="C366" s="46"/>
      <c r="D366" s="46"/>
      <c r="E366" s="46"/>
      <c r="F366" s="47"/>
      <c r="G366" s="47"/>
      <c r="H366" s="48"/>
      <c r="I366" s="48"/>
    </row>
    <row r="367" spans="1:9" ht="21" customHeight="1" x14ac:dyDescent="0.2">
      <c r="A367" s="46"/>
      <c r="B367" s="46"/>
      <c r="C367" s="46"/>
      <c r="D367" s="46"/>
      <c r="E367" s="46"/>
      <c r="F367" s="47"/>
      <c r="G367" s="47"/>
      <c r="H367" s="48"/>
      <c r="I367" s="48"/>
    </row>
    <row r="368" spans="1:9" ht="21" customHeight="1" x14ac:dyDescent="0.2">
      <c r="A368" s="46"/>
      <c r="B368" s="46"/>
      <c r="C368" s="46"/>
      <c r="D368" s="46"/>
      <c r="E368" s="46"/>
      <c r="F368" s="47"/>
      <c r="G368" s="47"/>
      <c r="H368" s="48"/>
      <c r="I368" s="48"/>
    </row>
    <row r="369" spans="1:9" ht="21" customHeight="1" x14ac:dyDescent="0.2">
      <c r="A369" s="46"/>
      <c r="B369" s="46"/>
      <c r="C369" s="46"/>
      <c r="D369" s="46"/>
      <c r="E369" s="46"/>
      <c r="F369" s="47"/>
      <c r="G369" s="47"/>
      <c r="H369" s="48"/>
      <c r="I369" s="48"/>
    </row>
    <row r="370" spans="1:9" ht="21" customHeight="1" x14ac:dyDescent="0.2">
      <c r="A370" s="46"/>
      <c r="B370" s="46"/>
      <c r="C370" s="46"/>
      <c r="D370" s="46"/>
      <c r="E370" s="46"/>
      <c r="F370" s="47"/>
      <c r="G370" s="47"/>
      <c r="H370" s="48"/>
      <c r="I370" s="48"/>
    </row>
    <row r="371" spans="1:9" ht="21" customHeight="1" x14ac:dyDescent="0.2">
      <c r="A371" s="46"/>
      <c r="B371" s="46"/>
      <c r="C371" s="46"/>
      <c r="D371" s="46"/>
      <c r="E371" s="46"/>
      <c r="F371" s="47"/>
      <c r="G371" s="47"/>
      <c r="H371" s="48"/>
      <c r="I371" s="48"/>
    </row>
    <row r="372" spans="1:9" ht="21" customHeight="1" x14ac:dyDescent="0.2">
      <c r="A372" s="46"/>
      <c r="B372" s="46"/>
      <c r="C372" s="46"/>
      <c r="D372" s="46"/>
      <c r="E372" s="46"/>
      <c r="F372" s="47"/>
      <c r="G372" s="47"/>
      <c r="H372" s="48"/>
      <c r="I372" s="48"/>
    </row>
    <row r="373" spans="1:9" ht="21" customHeight="1" x14ac:dyDescent="0.2">
      <c r="A373" s="46"/>
      <c r="B373" s="46"/>
      <c r="C373" s="46"/>
      <c r="D373" s="46"/>
      <c r="E373" s="46"/>
      <c r="F373" s="47"/>
      <c r="G373" s="47"/>
      <c r="H373" s="48"/>
      <c r="I373" s="48"/>
    </row>
    <row r="374" spans="1:9" ht="21" customHeight="1" x14ac:dyDescent="0.2">
      <c r="A374" s="46"/>
      <c r="B374" s="46"/>
      <c r="C374" s="46"/>
      <c r="D374" s="46"/>
      <c r="E374" s="46"/>
      <c r="F374" s="47"/>
      <c r="G374" s="47"/>
      <c r="H374" s="48"/>
      <c r="I374" s="48"/>
    </row>
    <row r="375" spans="1:9" ht="21" customHeight="1" x14ac:dyDescent="0.2">
      <c r="A375" s="46"/>
      <c r="B375" s="46"/>
      <c r="C375" s="46"/>
      <c r="D375" s="46"/>
      <c r="E375" s="46"/>
      <c r="F375" s="47"/>
      <c r="G375" s="47"/>
      <c r="H375" s="48"/>
      <c r="I375" s="48"/>
    </row>
    <row r="376" spans="1:9" ht="21" customHeight="1" x14ac:dyDescent="0.2">
      <c r="A376" s="46"/>
      <c r="B376" s="46"/>
      <c r="C376" s="46"/>
      <c r="D376" s="46"/>
      <c r="E376" s="46"/>
      <c r="F376" s="47"/>
      <c r="G376" s="47"/>
      <c r="H376" s="48"/>
      <c r="I376" s="48"/>
    </row>
    <row r="377" spans="1:9" ht="21" customHeight="1" x14ac:dyDescent="0.2">
      <c r="A377" s="46"/>
      <c r="B377" s="46"/>
      <c r="C377" s="46"/>
      <c r="D377" s="46"/>
      <c r="E377" s="46"/>
      <c r="F377" s="47"/>
      <c r="G377" s="47"/>
      <c r="H377" s="48"/>
      <c r="I377" s="48"/>
    </row>
    <row r="378" spans="1:9" ht="21" customHeight="1" x14ac:dyDescent="0.2">
      <c r="A378" s="46"/>
      <c r="B378" s="46"/>
      <c r="C378" s="46"/>
      <c r="D378" s="46"/>
      <c r="E378" s="46"/>
      <c r="F378" s="47"/>
      <c r="G378" s="47"/>
      <c r="H378" s="48"/>
      <c r="I378" s="48"/>
    </row>
    <row r="379" spans="1:9" ht="21" customHeight="1" x14ac:dyDescent="0.2">
      <c r="A379" s="46"/>
      <c r="B379" s="46"/>
      <c r="C379" s="46"/>
      <c r="D379" s="46"/>
      <c r="E379" s="46"/>
      <c r="F379" s="47"/>
      <c r="G379" s="47"/>
      <c r="H379" s="48"/>
      <c r="I379" s="48"/>
    </row>
    <row r="380" spans="1:9" ht="21" customHeight="1" x14ac:dyDescent="0.2">
      <c r="A380" s="46"/>
      <c r="B380" s="46"/>
      <c r="C380" s="46"/>
      <c r="D380" s="46"/>
      <c r="E380" s="46"/>
      <c r="F380" s="47"/>
      <c r="G380" s="47"/>
      <c r="H380" s="48"/>
      <c r="I380" s="48"/>
    </row>
    <row r="381" spans="1:9" ht="21" customHeight="1" x14ac:dyDescent="0.2">
      <c r="A381" s="46"/>
      <c r="B381" s="46"/>
      <c r="C381" s="46"/>
      <c r="D381" s="46"/>
      <c r="E381" s="46"/>
      <c r="F381" s="47"/>
      <c r="G381" s="47"/>
      <c r="H381" s="48"/>
      <c r="I381" s="48"/>
    </row>
    <row r="382" spans="1:9" ht="21" customHeight="1" x14ac:dyDescent="0.2">
      <c r="A382" s="46"/>
      <c r="B382" s="46"/>
      <c r="C382" s="46"/>
      <c r="D382" s="46"/>
      <c r="E382" s="46"/>
      <c r="F382" s="47"/>
      <c r="G382" s="47"/>
      <c r="H382" s="48"/>
      <c r="I382" s="48"/>
    </row>
    <row r="383" spans="1:9" ht="21" customHeight="1" x14ac:dyDescent="0.2">
      <c r="A383" s="46"/>
      <c r="B383" s="46"/>
      <c r="C383" s="46"/>
      <c r="D383" s="46"/>
      <c r="E383" s="46"/>
      <c r="F383" s="47"/>
      <c r="G383" s="47"/>
      <c r="H383" s="48"/>
      <c r="I383" s="48"/>
    </row>
    <row r="384" spans="1:9" ht="21" customHeight="1" x14ac:dyDescent="0.2">
      <c r="A384" s="46"/>
      <c r="B384" s="46"/>
      <c r="C384" s="46"/>
      <c r="D384" s="46"/>
      <c r="E384" s="46"/>
      <c r="F384" s="47"/>
      <c r="G384" s="47"/>
      <c r="H384" s="48"/>
      <c r="I384" s="48"/>
    </row>
    <row r="385" spans="1:9" ht="21" customHeight="1" x14ac:dyDescent="0.2">
      <c r="A385" s="46"/>
      <c r="B385" s="46"/>
      <c r="C385" s="46"/>
      <c r="D385" s="46"/>
      <c r="E385" s="46"/>
      <c r="F385" s="47"/>
      <c r="G385" s="47"/>
      <c r="H385" s="48"/>
      <c r="I385" s="48"/>
    </row>
    <row r="386" spans="1:9" ht="21" customHeight="1" x14ac:dyDescent="0.2">
      <c r="A386" s="46"/>
      <c r="B386" s="46"/>
      <c r="C386" s="46"/>
      <c r="D386" s="46"/>
      <c r="E386" s="46"/>
      <c r="F386" s="47"/>
      <c r="G386" s="47"/>
      <c r="H386" s="48"/>
      <c r="I386" s="48"/>
    </row>
    <row r="387" spans="1:9" ht="21" customHeight="1" x14ac:dyDescent="0.2">
      <c r="A387" s="46"/>
      <c r="B387" s="46"/>
      <c r="C387" s="46"/>
      <c r="D387" s="46"/>
      <c r="E387" s="46"/>
      <c r="F387" s="47"/>
      <c r="G387" s="47"/>
      <c r="H387" s="48"/>
      <c r="I387" s="48"/>
    </row>
    <row r="388" spans="1:9" ht="21" customHeight="1" x14ac:dyDescent="0.2">
      <c r="A388" s="46"/>
      <c r="B388" s="46"/>
      <c r="C388" s="46"/>
      <c r="D388" s="46"/>
      <c r="E388" s="46"/>
      <c r="F388" s="47"/>
      <c r="G388" s="47"/>
      <c r="H388" s="48"/>
      <c r="I388" s="48"/>
    </row>
    <row r="389" spans="1:9" ht="21" customHeight="1" x14ac:dyDescent="0.2">
      <c r="A389" s="46"/>
      <c r="B389" s="46"/>
      <c r="C389" s="46"/>
      <c r="D389" s="46"/>
      <c r="E389" s="46"/>
      <c r="F389" s="47"/>
      <c r="G389" s="47"/>
      <c r="H389" s="48"/>
      <c r="I389" s="48"/>
    </row>
    <row r="390" spans="1:9" ht="21" customHeight="1" x14ac:dyDescent="0.2">
      <c r="A390" s="46"/>
      <c r="B390" s="46"/>
      <c r="C390" s="46"/>
      <c r="D390" s="46"/>
      <c r="E390" s="46"/>
      <c r="F390" s="47"/>
      <c r="G390" s="47"/>
      <c r="H390" s="48"/>
      <c r="I390" s="48"/>
    </row>
    <row r="391" spans="1:9" ht="21" customHeight="1" x14ac:dyDescent="0.2">
      <c r="A391" s="46"/>
      <c r="B391" s="46"/>
      <c r="C391" s="46"/>
      <c r="D391" s="46"/>
      <c r="E391" s="46"/>
      <c r="F391" s="47"/>
      <c r="G391" s="47"/>
      <c r="H391" s="48"/>
      <c r="I391" s="48"/>
    </row>
    <row r="392" spans="1:9" ht="21" customHeight="1" x14ac:dyDescent="0.2">
      <c r="A392" s="46"/>
      <c r="B392" s="46"/>
      <c r="C392" s="46"/>
      <c r="D392" s="46"/>
      <c r="E392" s="46"/>
      <c r="F392" s="47"/>
      <c r="G392" s="47"/>
      <c r="H392" s="48"/>
      <c r="I392" s="48"/>
    </row>
    <row r="393" spans="1:9" ht="21" customHeight="1" x14ac:dyDescent="0.2">
      <c r="A393" s="46"/>
      <c r="B393" s="46"/>
      <c r="C393" s="46"/>
      <c r="D393" s="46"/>
      <c r="E393" s="46"/>
      <c r="F393" s="47"/>
      <c r="G393" s="47"/>
      <c r="H393" s="48"/>
      <c r="I393" s="48"/>
    </row>
    <row r="394" spans="1:9" ht="21" customHeight="1" x14ac:dyDescent="0.2">
      <c r="A394" s="46"/>
      <c r="B394" s="46"/>
      <c r="C394" s="46"/>
      <c r="D394" s="46"/>
      <c r="E394" s="46"/>
      <c r="F394" s="47"/>
      <c r="G394" s="47"/>
      <c r="H394" s="48"/>
      <c r="I394" s="48"/>
    </row>
    <row r="395" spans="1:9" ht="21" customHeight="1" x14ac:dyDescent="0.2">
      <c r="A395" s="46"/>
      <c r="B395" s="46"/>
      <c r="C395" s="46"/>
      <c r="D395" s="46"/>
      <c r="E395" s="46"/>
      <c r="F395" s="47"/>
      <c r="G395" s="47"/>
      <c r="H395" s="48"/>
      <c r="I395" s="48"/>
    </row>
    <row r="396" spans="1:9" ht="21" customHeight="1" x14ac:dyDescent="0.2">
      <c r="A396" s="46"/>
      <c r="B396" s="46"/>
      <c r="C396" s="46"/>
      <c r="D396" s="46"/>
      <c r="E396" s="46"/>
      <c r="F396" s="47"/>
      <c r="G396" s="47"/>
      <c r="H396" s="48"/>
      <c r="I396" s="48"/>
    </row>
    <row r="397" spans="1:9" ht="21" customHeight="1" x14ac:dyDescent="0.2">
      <c r="A397" s="46"/>
      <c r="B397" s="46"/>
      <c r="C397" s="46"/>
      <c r="D397" s="46"/>
      <c r="E397" s="46"/>
      <c r="F397" s="47"/>
      <c r="G397" s="47"/>
      <c r="H397" s="48"/>
      <c r="I397" s="48"/>
    </row>
    <row r="398" spans="1:9" ht="21" customHeight="1" x14ac:dyDescent="0.2">
      <c r="A398" s="46"/>
      <c r="B398" s="46"/>
      <c r="C398" s="46"/>
      <c r="D398" s="46"/>
      <c r="E398" s="46"/>
      <c r="F398" s="47"/>
      <c r="G398" s="47"/>
      <c r="H398" s="48"/>
      <c r="I398" s="48"/>
    </row>
    <row r="399" spans="1:9" ht="21" customHeight="1" x14ac:dyDescent="0.2">
      <c r="A399" s="46"/>
      <c r="B399" s="46"/>
      <c r="C399" s="46"/>
      <c r="D399" s="46"/>
      <c r="E399" s="46"/>
      <c r="F399" s="47"/>
      <c r="G399" s="47"/>
      <c r="H399" s="48"/>
      <c r="I399" s="48"/>
    </row>
    <row r="400" spans="1:9" ht="21" customHeight="1" x14ac:dyDescent="0.2">
      <c r="A400" s="46"/>
      <c r="B400" s="46"/>
      <c r="C400" s="46"/>
      <c r="D400" s="46"/>
      <c r="E400" s="46"/>
      <c r="F400" s="47"/>
      <c r="G400" s="47"/>
      <c r="H400" s="48"/>
      <c r="I400" s="48"/>
    </row>
    <row r="401" spans="1:9" ht="21" customHeight="1" x14ac:dyDescent="0.2">
      <c r="A401" s="46"/>
      <c r="B401" s="46"/>
      <c r="C401" s="46"/>
      <c r="D401" s="46"/>
      <c r="E401" s="46"/>
      <c r="F401" s="47"/>
      <c r="G401" s="47"/>
      <c r="H401" s="48"/>
      <c r="I401" s="48"/>
    </row>
    <row r="402" spans="1:9" ht="21" customHeight="1" x14ac:dyDescent="0.2">
      <c r="A402" s="46"/>
      <c r="B402" s="46"/>
      <c r="C402" s="46"/>
      <c r="D402" s="46"/>
      <c r="E402" s="46"/>
      <c r="F402" s="47"/>
      <c r="G402" s="47"/>
      <c r="H402" s="48"/>
      <c r="I402" s="48"/>
    </row>
    <row r="403" spans="1:9" ht="21" customHeight="1" x14ac:dyDescent="0.2">
      <c r="A403" s="46"/>
      <c r="B403" s="46"/>
      <c r="C403" s="46"/>
      <c r="D403" s="46"/>
      <c r="E403" s="46"/>
      <c r="F403" s="47"/>
      <c r="G403" s="47"/>
      <c r="H403" s="48"/>
      <c r="I403" s="48"/>
    </row>
    <row r="404" spans="1:9" ht="21" customHeight="1" x14ac:dyDescent="0.2">
      <c r="A404" s="46"/>
      <c r="B404" s="46"/>
      <c r="C404" s="46"/>
      <c r="D404" s="46"/>
      <c r="E404" s="46"/>
      <c r="F404" s="47"/>
      <c r="G404" s="47"/>
      <c r="H404" s="48"/>
      <c r="I404" s="48"/>
    </row>
    <row r="405" spans="1:9" ht="21" customHeight="1" x14ac:dyDescent="0.2">
      <c r="A405" s="46"/>
      <c r="B405" s="46"/>
      <c r="C405" s="46"/>
      <c r="D405" s="46"/>
      <c r="E405" s="46"/>
      <c r="F405" s="47"/>
      <c r="G405" s="47"/>
      <c r="H405" s="48"/>
      <c r="I405" s="48"/>
    </row>
    <row r="406" spans="1:9" ht="21" customHeight="1" x14ac:dyDescent="0.2">
      <c r="A406" s="46"/>
      <c r="B406" s="46"/>
      <c r="C406" s="46"/>
      <c r="D406" s="46"/>
      <c r="E406" s="46"/>
      <c r="F406" s="47"/>
      <c r="G406" s="47"/>
      <c r="H406" s="48"/>
      <c r="I406" s="48"/>
    </row>
    <row r="407" spans="1:9" ht="21" customHeight="1" x14ac:dyDescent="0.2">
      <c r="A407" s="46"/>
      <c r="B407" s="46"/>
      <c r="C407" s="46"/>
      <c r="D407" s="46"/>
      <c r="E407" s="46"/>
      <c r="F407" s="47"/>
      <c r="G407" s="47"/>
      <c r="H407" s="48"/>
      <c r="I407" s="48"/>
    </row>
    <row r="408" spans="1:9" ht="21" customHeight="1" x14ac:dyDescent="0.2">
      <c r="A408" s="46"/>
      <c r="B408" s="46"/>
      <c r="C408" s="46"/>
      <c r="D408" s="46"/>
      <c r="E408" s="46"/>
      <c r="F408" s="47"/>
      <c r="G408" s="47"/>
      <c r="H408" s="48"/>
      <c r="I408" s="48"/>
    </row>
    <row r="409" spans="1:9" ht="21" customHeight="1" x14ac:dyDescent="0.2">
      <c r="A409" s="46"/>
      <c r="B409" s="46"/>
      <c r="C409" s="46"/>
      <c r="D409" s="46"/>
      <c r="E409" s="46"/>
      <c r="F409" s="47"/>
      <c r="G409" s="47"/>
      <c r="H409" s="48"/>
      <c r="I409" s="48"/>
    </row>
    <row r="410" spans="1:9" ht="21" customHeight="1" x14ac:dyDescent="0.2">
      <c r="A410" s="46"/>
      <c r="B410" s="46"/>
      <c r="C410" s="46"/>
      <c r="D410" s="46"/>
      <c r="E410" s="46"/>
      <c r="F410" s="47"/>
      <c r="G410" s="47"/>
      <c r="H410" s="48"/>
      <c r="I410" s="48"/>
    </row>
    <row r="411" spans="1:9" ht="21" customHeight="1" x14ac:dyDescent="0.2">
      <c r="A411" s="46"/>
      <c r="B411" s="46"/>
      <c r="C411" s="46"/>
      <c r="D411" s="46"/>
      <c r="E411" s="46"/>
      <c r="F411" s="47"/>
      <c r="G411" s="47"/>
      <c r="H411" s="48"/>
      <c r="I411" s="48"/>
    </row>
    <row r="412" spans="1:9" ht="21" customHeight="1" x14ac:dyDescent="0.2">
      <c r="A412" s="46"/>
      <c r="B412" s="46"/>
      <c r="C412" s="46"/>
      <c r="D412" s="46"/>
      <c r="E412" s="46"/>
      <c r="F412" s="47"/>
      <c r="G412" s="47"/>
      <c r="H412" s="48"/>
      <c r="I412" s="48"/>
    </row>
    <row r="413" spans="1:9" ht="21" customHeight="1" x14ac:dyDescent="0.2">
      <c r="A413" s="46"/>
      <c r="B413" s="46"/>
      <c r="C413" s="46"/>
      <c r="D413" s="46"/>
      <c r="E413" s="46"/>
      <c r="F413" s="47"/>
      <c r="G413" s="47"/>
      <c r="H413" s="48"/>
      <c r="I413" s="48"/>
    </row>
    <row r="414" spans="1:9" ht="21" customHeight="1" x14ac:dyDescent="0.2">
      <c r="A414" s="46"/>
      <c r="B414" s="46"/>
      <c r="C414" s="46"/>
      <c r="D414" s="46"/>
      <c r="E414" s="46"/>
      <c r="F414" s="47"/>
      <c r="G414" s="47"/>
      <c r="H414" s="48"/>
      <c r="I414" s="48"/>
    </row>
    <row r="415" spans="1:9" ht="21" customHeight="1" x14ac:dyDescent="0.2">
      <c r="A415" s="46"/>
      <c r="B415" s="46"/>
      <c r="C415" s="46"/>
      <c r="D415" s="46"/>
      <c r="E415" s="46"/>
      <c r="F415" s="47"/>
      <c r="G415" s="47"/>
      <c r="H415" s="48"/>
      <c r="I415" s="48"/>
    </row>
    <row r="416" spans="1:9" ht="21" customHeight="1" x14ac:dyDescent="0.2">
      <c r="A416" s="46"/>
      <c r="B416" s="46"/>
      <c r="C416" s="46"/>
      <c r="D416" s="46"/>
      <c r="E416" s="46"/>
      <c r="F416" s="47"/>
      <c r="G416" s="47"/>
      <c r="H416" s="48"/>
      <c r="I416" s="48"/>
    </row>
    <row r="417" spans="1:9" ht="21" customHeight="1" x14ac:dyDescent="0.2">
      <c r="A417" s="46"/>
      <c r="B417" s="46"/>
      <c r="C417" s="46"/>
      <c r="D417" s="46"/>
      <c r="E417" s="46"/>
      <c r="F417" s="47"/>
      <c r="G417" s="47"/>
      <c r="H417" s="48"/>
      <c r="I417" s="48"/>
    </row>
    <row r="418" spans="1:9" ht="21" customHeight="1" x14ac:dyDescent="0.2">
      <c r="A418" s="46"/>
      <c r="B418" s="46"/>
      <c r="C418" s="46"/>
      <c r="D418" s="46"/>
      <c r="E418" s="46"/>
      <c r="F418" s="47"/>
      <c r="G418" s="47"/>
      <c r="H418" s="48"/>
      <c r="I418" s="48"/>
    </row>
    <row r="419" spans="1:9" ht="21" customHeight="1" x14ac:dyDescent="0.2">
      <c r="A419" s="46"/>
      <c r="B419" s="46"/>
      <c r="C419" s="46"/>
      <c r="D419" s="46"/>
      <c r="E419" s="46"/>
      <c r="F419" s="47"/>
      <c r="G419" s="47"/>
      <c r="H419" s="48"/>
      <c r="I419" s="48"/>
    </row>
    <row r="420" spans="1:9" ht="21" customHeight="1" x14ac:dyDescent="0.2">
      <c r="A420" s="46"/>
      <c r="B420" s="46"/>
      <c r="C420" s="46"/>
      <c r="D420" s="46"/>
      <c r="E420" s="46"/>
      <c r="F420" s="47"/>
      <c r="G420" s="47"/>
      <c r="H420" s="48"/>
      <c r="I420" s="48"/>
    </row>
    <row r="421" spans="1:9" ht="21" customHeight="1" x14ac:dyDescent="0.2">
      <c r="A421" s="46"/>
      <c r="B421" s="46"/>
      <c r="C421" s="46"/>
      <c r="D421" s="46"/>
      <c r="E421" s="46"/>
      <c r="F421" s="47"/>
      <c r="G421" s="47"/>
      <c r="H421" s="48"/>
      <c r="I421" s="48"/>
    </row>
    <row r="422" spans="1:9" ht="21" customHeight="1" x14ac:dyDescent="0.2">
      <c r="A422" s="46"/>
      <c r="B422" s="46"/>
      <c r="C422" s="46"/>
      <c r="D422" s="46"/>
      <c r="E422" s="46"/>
      <c r="F422" s="47"/>
      <c r="G422" s="47"/>
      <c r="H422" s="48"/>
      <c r="I422" s="48"/>
    </row>
    <row r="423" spans="1:9" ht="21" customHeight="1" x14ac:dyDescent="0.2">
      <c r="A423" s="46"/>
      <c r="B423" s="46"/>
      <c r="C423" s="46"/>
      <c r="D423" s="46"/>
      <c r="E423" s="46"/>
      <c r="F423" s="47"/>
      <c r="G423" s="47"/>
      <c r="H423" s="48"/>
      <c r="I423" s="48"/>
    </row>
    <row r="424" spans="1:9" ht="21" customHeight="1" x14ac:dyDescent="0.2">
      <c r="A424" s="46"/>
      <c r="B424" s="46"/>
      <c r="C424" s="46"/>
      <c r="D424" s="46"/>
      <c r="E424" s="46"/>
      <c r="F424" s="47"/>
      <c r="G424" s="47"/>
      <c r="H424" s="48"/>
      <c r="I424" s="48"/>
    </row>
    <row r="425" spans="1:9" ht="21" customHeight="1" x14ac:dyDescent="0.2">
      <c r="A425" s="46"/>
      <c r="B425" s="46"/>
      <c r="C425" s="46"/>
      <c r="D425" s="46"/>
      <c r="E425" s="46"/>
      <c r="F425" s="47"/>
      <c r="G425" s="47"/>
      <c r="H425" s="48"/>
      <c r="I425" s="48"/>
    </row>
    <row r="426" spans="1:9" ht="21" customHeight="1" x14ac:dyDescent="0.2">
      <c r="A426" s="46"/>
      <c r="B426" s="46"/>
      <c r="C426" s="46"/>
      <c r="D426" s="46"/>
      <c r="E426" s="46"/>
      <c r="F426" s="47"/>
      <c r="G426" s="47"/>
      <c r="H426" s="48"/>
      <c r="I426" s="48"/>
    </row>
    <row r="427" spans="1:9" ht="21" customHeight="1" x14ac:dyDescent="0.2">
      <c r="A427" s="46"/>
      <c r="B427" s="46"/>
      <c r="C427" s="46"/>
      <c r="D427" s="46"/>
      <c r="E427" s="46"/>
      <c r="F427" s="47"/>
      <c r="G427" s="47"/>
      <c r="H427" s="48"/>
      <c r="I427" s="48"/>
    </row>
    <row r="428" spans="1:9" ht="21" customHeight="1" x14ac:dyDescent="0.2">
      <c r="A428" s="46"/>
      <c r="B428" s="46"/>
      <c r="C428" s="46"/>
      <c r="D428" s="46"/>
      <c r="E428" s="46"/>
      <c r="F428" s="47"/>
      <c r="G428" s="47"/>
      <c r="H428" s="48"/>
      <c r="I428" s="48"/>
    </row>
    <row r="429" spans="1:9" ht="21" customHeight="1" x14ac:dyDescent="0.2">
      <c r="A429" s="46"/>
      <c r="B429" s="46"/>
      <c r="C429" s="46"/>
      <c r="D429" s="46"/>
      <c r="E429" s="46"/>
      <c r="F429" s="47"/>
      <c r="G429" s="47"/>
      <c r="H429" s="48"/>
      <c r="I429" s="48"/>
    </row>
    <row r="430" spans="1:9" ht="21" customHeight="1" x14ac:dyDescent="0.2">
      <c r="A430" s="46"/>
      <c r="B430" s="46"/>
      <c r="C430" s="46"/>
      <c r="D430" s="46"/>
      <c r="E430" s="46"/>
      <c r="F430" s="47"/>
      <c r="G430" s="47"/>
      <c r="H430" s="48"/>
      <c r="I430" s="48"/>
    </row>
    <row r="431" spans="1:9" ht="21" customHeight="1" x14ac:dyDescent="0.2">
      <c r="A431" s="46"/>
      <c r="B431" s="46"/>
      <c r="C431" s="46"/>
      <c r="D431" s="46"/>
      <c r="E431" s="46"/>
      <c r="F431" s="47"/>
      <c r="G431" s="47"/>
      <c r="H431" s="48"/>
      <c r="I431" s="48"/>
    </row>
    <row r="432" spans="1:9" ht="21" customHeight="1" x14ac:dyDescent="0.2">
      <c r="A432" s="46"/>
      <c r="B432" s="46"/>
      <c r="C432" s="46"/>
      <c r="D432" s="46"/>
      <c r="E432" s="46"/>
      <c r="F432" s="47"/>
      <c r="G432" s="47"/>
      <c r="H432" s="48"/>
      <c r="I432" s="48"/>
    </row>
    <row r="433" spans="1:9" ht="21" customHeight="1" x14ac:dyDescent="0.2">
      <c r="A433" s="46"/>
      <c r="B433" s="46"/>
      <c r="C433" s="46"/>
      <c r="D433" s="46"/>
      <c r="E433" s="46"/>
      <c r="F433" s="47"/>
      <c r="G433" s="47"/>
      <c r="H433" s="48"/>
      <c r="I433" s="48"/>
    </row>
    <row r="434" spans="1:9" ht="21" customHeight="1" x14ac:dyDescent="0.2">
      <c r="A434" s="46"/>
      <c r="B434" s="46"/>
      <c r="C434" s="46"/>
      <c r="D434" s="46"/>
      <c r="E434" s="46"/>
      <c r="F434" s="47"/>
      <c r="G434" s="47"/>
      <c r="H434" s="48"/>
      <c r="I434" s="48"/>
    </row>
    <row r="435" spans="1:9" ht="21" customHeight="1" x14ac:dyDescent="0.2">
      <c r="A435" s="46"/>
      <c r="B435" s="46"/>
      <c r="C435" s="46"/>
      <c r="D435" s="46"/>
      <c r="E435" s="46"/>
      <c r="F435" s="47"/>
      <c r="G435" s="47"/>
      <c r="H435" s="48"/>
      <c r="I435" s="48"/>
    </row>
    <row r="436" spans="1:9" ht="21" customHeight="1" x14ac:dyDescent="0.2">
      <c r="A436" s="46"/>
      <c r="B436" s="46"/>
      <c r="C436" s="46"/>
      <c r="D436" s="46"/>
      <c r="E436" s="46"/>
      <c r="F436" s="47"/>
      <c r="G436" s="47"/>
      <c r="H436" s="48"/>
      <c r="I436" s="48"/>
    </row>
    <row r="437" spans="1:9" ht="21" customHeight="1" x14ac:dyDescent="0.2">
      <c r="A437" s="46"/>
      <c r="B437" s="46"/>
      <c r="C437" s="46"/>
      <c r="D437" s="46"/>
      <c r="E437" s="46"/>
      <c r="F437" s="47"/>
      <c r="G437" s="47"/>
      <c r="H437" s="48"/>
      <c r="I437" s="48"/>
    </row>
    <row r="438" spans="1:9" ht="21" customHeight="1" x14ac:dyDescent="0.2">
      <c r="A438" s="46"/>
      <c r="B438" s="46"/>
      <c r="C438" s="46"/>
      <c r="D438" s="46"/>
      <c r="E438" s="46"/>
      <c r="F438" s="47"/>
      <c r="G438" s="47"/>
      <c r="H438" s="48"/>
      <c r="I438" s="48"/>
    </row>
    <row r="439" spans="1:9" ht="21" customHeight="1" x14ac:dyDescent="0.2">
      <c r="A439" s="46"/>
      <c r="B439" s="46"/>
      <c r="C439" s="46"/>
      <c r="D439" s="46"/>
      <c r="E439" s="46"/>
      <c r="F439" s="47"/>
      <c r="G439" s="47"/>
      <c r="H439" s="48"/>
      <c r="I439" s="48"/>
    </row>
    <row r="440" spans="1:9" ht="21" customHeight="1" x14ac:dyDescent="0.2">
      <c r="A440" s="46"/>
      <c r="B440" s="46"/>
      <c r="C440" s="46"/>
      <c r="D440" s="46"/>
      <c r="E440" s="46"/>
      <c r="F440" s="47"/>
      <c r="G440" s="47"/>
      <c r="H440" s="48"/>
      <c r="I440" s="48"/>
    </row>
    <row r="441" spans="1:9" ht="21" customHeight="1" x14ac:dyDescent="0.2">
      <c r="A441" s="46"/>
      <c r="B441" s="46"/>
      <c r="C441" s="46"/>
      <c r="D441" s="46"/>
      <c r="E441" s="46"/>
      <c r="F441" s="47"/>
      <c r="G441" s="47"/>
      <c r="H441" s="48"/>
      <c r="I441" s="48"/>
    </row>
    <row r="442" spans="1:9" ht="21" customHeight="1" x14ac:dyDescent="0.2">
      <c r="A442" s="46"/>
      <c r="B442" s="46"/>
      <c r="C442" s="46"/>
      <c r="D442" s="46"/>
      <c r="E442" s="46"/>
      <c r="F442" s="47"/>
      <c r="G442" s="47"/>
      <c r="H442" s="48"/>
      <c r="I442" s="48"/>
    </row>
    <row r="443" spans="1:9" ht="21" customHeight="1" x14ac:dyDescent="0.2">
      <c r="A443" s="46"/>
      <c r="B443" s="46"/>
      <c r="C443" s="46"/>
      <c r="D443" s="46"/>
      <c r="E443" s="46"/>
      <c r="F443" s="47"/>
      <c r="G443" s="47"/>
      <c r="H443" s="48"/>
      <c r="I443" s="48"/>
    </row>
    <row r="444" spans="1:9" ht="21" customHeight="1" x14ac:dyDescent="0.2">
      <c r="A444" s="46"/>
      <c r="B444" s="46"/>
      <c r="C444" s="46"/>
      <c r="D444" s="46"/>
      <c r="E444" s="46"/>
      <c r="F444" s="47"/>
      <c r="G444" s="47"/>
      <c r="H444" s="48"/>
      <c r="I444" s="48"/>
    </row>
    <row r="445" spans="1:9" ht="21" customHeight="1" x14ac:dyDescent="0.2">
      <c r="A445" s="46"/>
      <c r="B445" s="46"/>
      <c r="C445" s="46"/>
      <c r="D445" s="46"/>
      <c r="E445" s="46"/>
      <c r="F445" s="47"/>
      <c r="G445" s="47"/>
      <c r="H445" s="48"/>
      <c r="I445" s="48"/>
    </row>
    <row r="446" spans="1:9" ht="21" customHeight="1" x14ac:dyDescent="0.2">
      <c r="A446" s="46"/>
      <c r="B446" s="46"/>
      <c r="C446" s="46"/>
      <c r="D446" s="46"/>
      <c r="E446" s="46"/>
      <c r="F446" s="47"/>
      <c r="G446" s="47"/>
      <c r="H446" s="48"/>
      <c r="I446" s="48"/>
    </row>
    <row r="447" spans="1:9" ht="21" customHeight="1" x14ac:dyDescent="0.2">
      <c r="A447" s="46"/>
      <c r="B447" s="46"/>
      <c r="C447" s="46"/>
      <c r="D447" s="46"/>
      <c r="E447" s="46"/>
      <c r="F447" s="47"/>
      <c r="G447" s="47"/>
      <c r="H447" s="48"/>
      <c r="I447" s="48"/>
    </row>
    <row r="448" spans="1:9" ht="21" customHeight="1" x14ac:dyDescent="0.2">
      <c r="A448" s="46"/>
      <c r="B448" s="46"/>
      <c r="C448" s="46"/>
      <c r="D448" s="46"/>
      <c r="E448" s="46"/>
      <c r="F448" s="47"/>
      <c r="G448" s="47"/>
      <c r="H448" s="48"/>
      <c r="I448" s="48"/>
    </row>
    <row r="449" spans="1:9" ht="21" customHeight="1" x14ac:dyDescent="0.2">
      <c r="A449" s="46"/>
      <c r="B449" s="46"/>
      <c r="C449" s="46"/>
      <c r="D449" s="46"/>
      <c r="E449" s="46"/>
      <c r="F449" s="47"/>
      <c r="G449" s="47"/>
      <c r="H449" s="48"/>
      <c r="I449" s="48"/>
    </row>
    <row r="450" spans="1:9" ht="21" customHeight="1" x14ac:dyDescent="0.2">
      <c r="A450" s="46"/>
      <c r="B450" s="46"/>
      <c r="C450" s="46"/>
      <c r="D450" s="46"/>
      <c r="E450" s="46"/>
      <c r="F450" s="47"/>
      <c r="G450" s="47"/>
      <c r="H450" s="48"/>
      <c r="I450" s="48"/>
    </row>
    <row r="451" spans="1:9" ht="21" customHeight="1" x14ac:dyDescent="0.2">
      <c r="A451" s="46"/>
      <c r="B451" s="46"/>
      <c r="C451" s="46"/>
      <c r="D451" s="46"/>
      <c r="E451" s="46"/>
      <c r="F451" s="47"/>
      <c r="G451" s="47"/>
      <c r="H451" s="48"/>
      <c r="I451" s="48"/>
    </row>
    <row r="452" spans="1:9" ht="21" customHeight="1" x14ac:dyDescent="0.2">
      <c r="A452" s="46"/>
      <c r="B452" s="46"/>
      <c r="C452" s="46"/>
      <c r="D452" s="46"/>
      <c r="E452" s="46"/>
      <c r="F452" s="47"/>
      <c r="G452" s="47"/>
      <c r="H452" s="48"/>
      <c r="I452" s="48"/>
    </row>
    <row r="453" spans="1:9" ht="21" customHeight="1" x14ac:dyDescent="0.2">
      <c r="A453" s="46"/>
      <c r="B453" s="46"/>
      <c r="C453" s="46"/>
      <c r="D453" s="46"/>
      <c r="E453" s="46"/>
      <c r="F453" s="47"/>
      <c r="G453" s="47"/>
      <c r="H453" s="48"/>
      <c r="I453" s="48"/>
    </row>
    <row r="454" spans="1:9" ht="21" customHeight="1" x14ac:dyDescent="0.2">
      <c r="A454" s="46"/>
      <c r="B454" s="46"/>
      <c r="C454" s="46"/>
      <c r="D454" s="46"/>
      <c r="E454" s="46"/>
      <c r="F454" s="47"/>
      <c r="G454" s="47"/>
      <c r="H454" s="48"/>
      <c r="I454" s="48"/>
    </row>
    <row r="455" spans="1:9" ht="21" customHeight="1" x14ac:dyDescent="0.2">
      <c r="A455" s="46"/>
      <c r="B455" s="46"/>
      <c r="C455" s="46"/>
      <c r="D455" s="46"/>
      <c r="E455" s="46"/>
      <c r="F455" s="47"/>
      <c r="G455" s="47"/>
      <c r="H455" s="48"/>
      <c r="I455" s="48"/>
    </row>
    <row r="456" spans="1:9" ht="21" customHeight="1" x14ac:dyDescent="0.2">
      <c r="A456" s="46"/>
      <c r="B456" s="46"/>
      <c r="C456" s="46"/>
      <c r="D456" s="46"/>
      <c r="E456" s="46"/>
      <c r="F456" s="47"/>
      <c r="G456" s="47"/>
      <c r="H456" s="48"/>
      <c r="I456" s="48"/>
    </row>
    <row r="457" spans="1:9" ht="21" customHeight="1" x14ac:dyDescent="0.2">
      <c r="A457" s="46"/>
      <c r="B457" s="46"/>
      <c r="C457" s="46"/>
      <c r="D457" s="46"/>
      <c r="E457" s="46"/>
      <c r="F457" s="47"/>
      <c r="G457" s="47"/>
      <c r="H457" s="48"/>
      <c r="I457" s="48"/>
    </row>
    <row r="458" spans="1:9" ht="21" customHeight="1" x14ac:dyDescent="0.2">
      <c r="A458" s="46"/>
      <c r="B458" s="46"/>
      <c r="C458" s="46"/>
      <c r="D458" s="46"/>
      <c r="E458" s="46"/>
      <c r="F458" s="47"/>
      <c r="G458" s="47"/>
      <c r="H458" s="48"/>
      <c r="I458" s="48"/>
    </row>
    <row r="459" spans="1:9" ht="21" customHeight="1" x14ac:dyDescent="0.2">
      <c r="A459" s="46"/>
      <c r="B459" s="46"/>
      <c r="C459" s="46"/>
      <c r="D459" s="46"/>
      <c r="E459" s="46"/>
      <c r="F459" s="47"/>
      <c r="G459" s="47"/>
      <c r="H459" s="48"/>
      <c r="I459" s="48"/>
    </row>
    <row r="460" spans="1:9" ht="21" customHeight="1" x14ac:dyDescent="0.2">
      <c r="A460" s="46"/>
      <c r="B460" s="46"/>
      <c r="C460" s="46"/>
      <c r="D460" s="46"/>
      <c r="E460" s="46"/>
      <c r="F460" s="47"/>
      <c r="G460" s="47"/>
      <c r="H460" s="48"/>
      <c r="I460" s="48"/>
    </row>
    <row r="461" spans="1:9" ht="21" customHeight="1" x14ac:dyDescent="0.2">
      <c r="A461" s="46"/>
      <c r="B461" s="46"/>
      <c r="C461" s="46"/>
      <c r="D461" s="46"/>
      <c r="E461" s="46"/>
      <c r="F461" s="47"/>
      <c r="G461" s="47"/>
      <c r="H461" s="48"/>
      <c r="I461" s="48"/>
    </row>
    <row r="462" spans="1:9" ht="21" customHeight="1" x14ac:dyDescent="0.2">
      <c r="A462" s="46"/>
      <c r="B462" s="46"/>
      <c r="C462" s="46"/>
      <c r="D462" s="46"/>
      <c r="E462" s="46"/>
      <c r="F462" s="47"/>
      <c r="G462" s="47"/>
      <c r="H462" s="48"/>
      <c r="I462" s="48"/>
    </row>
    <row r="463" spans="1:9" ht="21" customHeight="1" x14ac:dyDescent="0.2">
      <c r="A463" s="46"/>
      <c r="B463" s="46"/>
      <c r="C463" s="46"/>
      <c r="D463" s="46"/>
      <c r="E463" s="46"/>
      <c r="F463" s="47"/>
      <c r="G463" s="47"/>
      <c r="H463" s="48"/>
      <c r="I463" s="48"/>
    </row>
    <row r="464" spans="1:9" ht="21" customHeight="1" x14ac:dyDescent="0.2">
      <c r="A464" s="46"/>
      <c r="B464" s="46"/>
      <c r="C464" s="46"/>
      <c r="D464" s="46"/>
      <c r="E464" s="46"/>
      <c r="F464" s="47"/>
      <c r="G464" s="47"/>
      <c r="H464" s="48"/>
      <c r="I464" s="48"/>
    </row>
    <row r="465" spans="1:9" ht="21" customHeight="1" x14ac:dyDescent="0.2">
      <c r="A465" s="46"/>
      <c r="B465" s="46"/>
      <c r="C465" s="46"/>
      <c r="D465" s="46"/>
      <c r="E465" s="46"/>
      <c r="F465" s="47"/>
      <c r="G465" s="47"/>
      <c r="H465" s="48"/>
      <c r="I465" s="48"/>
    </row>
    <row r="466" spans="1:9" ht="21" customHeight="1" x14ac:dyDescent="0.2">
      <c r="A466" s="46"/>
      <c r="B466" s="46"/>
      <c r="C466" s="46"/>
      <c r="D466" s="46"/>
      <c r="E466" s="46"/>
      <c r="F466" s="47"/>
      <c r="G466" s="47"/>
      <c r="H466" s="48"/>
      <c r="I466" s="48"/>
    </row>
    <row r="467" spans="1:9" ht="21" customHeight="1" x14ac:dyDescent="0.2">
      <c r="A467" s="46"/>
      <c r="B467" s="46"/>
      <c r="C467" s="46"/>
      <c r="D467" s="46"/>
      <c r="E467" s="46"/>
      <c r="F467" s="47"/>
      <c r="G467" s="47"/>
      <c r="H467" s="48"/>
      <c r="I467" s="48"/>
    </row>
    <row r="468" spans="1:9" ht="21" customHeight="1" x14ac:dyDescent="0.2">
      <c r="A468" s="46"/>
      <c r="B468" s="46"/>
      <c r="C468" s="46"/>
      <c r="D468" s="46"/>
      <c r="E468" s="46"/>
      <c r="F468" s="47"/>
      <c r="G468" s="47"/>
      <c r="H468" s="48"/>
      <c r="I468" s="48"/>
    </row>
    <row r="469" spans="1:9" ht="21" customHeight="1" x14ac:dyDescent="0.2">
      <c r="A469" s="46"/>
      <c r="B469" s="46"/>
      <c r="C469" s="46"/>
      <c r="D469" s="46"/>
      <c r="E469" s="46"/>
      <c r="F469" s="47"/>
      <c r="G469" s="47"/>
      <c r="H469" s="48"/>
      <c r="I469" s="48"/>
    </row>
    <row r="470" spans="1:9" ht="21" customHeight="1" x14ac:dyDescent="0.2">
      <c r="A470" s="46"/>
      <c r="B470" s="46"/>
      <c r="C470" s="46"/>
      <c r="D470" s="46"/>
      <c r="E470" s="46"/>
      <c r="F470" s="47"/>
      <c r="G470" s="47"/>
      <c r="H470" s="48"/>
      <c r="I470" s="48"/>
    </row>
    <row r="471" spans="1:9" ht="21" customHeight="1" x14ac:dyDescent="0.2">
      <c r="A471" s="46"/>
      <c r="B471" s="46"/>
      <c r="C471" s="46"/>
      <c r="D471" s="46"/>
      <c r="E471" s="46"/>
      <c r="F471" s="47"/>
      <c r="G471" s="47"/>
      <c r="H471" s="48"/>
      <c r="I471" s="48"/>
    </row>
    <row r="472" spans="1:9" ht="21" customHeight="1" x14ac:dyDescent="0.2">
      <c r="A472" s="46"/>
      <c r="B472" s="46"/>
      <c r="C472" s="46"/>
      <c r="D472" s="46"/>
      <c r="E472" s="46"/>
      <c r="F472" s="47"/>
      <c r="G472" s="47"/>
      <c r="H472" s="48"/>
      <c r="I472" s="48"/>
    </row>
    <row r="473" spans="1:9" ht="21" customHeight="1" x14ac:dyDescent="0.2">
      <c r="A473" s="46"/>
      <c r="B473" s="46"/>
      <c r="C473" s="46"/>
      <c r="D473" s="46"/>
      <c r="E473" s="46"/>
      <c r="F473" s="47"/>
      <c r="G473" s="47"/>
      <c r="H473" s="48"/>
      <c r="I473" s="48"/>
    </row>
    <row r="474" spans="1:9" ht="21" customHeight="1" x14ac:dyDescent="0.2">
      <c r="A474" s="46"/>
      <c r="B474" s="46"/>
      <c r="C474" s="46"/>
      <c r="D474" s="46"/>
      <c r="E474" s="46"/>
      <c r="F474" s="47"/>
      <c r="G474" s="47"/>
      <c r="H474" s="48"/>
      <c r="I474" s="48"/>
    </row>
    <row r="475" spans="1:9" ht="21" customHeight="1" x14ac:dyDescent="0.2">
      <c r="A475" s="46"/>
      <c r="B475" s="46"/>
      <c r="C475" s="46"/>
      <c r="D475" s="46"/>
      <c r="E475" s="46"/>
      <c r="F475" s="47"/>
      <c r="G475" s="47"/>
      <c r="H475" s="48"/>
      <c r="I475" s="48"/>
    </row>
    <row r="476" spans="1:9" ht="21" customHeight="1" x14ac:dyDescent="0.2">
      <c r="A476" s="46"/>
      <c r="B476" s="46"/>
      <c r="C476" s="46"/>
      <c r="D476" s="46"/>
      <c r="E476" s="46"/>
      <c r="F476" s="47"/>
      <c r="G476" s="47"/>
      <c r="H476" s="48"/>
      <c r="I476" s="48"/>
    </row>
    <row r="477" spans="1:9" ht="21" customHeight="1" x14ac:dyDescent="0.2">
      <c r="A477" s="46"/>
      <c r="B477" s="46"/>
      <c r="C477" s="46"/>
      <c r="D477" s="46"/>
      <c r="E477" s="46"/>
      <c r="F477" s="47"/>
      <c r="G477" s="47"/>
      <c r="H477" s="48"/>
      <c r="I477" s="48"/>
    </row>
    <row r="478" spans="1:9" ht="21" customHeight="1" x14ac:dyDescent="0.2">
      <c r="A478" s="46"/>
      <c r="B478" s="46"/>
      <c r="C478" s="46"/>
      <c r="D478" s="46"/>
      <c r="E478" s="46"/>
      <c r="F478" s="47"/>
      <c r="G478" s="47"/>
      <c r="H478" s="48"/>
      <c r="I478" s="48"/>
    </row>
    <row r="479" spans="1:9" ht="21" customHeight="1" x14ac:dyDescent="0.2">
      <c r="A479" s="46"/>
      <c r="B479" s="46"/>
      <c r="C479" s="46"/>
      <c r="D479" s="46"/>
      <c r="E479" s="46"/>
      <c r="F479" s="47"/>
      <c r="G479" s="47"/>
      <c r="H479" s="48"/>
      <c r="I479" s="48"/>
    </row>
    <row r="480" spans="1:9" ht="21" customHeight="1" x14ac:dyDescent="0.2">
      <c r="A480" s="46"/>
      <c r="B480" s="46"/>
      <c r="C480" s="46"/>
      <c r="D480" s="46"/>
      <c r="E480" s="46"/>
      <c r="F480" s="47"/>
      <c r="G480" s="47"/>
      <c r="H480" s="48"/>
      <c r="I480" s="48"/>
    </row>
    <row r="481" spans="1:9" ht="21" customHeight="1" x14ac:dyDescent="0.2">
      <c r="A481" s="46"/>
      <c r="B481" s="46"/>
      <c r="C481" s="46"/>
      <c r="D481" s="46"/>
      <c r="E481" s="46"/>
      <c r="F481" s="47"/>
      <c r="G481" s="47"/>
      <c r="H481" s="48"/>
      <c r="I481" s="48"/>
    </row>
    <row r="482" spans="1:9" ht="21" customHeight="1" x14ac:dyDescent="0.2">
      <c r="A482" s="46"/>
      <c r="B482" s="46"/>
      <c r="C482" s="46"/>
      <c r="D482" s="46"/>
      <c r="E482" s="46"/>
      <c r="F482" s="47"/>
      <c r="G482" s="47"/>
      <c r="H482" s="48"/>
      <c r="I482" s="48"/>
    </row>
    <row r="483" spans="1:9" ht="21" customHeight="1" x14ac:dyDescent="0.2">
      <c r="A483" s="46"/>
      <c r="B483" s="46"/>
      <c r="C483" s="46"/>
      <c r="D483" s="46"/>
      <c r="E483" s="46"/>
      <c r="F483" s="47"/>
      <c r="G483" s="47"/>
      <c r="H483" s="48"/>
      <c r="I483" s="48"/>
    </row>
    <row r="484" spans="1:9" ht="21" customHeight="1" x14ac:dyDescent="0.2">
      <c r="A484" s="46"/>
      <c r="B484" s="46"/>
      <c r="C484" s="46"/>
      <c r="D484" s="46"/>
      <c r="E484" s="46"/>
      <c r="F484" s="47"/>
      <c r="G484" s="47"/>
      <c r="H484" s="48"/>
      <c r="I484" s="48"/>
    </row>
    <row r="485" spans="1:9" ht="21" customHeight="1" x14ac:dyDescent="0.2">
      <c r="A485" s="46"/>
      <c r="B485" s="46"/>
      <c r="C485" s="46"/>
      <c r="D485" s="46"/>
      <c r="E485" s="46"/>
      <c r="F485" s="47"/>
      <c r="G485" s="47"/>
      <c r="H485" s="48"/>
      <c r="I485" s="48"/>
    </row>
    <row r="486" spans="1:9" ht="21" customHeight="1" x14ac:dyDescent="0.2">
      <c r="A486" s="46"/>
      <c r="B486" s="46"/>
      <c r="C486" s="46"/>
      <c r="D486" s="46"/>
      <c r="E486" s="46"/>
      <c r="F486" s="47"/>
      <c r="G486" s="47"/>
      <c r="H486" s="48"/>
      <c r="I486" s="48"/>
    </row>
    <row r="487" spans="1:9" ht="21" customHeight="1" x14ac:dyDescent="0.2">
      <c r="A487" s="46"/>
      <c r="B487" s="46"/>
      <c r="C487" s="46"/>
      <c r="D487" s="46"/>
      <c r="E487" s="46"/>
      <c r="F487" s="47"/>
      <c r="G487" s="47"/>
      <c r="H487" s="48"/>
      <c r="I487" s="48"/>
    </row>
    <row r="488" spans="1:9" ht="21" customHeight="1" x14ac:dyDescent="0.2">
      <c r="A488" s="46"/>
      <c r="B488" s="46"/>
      <c r="C488" s="46"/>
      <c r="D488" s="46"/>
      <c r="E488" s="46"/>
      <c r="F488" s="47"/>
      <c r="G488" s="47"/>
      <c r="H488" s="48"/>
      <c r="I488" s="48"/>
    </row>
    <row r="489" spans="1:9" ht="21" customHeight="1" x14ac:dyDescent="0.2">
      <c r="A489" s="46"/>
      <c r="B489" s="46"/>
      <c r="C489" s="46"/>
      <c r="D489" s="46"/>
      <c r="E489" s="46"/>
      <c r="F489" s="47"/>
      <c r="G489" s="47"/>
      <c r="H489" s="48"/>
      <c r="I489" s="48"/>
    </row>
    <row r="490" spans="1:9" ht="21" customHeight="1" x14ac:dyDescent="0.2">
      <c r="A490" s="46"/>
      <c r="B490" s="46"/>
      <c r="C490" s="46"/>
      <c r="D490" s="46"/>
      <c r="E490" s="46"/>
      <c r="F490" s="47"/>
      <c r="G490" s="47"/>
      <c r="H490" s="48"/>
      <c r="I490" s="48"/>
    </row>
    <row r="491" spans="1:9" ht="21" customHeight="1" x14ac:dyDescent="0.2">
      <c r="A491" s="46"/>
      <c r="B491" s="46"/>
      <c r="C491" s="46"/>
      <c r="D491" s="46"/>
      <c r="E491" s="46"/>
      <c r="F491" s="47"/>
      <c r="G491" s="47"/>
      <c r="H491" s="48"/>
      <c r="I491" s="48"/>
    </row>
    <row r="492" spans="1:9" ht="21" customHeight="1" x14ac:dyDescent="0.2">
      <c r="A492" s="46"/>
      <c r="B492" s="46"/>
      <c r="C492" s="46"/>
      <c r="D492" s="46"/>
      <c r="E492" s="46"/>
      <c r="F492" s="47"/>
      <c r="G492" s="47"/>
      <c r="H492" s="48"/>
      <c r="I492" s="48"/>
    </row>
    <row r="493" spans="1:9" ht="21" customHeight="1" x14ac:dyDescent="0.2">
      <c r="A493" s="46"/>
      <c r="B493" s="46"/>
      <c r="C493" s="46"/>
      <c r="D493" s="46"/>
      <c r="E493" s="46"/>
      <c r="F493" s="47"/>
      <c r="G493" s="47"/>
      <c r="H493" s="48"/>
      <c r="I493" s="48"/>
    </row>
    <row r="494" spans="1:9" ht="21" customHeight="1" x14ac:dyDescent="0.2">
      <c r="A494" s="46"/>
      <c r="B494" s="46"/>
      <c r="C494" s="46"/>
      <c r="D494" s="46"/>
      <c r="E494" s="46"/>
      <c r="F494" s="47"/>
      <c r="G494" s="47"/>
      <c r="H494" s="48"/>
      <c r="I494" s="48"/>
    </row>
    <row r="495" spans="1:9" ht="21" customHeight="1" x14ac:dyDescent="0.2">
      <c r="A495" s="46"/>
      <c r="B495" s="46"/>
      <c r="C495" s="46"/>
      <c r="D495" s="46"/>
      <c r="E495" s="46"/>
      <c r="F495" s="47"/>
      <c r="G495" s="47"/>
      <c r="H495" s="48"/>
      <c r="I495" s="48"/>
    </row>
    <row r="496" spans="1:9" ht="21" customHeight="1" x14ac:dyDescent="0.2">
      <c r="A496" s="46"/>
      <c r="B496" s="46"/>
      <c r="C496" s="46"/>
      <c r="D496" s="46"/>
      <c r="E496" s="46"/>
      <c r="F496" s="47"/>
      <c r="G496" s="47"/>
      <c r="H496" s="48"/>
      <c r="I496" s="48"/>
    </row>
    <row r="497" spans="1:9" ht="21" customHeight="1" x14ac:dyDescent="0.2">
      <c r="A497" s="46"/>
      <c r="B497" s="46"/>
      <c r="C497" s="46"/>
      <c r="D497" s="46"/>
      <c r="E497" s="46"/>
      <c r="F497" s="47"/>
      <c r="G497" s="47"/>
      <c r="H497" s="48"/>
      <c r="I497" s="48"/>
    </row>
    <row r="498" spans="1:9" ht="21" customHeight="1" x14ac:dyDescent="0.2">
      <c r="A498" s="46"/>
      <c r="B498" s="46"/>
      <c r="C498" s="46"/>
      <c r="D498" s="46"/>
      <c r="E498" s="46"/>
      <c r="F498" s="47"/>
      <c r="G498" s="47"/>
      <c r="H498" s="48"/>
      <c r="I498" s="48"/>
    </row>
    <row r="499" spans="1:9" ht="21" customHeight="1" x14ac:dyDescent="0.2">
      <c r="A499" s="46"/>
      <c r="B499" s="46"/>
      <c r="C499" s="46"/>
      <c r="D499" s="46"/>
      <c r="E499" s="46"/>
      <c r="F499" s="47"/>
      <c r="G499" s="47"/>
      <c r="H499" s="48"/>
      <c r="I499" s="48"/>
    </row>
    <row r="500" spans="1:9" ht="21" customHeight="1" x14ac:dyDescent="0.2">
      <c r="A500" s="46"/>
      <c r="B500" s="46"/>
      <c r="C500" s="46"/>
      <c r="D500" s="46"/>
      <c r="E500" s="46"/>
      <c r="F500" s="47"/>
      <c r="G500" s="47"/>
      <c r="H500" s="48"/>
      <c r="I500" s="48"/>
    </row>
    <row r="501" spans="1:9" ht="21" customHeight="1" x14ac:dyDescent="0.2">
      <c r="A501" s="46"/>
      <c r="B501" s="46"/>
      <c r="C501" s="46"/>
      <c r="D501" s="46"/>
      <c r="E501" s="46"/>
      <c r="F501" s="47"/>
      <c r="G501" s="47"/>
      <c r="H501" s="48"/>
      <c r="I501" s="48"/>
    </row>
    <row r="502" spans="1:9" ht="21" customHeight="1" x14ac:dyDescent="0.2">
      <c r="A502" s="46"/>
      <c r="B502" s="46"/>
      <c r="C502" s="46"/>
      <c r="D502" s="46"/>
      <c r="E502" s="46"/>
      <c r="F502" s="47"/>
      <c r="G502" s="47"/>
      <c r="H502" s="48"/>
      <c r="I502" s="48"/>
    </row>
    <row r="503" spans="1:9" ht="21" customHeight="1" x14ac:dyDescent="0.2">
      <c r="A503" s="46"/>
      <c r="B503" s="46"/>
      <c r="C503" s="46"/>
      <c r="D503" s="46"/>
      <c r="E503" s="46"/>
      <c r="F503" s="47"/>
      <c r="G503" s="47"/>
      <c r="H503" s="48"/>
      <c r="I503" s="48"/>
    </row>
    <row r="504" spans="1:9" ht="21" customHeight="1" x14ac:dyDescent="0.2">
      <c r="A504" s="46"/>
      <c r="B504" s="46"/>
      <c r="C504" s="46"/>
      <c r="D504" s="46"/>
      <c r="E504" s="46"/>
      <c r="F504" s="47"/>
      <c r="G504" s="47"/>
      <c r="H504" s="48"/>
      <c r="I504" s="48"/>
    </row>
    <row r="505" spans="1:9" ht="21" customHeight="1" x14ac:dyDescent="0.2">
      <c r="A505" s="46"/>
      <c r="B505" s="46"/>
      <c r="C505" s="46"/>
      <c r="D505" s="46"/>
      <c r="E505" s="46"/>
      <c r="F505" s="47"/>
      <c r="G505" s="47"/>
      <c r="H505" s="48"/>
      <c r="I505" s="48"/>
    </row>
    <row r="506" spans="1:9" ht="21" customHeight="1" x14ac:dyDescent="0.2">
      <c r="A506" s="46"/>
      <c r="B506" s="46"/>
      <c r="C506" s="46"/>
      <c r="D506" s="46"/>
      <c r="E506" s="46"/>
      <c r="F506" s="47"/>
      <c r="G506" s="47"/>
      <c r="H506" s="48"/>
      <c r="I506" s="48"/>
    </row>
    <row r="507" spans="1:9" ht="21" customHeight="1" x14ac:dyDescent="0.2">
      <c r="A507" s="46"/>
      <c r="B507" s="46"/>
      <c r="C507" s="46"/>
      <c r="D507" s="46"/>
      <c r="E507" s="46"/>
      <c r="F507" s="47"/>
      <c r="G507" s="47"/>
      <c r="H507" s="48"/>
      <c r="I507" s="48"/>
    </row>
    <row r="508" spans="1:9" ht="21" customHeight="1" x14ac:dyDescent="0.2">
      <c r="A508" s="46"/>
      <c r="B508" s="46"/>
      <c r="C508" s="46"/>
      <c r="D508" s="46"/>
      <c r="E508" s="46"/>
      <c r="F508" s="47"/>
      <c r="G508" s="47"/>
      <c r="H508" s="48"/>
      <c r="I508" s="48"/>
    </row>
    <row r="509" spans="1:9" ht="21" customHeight="1" x14ac:dyDescent="0.2">
      <c r="A509" s="49"/>
      <c r="B509" s="49"/>
      <c r="C509" s="49"/>
      <c r="D509" s="49"/>
      <c r="E509" s="49"/>
      <c r="F509" s="50"/>
      <c r="G509" s="50"/>
      <c r="H509" s="51"/>
      <c r="I509" s="51"/>
    </row>
  </sheetData>
  <mergeCells count="5">
    <mergeCell ref="A1:I1"/>
    <mergeCell ref="A2:I2"/>
    <mergeCell ref="K4:P7"/>
    <mergeCell ref="B5:I6"/>
    <mergeCell ref="A8:I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9"/>
  <sheetViews>
    <sheetView showGridLines="0" workbookViewId="0">
      <pane ySplit="9" topLeftCell="A10" activePane="bottomLeft" state="frozen"/>
      <selection pane="bottomLeft" activeCell="H15" sqref="H15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54.6640625" customWidth="1"/>
    <col min="4" max="4" width="30" customWidth="1"/>
    <col min="5" max="5" width="18" customWidth="1"/>
    <col min="6" max="7" width="15" customWidth="1"/>
    <col min="8" max="8" width="18" customWidth="1"/>
    <col min="9" max="9" width="22" customWidth="1"/>
  </cols>
  <sheetData>
    <row r="1" spans="1:10" ht="32" customHeight="1" x14ac:dyDescent="0.15">
      <c r="A1" s="58" t="s">
        <v>42</v>
      </c>
      <c r="B1" s="58"/>
      <c r="C1" s="58"/>
      <c r="D1" s="58"/>
      <c r="E1" s="58"/>
      <c r="F1" s="58"/>
      <c r="G1" s="58"/>
      <c r="H1" s="58"/>
      <c r="I1" s="58"/>
    </row>
    <row r="2" spans="1:10" ht="27" customHeight="1" x14ac:dyDescent="0.15">
      <c r="A2" s="59" t="s">
        <v>43</v>
      </c>
      <c r="B2" s="59"/>
      <c r="C2" s="59"/>
      <c r="D2" s="59"/>
      <c r="E2" s="59"/>
      <c r="F2" s="59"/>
      <c r="G2" s="59"/>
      <c r="H2" s="59"/>
      <c r="I2" s="59"/>
    </row>
    <row r="4" spans="1:10" ht="14" x14ac:dyDescent="0.15">
      <c r="A4" s="42" t="s">
        <v>2</v>
      </c>
      <c r="B4" s="42">
        <v>2</v>
      </c>
      <c r="C4" s="42"/>
      <c r="D4" s="42" t="s">
        <v>22</v>
      </c>
      <c r="E4" s="43">
        <v>46288</v>
      </c>
      <c r="F4" s="42"/>
      <c r="G4" s="42" t="s">
        <v>23</v>
      </c>
      <c r="H4" s="43">
        <v>46297</v>
      </c>
    </row>
    <row r="5" spans="1:10" ht="24" customHeight="1" x14ac:dyDescent="0.15">
      <c r="A5" s="42" t="s">
        <v>36</v>
      </c>
      <c r="B5" s="62" t="s">
        <v>44</v>
      </c>
      <c r="C5" s="62"/>
      <c r="D5" s="62"/>
      <c r="E5" s="62"/>
      <c r="F5" s="62"/>
      <c r="G5" s="62"/>
      <c r="H5" s="62"/>
      <c r="I5" s="62"/>
    </row>
    <row r="6" spans="1:10" ht="24" customHeight="1" x14ac:dyDescent="0.15">
      <c r="A6" s="42"/>
      <c r="B6" s="62"/>
      <c r="C6" s="62"/>
      <c r="D6" s="62"/>
      <c r="E6" s="62"/>
      <c r="F6" s="62"/>
      <c r="G6" s="62"/>
      <c r="H6" s="62"/>
      <c r="I6" s="62"/>
    </row>
    <row r="7" spans="1:10" ht="14" x14ac:dyDescent="0.15">
      <c r="A7" s="44" t="s">
        <v>38</v>
      </c>
      <c r="B7" s="44">
        <f>COUNTIFS('Product Backlog'!$B$5:$B$504,2,'Product Backlog'!$C$5:$C$504,"&lt;&gt;")</f>
        <v>3</v>
      </c>
      <c r="C7" s="44" t="s">
        <v>17</v>
      </c>
      <c r="D7" s="44">
        <f>COUNTIFS('Product Backlog'!$B$5:$B$504,2,'Product Backlog'!$D$5:$D$504,"Done")+COUNTIFS('Product Backlog'!$B$5:$B$504,2,'Product Backlog'!$D$5:$D$504,"Completed")</f>
        <v>3</v>
      </c>
      <c r="E7" s="44" t="s">
        <v>39</v>
      </c>
      <c r="F7" s="44">
        <f>SUMIFS('Product Backlog'!$H$5:$H$504,'Product Backlog'!$B$5:$B$504,2)</f>
        <v>7.5</v>
      </c>
      <c r="G7" s="44" t="s">
        <v>40</v>
      </c>
      <c r="H7" s="44">
        <f>SUMIFS('Product Backlog'!$I$5:$I$504,'Product Backlog'!$B$5:$B$504,2)</f>
        <v>140</v>
      </c>
    </row>
    <row r="8" spans="1:10" ht="14" customHeight="1" x14ac:dyDescent="0.2">
      <c r="A8" s="63" t="s">
        <v>41</v>
      </c>
      <c r="B8" s="63"/>
      <c r="C8" s="63"/>
      <c r="D8" s="63"/>
      <c r="E8" s="63"/>
      <c r="F8" s="63"/>
      <c r="G8" s="63"/>
      <c r="H8" s="63"/>
      <c r="I8" s="63"/>
    </row>
    <row r="9" spans="1:10" ht="30" customHeight="1" x14ac:dyDescent="0.15">
      <c r="A9" s="45" t="s">
        <v>1</v>
      </c>
      <c r="B9" s="45" t="s">
        <v>2</v>
      </c>
      <c r="C9" s="45" t="s">
        <v>3</v>
      </c>
      <c r="D9" s="45" t="s">
        <v>4</v>
      </c>
      <c r="E9" s="45" t="s">
        <v>5</v>
      </c>
      <c r="F9" s="45" t="s">
        <v>6</v>
      </c>
      <c r="G9" s="45" t="s">
        <v>7</v>
      </c>
      <c r="H9" s="45" t="s">
        <v>8</v>
      </c>
      <c r="I9" s="45" t="s">
        <v>9</v>
      </c>
    </row>
    <row r="10" spans="1:10" ht="21" customHeight="1" x14ac:dyDescent="0.2">
      <c r="A10" s="46">
        <f>IF($J10="","",IF(ISBLANK(INDEX('Product Backlog'!$A$5:$A$504,$J10)),"",INDEX('Product Backlog'!$A$5:$A$504,$J10)))</f>
        <v>4</v>
      </c>
      <c r="B10" s="46">
        <f>IF($J10="","",IF(ISBLANK(INDEX('Product Backlog'!$B$5:$B$504,$J10)),"",INDEX('Product Backlog'!$B$5:$B$504,$J10)))</f>
        <v>2</v>
      </c>
      <c r="C10" s="46" t="str">
        <f>IF($J10="","",IF(ISBLANK(INDEX('Product Backlog'!$C$5:H17,$J10)),"",INDEX('Product Backlog'!$C$5:$C$504,$J10)))</f>
        <v>German language toggle</v>
      </c>
      <c r="D10" s="46" t="str">
        <f>IF($J10="","",IF(ISBLANK(INDEX('Product Backlog'!$D$5:$D$504,$J10)),"",INDEX('Product Backlog'!$D$5:$D$504,$J10)))</f>
        <v>Completed</v>
      </c>
      <c r="E10" s="46" t="s">
        <v>13</v>
      </c>
      <c r="F10" s="47">
        <v>46277</v>
      </c>
      <c r="G10" s="47">
        <f>IF($J10="","",IF(ISBLANK(INDEX('Product Backlog'!$G$5:$G$504,$J10)),"",INDEX('Product Backlog'!$G$5:$G$504,$J10)))</f>
        <v>46293</v>
      </c>
      <c r="H10" s="48">
        <v>1</v>
      </c>
      <c r="I10" s="48">
        <f>IF($J10="","",IF(ISBLANK(INDEX('Product Backlog'!$I$5:$I$504,$J10)),"",INDEX('Product Backlog'!$I$5:$I$504,$J10)))</f>
        <v>45</v>
      </c>
      <c r="J10">
        <f>IFERROR(MATCH($B$4&amp;"-"&amp;ROWS($A$10:A10),'Product Backlog'!$J$5:$J$504,0),"")</f>
        <v>4</v>
      </c>
    </row>
    <row r="11" spans="1:10" ht="21" customHeight="1" x14ac:dyDescent="0.2">
      <c r="A11" s="46">
        <f>IF($J11="","",IF(ISBLANK(INDEX('Product Backlog'!$A$5:$A$504,$J11)),"",INDEX('Product Backlog'!$A$5:$A$504,$J11)))</f>
        <v>5</v>
      </c>
      <c r="B11" s="46">
        <f>IF($J11="","",IF(ISBLANK(INDEX('Product Backlog'!$B$5:$B$504,$J11)),"",INDEX('Product Backlog'!$B$5:$B$504,$J11)))</f>
        <v>2</v>
      </c>
      <c r="C11" s="46" t="str">
        <f>IF($J11="","",IF(ISBLANK(INDEX('Product Backlog'!$C$5:$C$504,$J11)),"",INDEX('Product Backlog'!$C$5:$C$504,$J11)))</f>
        <v>Updated Search Feature (Frontend)</v>
      </c>
      <c r="D11" s="46" t="str">
        <f>IF($J11="","",IF(ISBLANK(INDEX('Product Backlog'!$D$5:$D$504,$J11)),"",INDEX('Product Backlog'!$D$5:$D$504,$J11)))</f>
        <v>Completed</v>
      </c>
      <c r="E11" s="46" t="str">
        <f>IF($J11="","",IF(ISBLANK(INDEX('Product Backlog'!$E$5:$E$504,$J11)),"",INDEX('Product Backlog'!$E$5:$E$504,$J11)))</f>
        <v>oogwaysprophecy732</v>
      </c>
      <c r="F11" s="47">
        <f>IF($J11="","",IF(ISBLANK(INDEX('Product Backlog'!$F$5:$F$504,$J11)),"",INDEX('Product Backlog'!$F$5:$F$504,$J11)))</f>
        <v>46288</v>
      </c>
      <c r="G11" s="47">
        <f>IF($J11="","",IF(ISBLANK(INDEX('Product Backlog'!$G$5:$G$504,$J11)),"",INDEX('Product Backlog'!$G$5:$G$504,$J11)))</f>
        <v>46288</v>
      </c>
      <c r="H11" s="48">
        <v>3</v>
      </c>
      <c r="I11" s="48">
        <f>IF($J11="","",IF(ISBLANK(INDEX('Product Backlog'!$I$5:$I$504,$J11)),"",INDEX('Product Backlog'!$I$5:$I$504,$J11)))</f>
        <v>45</v>
      </c>
      <c r="J11">
        <f>IFERROR(MATCH($B$4&amp;"-"&amp;ROWS($A$10:A11),'Product Backlog'!$J$5:$J$504,0),"")</f>
        <v>5</v>
      </c>
    </row>
    <row r="12" spans="1:10" ht="21" customHeight="1" x14ac:dyDescent="0.2">
      <c r="A12" s="46">
        <f>IF($J12="","",IF(ISBLANK(INDEX('Product Backlog'!$A$5:$A$504,$J12)),"",INDEX('Product Backlog'!$A$5:$A$504,$J12)))</f>
        <v>6</v>
      </c>
      <c r="B12" s="46">
        <f>IF($J12="","",IF(ISBLANK(INDEX('Product Backlog'!$B$5:$B$504,$J12)),"",INDEX('Product Backlog'!$B$5:$B$504,$J12)))</f>
        <v>2</v>
      </c>
      <c r="C12" s="46" t="str">
        <f>IF($J12="","",IF(ISBLANK(INDEX('Product Backlog'!$C$5:$C$504,$J12)),"",INDEX('Product Backlog'!$C$5:$C$504,$J12)))</f>
        <v xml:space="preserve">Server-side RSS Feed </v>
      </c>
      <c r="D12" s="46" t="str">
        <f>IF($J12="","",IF(ISBLANK(INDEX('Product Backlog'!$D$5:$D$504,$J12)),"",INDEX('Product Backlog'!$D$5:$D$504,$J12)))</f>
        <v>Completed</v>
      </c>
      <c r="E12" s="46" t="s">
        <v>13</v>
      </c>
      <c r="F12" s="47">
        <v>46288</v>
      </c>
      <c r="G12" s="47">
        <v>46290</v>
      </c>
      <c r="H12" s="48">
        <v>2</v>
      </c>
      <c r="I12" s="48">
        <v>15</v>
      </c>
      <c r="J12">
        <f>IFERROR(MATCH($B$4&amp;"-"&amp;ROWS($A$10:A12),'Product Backlog'!$J$5:$J$504,0),"")</f>
        <v>6</v>
      </c>
    </row>
    <row r="13" spans="1:10" ht="21" customHeight="1" x14ac:dyDescent="0.2">
      <c r="A13" s="46" t="str">
        <f>IF($J13="","",IF(ISBLANK(INDEX('Product Backlog'!$A$5:$A$504,$J13)),"",INDEX('Product Backlog'!$A$5:$A$504,$J13)))</f>
        <v/>
      </c>
      <c r="B13" s="46" t="str">
        <f>IF($J13="","",IF(ISBLANK(INDEX('Product Backlog'!$B$5:$B$504,$J13)),"",INDEX('Product Backlog'!$B$5:$B$504,$J13)))</f>
        <v/>
      </c>
      <c r="C13" s="46" t="str">
        <f>IF($J13="","",IF(ISBLANK(INDEX('Product Backlog'!$C$5:$C$504,$J13)),"",INDEX('Product Backlog'!$C$5:$C$504,$J13)))</f>
        <v/>
      </c>
      <c r="D13" s="46" t="str">
        <f>IF($J13="","",IF(ISBLANK(INDEX('Product Backlog'!$D$5:$D$504,$J13)),"",INDEX('Product Backlog'!$D$5:$D$504,$J13)))</f>
        <v/>
      </c>
      <c r="E13" s="46" t="str">
        <f>IF($J13="","",IF(ISBLANK(INDEX('Product Backlog'!$E$5:$E$504,$J13)),"",INDEX('Product Backlog'!$E$5:$E$504,$J13)))</f>
        <v/>
      </c>
      <c r="F13" s="47" t="str">
        <f>IF($J13="","",IF(ISBLANK(INDEX('Product Backlog'!$F$5:$F$504,$J13)),"",INDEX('Product Backlog'!$F$5:$F$504,$J13)))</f>
        <v/>
      </c>
      <c r="G13" s="47" t="str">
        <f>IF($J13="","",IF(ISBLANK(INDEX('Product Backlog'!$G$5:$G$504,$J13)),"",INDEX('Product Backlog'!$G$5:$G$504,$J13)))</f>
        <v/>
      </c>
      <c r="H13" s="48" t="str">
        <f>IF($J13="","",IF(ISBLANK(INDEX('Product Backlog'!$H$5:$H$504,$J13)),"",INDEX('Product Backlog'!$H$5:$H$504,$J13)))</f>
        <v/>
      </c>
      <c r="I13" s="48" t="str">
        <f>IF($J13="","",IF(ISBLANK(INDEX('Product Backlog'!$I$5:$I$504,$J13)),"",INDEX('Product Backlog'!$I$5:$I$504,$J13)))</f>
        <v/>
      </c>
      <c r="J13" t="str">
        <f>IFERROR(MATCH($B$4&amp;"-"&amp;ROWS($A$10:A13),'Product Backlog'!$J$5:$J$504,0),"")</f>
        <v/>
      </c>
    </row>
    <row r="14" spans="1:10" ht="21" customHeight="1" x14ac:dyDescent="0.2">
      <c r="A14" s="46" t="str">
        <f>IF($J14="","",IF(ISBLANK(INDEX('Product Backlog'!$A$5:$A$504,$J14)),"",INDEX('Product Backlog'!$A$5:$A$504,$J14)))</f>
        <v/>
      </c>
      <c r="B14" s="46" t="str">
        <f>IF($J14="","",IF(ISBLANK(INDEX('Product Backlog'!$B$5:$B$504,$J14)),"",INDEX('Product Backlog'!$B$5:$B$504,$J14)))</f>
        <v/>
      </c>
      <c r="C14" s="46" t="str">
        <f>IF($J14="","",IF(ISBLANK(INDEX('Product Backlog'!$C$5:$C$504,$J14)),"",INDEX('Product Backlog'!$C$5:$C$504,$J14)))</f>
        <v/>
      </c>
      <c r="D14" s="46" t="str">
        <f>IF($J14="","",IF(ISBLANK(INDEX('Product Backlog'!$D$5:$D$504,$J14)),"",INDEX('Product Backlog'!$D$5:$D$504,$J14)))</f>
        <v/>
      </c>
      <c r="E14" s="46" t="str">
        <f>IF($J14="","",IF(ISBLANK(INDEX('Product Backlog'!$E$5:$E$504,$J14)),"",INDEX('Product Backlog'!$E$5:$E$504,$J14)))</f>
        <v/>
      </c>
      <c r="F14" s="47" t="str">
        <f>IF($J14="","",IF(ISBLANK(INDEX('Product Backlog'!$F$5:$F$504,$J14)),"",INDEX('Product Backlog'!$F$5:$F$504,$J14)))</f>
        <v/>
      </c>
      <c r="G14" s="47" t="str">
        <f>IF($J14="","",IF(ISBLANK(INDEX('Product Backlog'!$G$5:$G$504,$J14)),"",INDEX('Product Backlog'!$G$5:$G$504,$J14)))</f>
        <v/>
      </c>
      <c r="H14" s="48" t="str">
        <f>IF($J14="","",IF(ISBLANK(INDEX('Product Backlog'!$H$5:$H$504,$J14)),"",INDEX('Product Backlog'!$H$5:$H$504,$J14)))</f>
        <v/>
      </c>
      <c r="I14" s="48" t="str">
        <f>IF($J14="","",IF(ISBLANK(INDEX('Product Backlog'!$I$5:$I$504,$J14)),"",INDEX('Product Backlog'!$I$5:$I$504,$J14)))</f>
        <v/>
      </c>
      <c r="J14" t="str">
        <f>IFERROR(MATCH($B$4&amp;"-"&amp;ROWS($A$10:A14),'Product Backlog'!$J$5:$J$504,0),"")</f>
        <v/>
      </c>
    </row>
    <row r="15" spans="1:10" ht="21" customHeight="1" x14ac:dyDescent="0.2">
      <c r="A15" s="46" t="str">
        <f>IF($J15="","",IF(ISBLANK(INDEX('Product Backlog'!$A$5:$A$504,$J15)),"",INDEX('Product Backlog'!$A$5:$A$504,$J15)))</f>
        <v/>
      </c>
      <c r="B15" s="46" t="str">
        <f>IF($J15="","",IF(ISBLANK(INDEX('Product Backlog'!$B$5:$B$504,$J15)),"",INDEX('Product Backlog'!$B$5:$B$504,$J15)))</f>
        <v/>
      </c>
      <c r="C15" s="46" t="str">
        <f>IF($J15="","",IF(ISBLANK(INDEX('Product Backlog'!$C$5:$C$504,$J15)),"",INDEX('Product Backlog'!$C$5:$C$504,$J15)))</f>
        <v/>
      </c>
      <c r="D15" s="46" t="str">
        <f>IF($J15="","",IF(ISBLANK(INDEX('Product Backlog'!$D$5:$D$504,$J15)),"",INDEX('Product Backlog'!$D$5:$D$504,$J15)))</f>
        <v/>
      </c>
      <c r="E15" s="46" t="str">
        <f>IF($J15="","",IF(ISBLANK(INDEX('Product Backlog'!$E$5:$E$504,$J15)),"",INDEX('Product Backlog'!$E$5:$E$504,$J15)))</f>
        <v/>
      </c>
      <c r="F15" s="47" t="str">
        <f>IF($J15="","",IF(ISBLANK(INDEX('Product Backlog'!$F$5:$F$504,$J15)),"",INDEX('Product Backlog'!$F$5:$F$504,$J15)))</f>
        <v/>
      </c>
      <c r="G15" s="47" t="str">
        <f>IF($J15="","",IF(ISBLANK(INDEX('Product Backlog'!$G$5:$G$504,$J15)),"",INDEX('Product Backlog'!$G$5:$G$504,$J15)))</f>
        <v/>
      </c>
      <c r="H15" s="48" t="str">
        <f>IF($J15="","",IF(ISBLANK(INDEX('Product Backlog'!$H$5:$H$504,$J15)),"",INDEX('Product Backlog'!$H$5:$H$504,$J15)))</f>
        <v/>
      </c>
      <c r="I15" s="48" t="str">
        <f>IF($J15="","",IF(ISBLANK(INDEX('Product Backlog'!$I$5:$I$504,$J15)),"",INDEX('Product Backlog'!$I$5:$I$504,$J15)))</f>
        <v/>
      </c>
      <c r="J15" t="str">
        <f>IFERROR(MATCH($B$4&amp;"-"&amp;ROWS($A$10:A15),'Product Backlog'!$J$5:$J$504,0),"")</f>
        <v/>
      </c>
    </row>
    <row r="16" spans="1:10" ht="21" customHeight="1" x14ac:dyDescent="0.2">
      <c r="A16" s="46" t="str">
        <f>IF($J16="","",IF(ISBLANK(INDEX('Product Backlog'!$A$5:$A$504,$J16)),"",INDEX('Product Backlog'!$A$5:$A$504,$J16)))</f>
        <v/>
      </c>
      <c r="B16" s="46" t="str">
        <f>IF($J16="","",IF(ISBLANK(INDEX('Product Backlog'!$B$5:$B$504,$J16)),"",INDEX('Product Backlog'!$B$5:$B$504,$J16)))</f>
        <v/>
      </c>
      <c r="C16" s="46" t="str">
        <f>IF($J16="","",IF(ISBLANK(INDEX('Product Backlog'!$C$5:$C$504,$J16)),"",INDEX('Product Backlog'!$C$5:$C$504,$J16)))</f>
        <v/>
      </c>
      <c r="D16" s="46" t="str">
        <f>IF($J16="","",IF(ISBLANK(INDEX('Product Backlog'!$D$5:$D$504,$J16)),"",INDEX('Product Backlog'!$D$5:$D$504,$J16)))</f>
        <v/>
      </c>
      <c r="E16" s="46" t="str">
        <f>IF($J16="","",IF(ISBLANK(INDEX('Product Backlog'!$E$5:$E$504,$J16)),"",INDEX('Product Backlog'!$E$5:$E$504,$J16)))</f>
        <v/>
      </c>
      <c r="F16" s="47" t="str">
        <f>IF($J16="","",IF(ISBLANK(INDEX('Product Backlog'!$F$5:$F$504,$J16)),"",INDEX('Product Backlog'!$F$5:$F$504,$J16)))</f>
        <v/>
      </c>
      <c r="G16" s="47" t="str">
        <f>IF($J16="","",IF(ISBLANK(INDEX('Product Backlog'!$G$5:$G$504,$J16)),"",INDEX('Product Backlog'!$G$5:$G$504,$J16)))</f>
        <v/>
      </c>
      <c r="H16" s="48" t="str">
        <f>IF($J16="","",IF(ISBLANK(INDEX('Product Backlog'!$H$5:$H$504,$J16)),"",INDEX('Product Backlog'!$H$5:$H$504,$J16)))</f>
        <v/>
      </c>
      <c r="I16" s="48" t="str">
        <f>IF($J16="","",IF(ISBLANK(INDEX('Product Backlog'!$I$5:$I$504,$J16)),"",INDEX('Product Backlog'!$I$5:$I$504,$J16)))</f>
        <v/>
      </c>
      <c r="J16" t="str">
        <f>IFERROR(MATCH($B$4&amp;"-"&amp;ROWS($A$10:A16),'Product Backlog'!$J$5:$J$504,0),"")</f>
        <v/>
      </c>
    </row>
    <row r="17" spans="1:10" ht="21" customHeight="1" x14ac:dyDescent="0.2">
      <c r="A17" s="46" t="str">
        <f>IF($J17="","",IF(ISBLANK(INDEX('Product Backlog'!$A$5:$A$504,$J17)),"",INDEX('Product Backlog'!$A$5:$A$504,$J17)))</f>
        <v/>
      </c>
      <c r="B17" s="46" t="str">
        <f>IF($J17="","",IF(ISBLANK(INDEX('Product Backlog'!$B$5:$B$504,$J17)),"",INDEX('Product Backlog'!$B$5:$B$504,$J17)))</f>
        <v/>
      </c>
      <c r="C17" s="46" t="str">
        <f>IF($J17="","",IF(ISBLANK(INDEX('Product Backlog'!$C$5:$C$504,$J17)),"",INDEX('Product Backlog'!$C$5:$C$504,$J17)))</f>
        <v/>
      </c>
      <c r="D17" s="46" t="str">
        <f>IF($J17="","",IF(ISBLANK(INDEX('Product Backlog'!$D$5:$D$504,$J17)),"",INDEX('Product Backlog'!$D$5:$D$504,$J17)))</f>
        <v/>
      </c>
      <c r="E17" s="46" t="str">
        <f>IF($J17="","",IF(ISBLANK(INDEX('Product Backlog'!$E$5:$E$504,$J17)),"",INDEX('Product Backlog'!$E$5:$E$504,$J17)))</f>
        <v/>
      </c>
      <c r="F17" s="47" t="str">
        <f>IF($J17="","",IF(ISBLANK(INDEX('Product Backlog'!$F$5:$F$504,$J17)),"",INDEX('Product Backlog'!$F$5:$F$504,$J17)))</f>
        <v/>
      </c>
      <c r="G17" s="47" t="str">
        <f>IF($J17="","",IF(ISBLANK(INDEX('Product Backlog'!$G$5:$G$504,$J17)),"",INDEX('Product Backlog'!$G$5:$G$504,$J17)))</f>
        <v/>
      </c>
      <c r="H17" s="48" t="str">
        <f>IF($J17="","",IF(ISBLANK(INDEX('Product Backlog'!$H$5:$H$504,$J17)),"",INDEX('Product Backlog'!$H$5:$H$504,$J17)))</f>
        <v/>
      </c>
      <c r="I17" s="48" t="str">
        <f>IF($J17="","",IF(ISBLANK(INDEX('Product Backlog'!$I$5:$I$504,$J17)),"",INDEX('Product Backlog'!$I$5:$I$504,$J17)))</f>
        <v/>
      </c>
      <c r="J17" t="str">
        <f>IFERROR(MATCH($B$4&amp;"-"&amp;ROWS($A$10:A17),'Product Backlog'!$J$5:$J$504,0),"")</f>
        <v/>
      </c>
    </row>
    <row r="18" spans="1:10" ht="21" customHeight="1" x14ac:dyDescent="0.2">
      <c r="A18" s="46" t="str">
        <f>IF($J18="","",IF(ISBLANK(INDEX('Product Backlog'!$A$5:$A$504,$J18)),"",INDEX('Product Backlog'!$A$5:$A$504,$J18)))</f>
        <v/>
      </c>
      <c r="B18" s="46" t="str">
        <f>IF($J18="","",IF(ISBLANK(INDEX('Product Backlog'!$B$5:$B$504,$J18)),"",INDEX('Product Backlog'!$B$5:$B$504,$J18)))</f>
        <v/>
      </c>
      <c r="C18" s="46" t="str">
        <f>IF($J18="","",IF(ISBLANK(INDEX('Product Backlog'!$C$5:$C$504,$J18)),"",INDEX('Product Backlog'!$C$5:$C$504,$J18)))</f>
        <v/>
      </c>
      <c r="D18" s="46" t="str">
        <f>IF($J18="","",IF(ISBLANK(INDEX('Product Backlog'!$D$5:$D$504,$J18)),"",INDEX('Product Backlog'!$D$5:$D$504,$J18)))</f>
        <v/>
      </c>
      <c r="E18" s="46" t="str">
        <f>IF($J18="","",IF(ISBLANK(INDEX('Product Backlog'!$E$5:$E$504,$J18)),"",INDEX('Product Backlog'!$E$5:$E$504,$J18)))</f>
        <v/>
      </c>
      <c r="F18" s="47" t="str">
        <f>IF($J18="","",IF(ISBLANK(INDEX('Product Backlog'!$F$5:$F$504,$J18)),"",INDEX('Product Backlog'!$F$5:$F$504,$J18)))</f>
        <v/>
      </c>
      <c r="G18" s="47" t="str">
        <f>IF($J18="","",IF(ISBLANK(INDEX('Product Backlog'!$G$5:$G$504,$J18)),"",INDEX('Product Backlog'!$G$5:$G$504,$J18)))</f>
        <v/>
      </c>
      <c r="H18" s="48" t="str">
        <f>IF($J18="","",IF(ISBLANK(INDEX('Product Backlog'!$H$5:$H$504,$J18)),"",INDEX('Product Backlog'!$H$5:$H$504,$J18)))</f>
        <v/>
      </c>
      <c r="I18" s="48" t="str">
        <f>IF($J18="","",IF(ISBLANK(INDEX('Product Backlog'!$I$5:$I$504,$J18)),"",INDEX('Product Backlog'!$I$5:$I$504,$J18)))</f>
        <v/>
      </c>
      <c r="J18" t="str">
        <f>IFERROR(MATCH($B$4&amp;"-"&amp;ROWS($A$10:A18),'Product Backlog'!$J$5:$J$504,0),"")</f>
        <v/>
      </c>
    </row>
    <row r="19" spans="1:10" ht="21" customHeight="1" x14ac:dyDescent="0.2">
      <c r="A19" s="46" t="str">
        <f>IF($J19="","",IF(ISBLANK(INDEX('Product Backlog'!$A$5:$A$504,$J19)),"",INDEX('Product Backlog'!$A$5:$A$504,$J19)))</f>
        <v/>
      </c>
      <c r="B19" s="46" t="str">
        <f>IF($J19="","",IF(ISBLANK(INDEX('Product Backlog'!$B$5:$B$504,$J19)),"",INDEX('Product Backlog'!$B$5:$B$504,$J19)))</f>
        <v/>
      </c>
      <c r="C19" s="46" t="str">
        <f>IF($J19="","",IF(ISBLANK(INDEX('Product Backlog'!$C$5:$C$504,$J19)),"",INDEX('Product Backlog'!$C$5:$C$504,$J19)))</f>
        <v/>
      </c>
      <c r="D19" s="46" t="str">
        <f>IF($J19="","",IF(ISBLANK(INDEX('Product Backlog'!$D$5:$D$504,$J19)),"",INDEX('Product Backlog'!$D$5:$D$504,$J19)))</f>
        <v/>
      </c>
      <c r="E19" s="46" t="str">
        <f>IF($J19="","",IF(ISBLANK(INDEX('Product Backlog'!$E$5:$E$504,$J19)),"",INDEX('Product Backlog'!$E$5:$E$504,$J19)))</f>
        <v/>
      </c>
      <c r="F19" s="47" t="str">
        <f>IF($J19="","",IF(ISBLANK(INDEX('Product Backlog'!$F$5:$F$504,$J19)),"",INDEX('Product Backlog'!$F$5:$F$504,$J19)))</f>
        <v/>
      </c>
      <c r="G19" s="47" t="str">
        <f>IF($J19="","",IF(ISBLANK(INDEX('Product Backlog'!$G$5:$G$504,$J19)),"",INDEX('Product Backlog'!$G$5:$G$504,$J19)))</f>
        <v/>
      </c>
      <c r="H19" s="48" t="str">
        <f>IF($J19="","",IF(ISBLANK(INDEX('Product Backlog'!$H$5:$H$504,$J19)),"",INDEX('Product Backlog'!$H$5:$H$504,$J19)))</f>
        <v/>
      </c>
      <c r="I19" s="48" t="str">
        <f>IF($J19="","",IF(ISBLANK(INDEX('Product Backlog'!$I$5:$I$504,$J19)),"",INDEX('Product Backlog'!$I$5:$I$504,$J19)))</f>
        <v/>
      </c>
      <c r="J19" t="str">
        <f>IFERROR(MATCH($B$4&amp;"-"&amp;ROWS($A$10:A19),'Product Backlog'!$J$5:$J$504,0),"")</f>
        <v/>
      </c>
    </row>
    <row r="20" spans="1:10" ht="21" customHeight="1" x14ac:dyDescent="0.2">
      <c r="A20" s="46" t="str">
        <f>IF($J20="","",IF(ISBLANK(INDEX('Product Backlog'!$A$5:$A$504,$J20)),"",INDEX('Product Backlog'!$A$5:$A$504,$J20)))</f>
        <v/>
      </c>
      <c r="B20" s="46" t="str">
        <f>IF($J20="","",IF(ISBLANK(INDEX('Product Backlog'!$B$5:$B$504,$J20)),"",INDEX('Product Backlog'!$B$5:$B$504,$J20)))</f>
        <v/>
      </c>
      <c r="C20" s="46" t="str">
        <f>IF($J20="","",IF(ISBLANK(INDEX('Product Backlog'!$C$5:$C$504,$J20)),"",INDEX('Product Backlog'!$C$5:$C$504,$J20)))</f>
        <v/>
      </c>
      <c r="D20" s="46" t="str">
        <f>IF($J20="","",IF(ISBLANK(INDEX('Product Backlog'!$D$5:$D$504,$J20)),"",INDEX('Product Backlog'!$D$5:$D$504,$J20)))</f>
        <v/>
      </c>
      <c r="E20" s="46" t="str">
        <f>IF($J20="","",IF(ISBLANK(INDEX('Product Backlog'!$E$5:$E$504,$J20)),"",INDEX('Product Backlog'!$E$5:$E$504,$J20)))</f>
        <v/>
      </c>
      <c r="F20" s="47" t="str">
        <f>IF($J20="","",IF(ISBLANK(INDEX('Product Backlog'!$F$5:$F$504,$J20)),"",INDEX('Product Backlog'!$F$5:$F$504,$J20)))</f>
        <v/>
      </c>
      <c r="G20" s="47" t="str">
        <f>IF($J20="","",IF(ISBLANK(INDEX('Product Backlog'!$G$5:$G$504,$J20)),"",INDEX('Product Backlog'!$G$5:$G$504,$J20)))</f>
        <v/>
      </c>
      <c r="H20" s="48" t="str">
        <f>IF($J20="","",IF(ISBLANK(INDEX('Product Backlog'!$H$5:$H$504,$J20)),"",INDEX('Product Backlog'!$H$5:$H$504,$J20)))</f>
        <v/>
      </c>
      <c r="I20" s="48" t="str">
        <f>IF($J20="","",IF(ISBLANK(INDEX('Product Backlog'!$I$5:$I$504,$J20)),"",INDEX('Product Backlog'!$I$5:$I$504,$J20)))</f>
        <v/>
      </c>
      <c r="J20" t="str">
        <f>IFERROR(MATCH($B$4&amp;"-"&amp;ROWS($A$10:A20),'Product Backlog'!$J$5:$J$504,0),"")</f>
        <v/>
      </c>
    </row>
    <row r="21" spans="1:10" ht="21" customHeight="1" x14ac:dyDescent="0.2">
      <c r="A21" s="46" t="str">
        <f>IF($J21="","",IF(ISBLANK(INDEX('Product Backlog'!$A$5:$A$504,$J21)),"",INDEX('Product Backlog'!$A$5:$A$504,$J21)))</f>
        <v/>
      </c>
      <c r="B21" s="46" t="str">
        <f>IF($J21="","",IF(ISBLANK(INDEX('Product Backlog'!$B$5:$B$504,$J21)),"",INDEX('Product Backlog'!$B$5:$B$504,$J21)))</f>
        <v/>
      </c>
      <c r="C21" s="46" t="str">
        <f>IF($J21="","",IF(ISBLANK(INDEX('Product Backlog'!$C$5:$C$504,$J21)),"",INDEX('Product Backlog'!$C$5:$C$504,$J21)))</f>
        <v/>
      </c>
      <c r="D21" s="46" t="str">
        <f>IF($J21="","",IF(ISBLANK(INDEX('Product Backlog'!$D$5:$D$504,$J21)),"",INDEX('Product Backlog'!$D$5:$D$504,$J21)))</f>
        <v/>
      </c>
      <c r="E21" s="46" t="str">
        <f>IF($J21="","",IF(ISBLANK(INDEX('Product Backlog'!$E$5:$E$504,$J21)),"",INDEX('Product Backlog'!$E$5:$E$504,$J21)))</f>
        <v/>
      </c>
      <c r="F21" s="47" t="str">
        <f>IF($J21="","",IF(ISBLANK(INDEX('Product Backlog'!$F$5:$F$504,$J21)),"",INDEX('Product Backlog'!$F$5:$F$504,$J21)))</f>
        <v/>
      </c>
      <c r="G21" s="47" t="str">
        <f>IF($J21="","",IF(ISBLANK(INDEX('Product Backlog'!$G$5:$G$504,$J21)),"",INDEX('Product Backlog'!$G$5:$G$504,$J21)))</f>
        <v/>
      </c>
      <c r="H21" s="48" t="str">
        <f>IF($J21="","",IF(ISBLANK(INDEX('Product Backlog'!$H$5:$H$504,$J21)),"",INDEX('Product Backlog'!$H$5:$H$504,$J21)))</f>
        <v/>
      </c>
      <c r="I21" s="48" t="str">
        <f>IF($J21="","",IF(ISBLANK(INDEX('Product Backlog'!$I$5:$I$504,$J21)),"",INDEX('Product Backlog'!$I$5:$I$504,$J21)))</f>
        <v/>
      </c>
      <c r="J21" t="str">
        <f>IFERROR(MATCH($B$4&amp;"-"&amp;ROWS($A$10:A21),'Product Backlog'!$J$5:$J$504,0),"")</f>
        <v/>
      </c>
    </row>
    <row r="22" spans="1:10" ht="21" customHeight="1" x14ac:dyDescent="0.2">
      <c r="A22" s="46" t="str">
        <f>IF($J22="","",IF(ISBLANK(INDEX('Product Backlog'!$A$5:$A$504,$J22)),"",INDEX('Product Backlog'!$A$5:$A$504,$J22)))</f>
        <v/>
      </c>
      <c r="B22" s="46" t="str">
        <f>IF($J22="","",IF(ISBLANK(INDEX('Product Backlog'!$B$5:$B$504,$J22)),"",INDEX('Product Backlog'!$B$5:$B$504,$J22)))</f>
        <v/>
      </c>
      <c r="C22" s="46" t="str">
        <f>IF($J22="","",IF(ISBLANK(INDEX('Product Backlog'!$C$5:$C$504,$J22)),"",INDEX('Product Backlog'!$C$5:$C$504,$J22)))</f>
        <v/>
      </c>
      <c r="D22" s="46" t="str">
        <f>IF($J22="","",IF(ISBLANK(INDEX('Product Backlog'!$D$5:$D$504,$J22)),"",INDEX('Product Backlog'!$D$5:$D$504,$J22)))</f>
        <v/>
      </c>
      <c r="E22" s="46" t="str">
        <f>IF($J22="","",IF(ISBLANK(INDEX('Product Backlog'!$E$5:$E$504,$J22)),"",INDEX('Product Backlog'!$E$5:$E$504,$J22)))</f>
        <v/>
      </c>
      <c r="F22" s="47" t="str">
        <f>IF($J22="","",IF(ISBLANK(INDEX('Product Backlog'!$F$5:$F$504,$J22)),"",INDEX('Product Backlog'!$F$5:$F$504,$J22)))</f>
        <v/>
      </c>
      <c r="G22" s="47" t="str">
        <f>IF($J22="","",IF(ISBLANK(INDEX('Product Backlog'!$G$5:$G$504,$J22)),"",INDEX('Product Backlog'!$G$5:$G$504,$J22)))</f>
        <v/>
      </c>
      <c r="H22" s="48" t="str">
        <f>IF($J22="","",IF(ISBLANK(INDEX('Product Backlog'!$H$5:$H$504,$J22)),"",INDEX('Product Backlog'!$H$5:$H$504,$J22)))</f>
        <v/>
      </c>
      <c r="I22" s="48" t="str">
        <f>IF($J22="","",IF(ISBLANK(INDEX('Product Backlog'!$I$5:$I$504,$J22)),"",INDEX('Product Backlog'!$I$5:$I$504,$J22)))</f>
        <v/>
      </c>
      <c r="J22" t="str">
        <f>IFERROR(MATCH($B$4&amp;"-"&amp;ROWS($A$10:A22),'Product Backlog'!$J$5:$J$504,0),"")</f>
        <v/>
      </c>
    </row>
    <row r="23" spans="1:10" ht="21" customHeight="1" x14ac:dyDescent="0.2">
      <c r="A23" s="46" t="str">
        <f>IF($J23="","",IF(ISBLANK(INDEX('Product Backlog'!$A$5:$A$504,$J23)),"",INDEX('Product Backlog'!$A$5:$A$504,$J23)))</f>
        <v/>
      </c>
      <c r="B23" s="46" t="str">
        <f>IF($J23="","",IF(ISBLANK(INDEX('Product Backlog'!$B$5:$B$504,$J23)),"",INDEX('Product Backlog'!$B$5:$B$504,$J23)))</f>
        <v/>
      </c>
      <c r="C23" s="46" t="str">
        <f>IF($J23="","",IF(ISBLANK(INDEX('Product Backlog'!$C$5:$C$504,$J23)),"",INDEX('Product Backlog'!$C$5:$C$504,$J23)))</f>
        <v/>
      </c>
      <c r="D23" s="46" t="str">
        <f>IF($J23="","",IF(ISBLANK(INDEX('Product Backlog'!$D$5:$D$504,$J23)),"",INDEX('Product Backlog'!$D$5:$D$504,$J23)))</f>
        <v/>
      </c>
      <c r="E23" s="46" t="str">
        <f>IF($J23="","",IF(ISBLANK(INDEX('Product Backlog'!$E$5:$E$504,$J23)),"",INDEX('Product Backlog'!$E$5:$E$504,$J23)))</f>
        <v/>
      </c>
      <c r="F23" s="47" t="str">
        <f>IF($J23="","",IF(ISBLANK(INDEX('Product Backlog'!$F$5:$F$504,$J23)),"",INDEX('Product Backlog'!$F$5:$F$504,$J23)))</f>
        <v/>
      </c>
      <c r="G23" s="47" t="str">
        <f>IF($J23="","",IF(ISBLANK(INDEX('Product Backlog'!$G$5:$G$504,$J23)),"",INDEX('Product Backlog'!$G$5:$G$504,$J23)))</f>
        <v/>
      </c>
      <c r="H23" s="48" t="str">
        <f>IF($J23="","",IF(ISBLANK(INDEX('Product Backlog'!$H$5:$H$504,$J23)),"",INDEX('Product Backlog'!$H$5:$H$504,$J23)))</f>
        <v/>
      </c>
      <c r="I23" s="48" t="str">
        <f>IF($J23="","",IF(ISBLANK(INDEX('Product Backlog'!$I$5:$I$504,$J23)),"",INDEX('Product Backlog'!$I$5:$I$504,$J23)))</f>
        <v/>
      </c>
      <c r="J23" t="str">
        <f>IFERROR(MATCH($B$4&amp;"-"&amp;ROWS($A$10:A23),'Product Backlog'!$J$5:$J$504,0),"")</f>
        <v/>
      </c>
    </row>
    <row r="24" spans="1:10" ht="21" customHeight="1" x14ac:dyDescent="0.2">
      <c r="A24" s="46" t="str">
        <f>IF($J24="","",IF(ISBLANK(INDEX('Product Backlog'!$A$5:$A$504,$J24)),"",INDEX('Product Backlog'!$A$5:$A$504,$J24)))</f>
        <v/>
      </c>
      <c r="B24" s="46" t="str">
        <f>IF($J24="","",IF(ISBLANK(INDEX('Product Backlog'!$B$5:$B$504,$J24)),"",INDEX('Product Backlog'!$B$5:$B$504,$J24)))</f>
        <v/>
      </c>
      <c r="C24" s="46" t="str">
        <f>IF($J24="","",IF(ISBLANK(INDEX('Product Backlog'!$C$5:$C$504,$J24)),"",INDEX('Product Backlog'!$C$5:$C$504,$J24)))</f>
        <v/>
      </c>
      <c r="D24" s="46" t="str">
        <f>IF($J24="","",IF(ISBLANK(INDEX('Product Backlog'!$D$5:$D$504,$J24)),"",INDEX('Product Backlog'!$D$5:$D$504,$J24)))</f>
        <v/>
      </c>
      <c r="E24" s="46" t="str">
        <f>IF($J24="","",IF(ISBLANK(INDEX('Product Backlog'!$E$5:$E$504,$J24)),"",INDEX('Product Backlog'!$E$5:$E$504,$J24)))</f>
        <v/>
      </c>
      <c r="F24" s="47" t="str">
        <f>IF($J24="","",IF(ISBLANK(INDEX('Product Backlog'!$F$5:$F$504,$J24)),"",INDEX('Product Backlog'!$F$5:$F$504,$J24)))</f>
        <v/>
      </c>
      <c r="G24" s="47" t="str">
        <f>IF($J24="","",IF(ISBLANK(INDEX('Product Backlog'!$G$5:$G$504,$J24)),"",INDEX('Product Backlog'!$G$5:$G$504,$J24)))</f>
        <v/>
      </c>
      <c r="H24" s="48" t="str">
        <f>IF($J24="","",IF(ISBLANK(INDEX('Product Backlog'!$H$5:$H$504,$J24)),"",INDEX('Product Backlog'!$H$5:$H$504,$J24)))</f>
        <v/>
      </c>
      <c r="I24" s="48" t="str">
        <f>IF($J24="","",IF(ISBLANK(INDEX('Product Backlog'!$I$5:$I$504,$J24)),"",INDEX('Product Backlog'!$I$5:$I$504,$J24)))</f>
        <v/>
      </c>
      <c r="J24" t="str">
        <f>IFERROR(MATCH($B$4&amp;"-"&amp;ROWS($A$10:A24),'Product Backlog'!$J$5:$J$504,0),"")</f>
        <v/>
      </c>
    </row>
    <row r="25" spans="1:10" ht="21" customHeight="1" x14ac:dyDescent="0.2">
      <c r="A25" s="46" t="str">
        <f>IF($J25="","",IF(ISBLANK(INDEX('Product Backlog'!$A$5:$A$504,$J25)),"",INDEX('Product Backlog'!$A$5:$A$504,$J25)))</f>
        <v/>
      </c>
      <c r="B25" s="46" t="str">
        <f>IF($J25="","",IF(ISBLANK(INDEX('Product Backlog'!$B$5:$B$504,$J25)),"",INDEX('Product Backlog'!$B$5:$B$504,$J25)))</f>
        <v/>
      </c>
      <c r="C25" s="46" t="str">
        <f>IF($J25="","",IF(ISBLANK(INDEX('Product Backlog'!$C$5:$C$504,$J25)),"",INDEX('Product Backlog'!$C$5:$C$504,$J25)))</f>
        <v/>
      </c>
      <c r="D25" s="46" t="str">
        <f>IF($J25="","",IF(ISBLANK(INDEX('Product Backlog'!$D$5:$D$504,$J25)),"",INDEX('Product Backlog'!$D$5:$D$504,$J25)))</f>
        <v/>
      </c>
      <c r="E25" s="46" t="str">
        <f>IF($J25="","",IF(ISBLANK(INDEX('Product Backlog'!$E$5:$E$504,$J25)),"",INDEX('Product Backlog'!$E$5:$E$504,$J25)))</f>
        <v/>
      </c>
      <c r="F25" s="47" t="str">
        <f>IF($J25="","",IF(ISBLANK(INDEX('Product Backlog'!$F$5:$F$504,$J25)),"",INDEX('Product Backlog'!$F$5:$F$504,$J25)))</f>
        <v/>
      </c>
      <c r="G25" s="47" t="str">
        <f>IF($J25="","",IF(ISBLANK(INDEX('Product Backlog'!$G$5:$G$504,$J25)),"",INDEX('Product Backlog'!$G$5:$G$504,$J25)))</f>
        <v/>
      </c>
      <c r="H25" s="48" t="str">
        <f>IF($J25="","",IF(ISBLANK(INDEX('Product Backlog'!$H$5:$H$504,$J25)),"",INDEX('Product Backlog'!$H$5:$H$504,$J25)))</f>
        <v/>
      </c>
      <c r="I25" s="48" t="str">
        <f>IF($J25="","",IF(ISBLANK(INDEX('Product Backlog'!$I$5:$I$504,$J25)),"",INDEX('Product Backlog'!$I$5:$I$504,$J25)))</f>
        <v/>
      </c>
      <c r="J25" t="str">
        <f>IFERROR(MATCH($B$4&amp;"-"&amp;ROWS($A$10:A25),'Product Backlog'!$J$5:$J$504,0),"")</f>
        <v/>
      </c>
    </row>
    <row r="26" spans="1:10" ht="21" customHeight="1" x14ac:dyDescent="0.2">
      <c r="A26" s="46" t="str">
        <f>IF($J26="","",IF(ISBLANK(INDEX('Product Backlog'!$A$5:$A$504,$J26)),"",INDEX('Product Backlog'!$A$5:$A$504,$J26)))</f>
        <v/>
      </c>
      <c r="B26" s="46" t="str">
        <f>IF($J26="","",IF(ISBLANK(INDEX('Product Backlog'!$B$5:$B$504,$J26)),"",INDEX('Product Backlog'!$B$5:$B$504,$J26)))</f>
        <v/>
      </c>
      <c r="C26" s="46" t="str">
        <f>IF($J26="","",IF(ISBLANK(INDEX('Product Backlog'!$C$5:$C$504,$J26)),"",INDEX('Product Backlog'!$C$5:$C$504,$J26)))</f>
        <v/>
      </c>
      <c r="D26" s="46" t="str">
        <f>IF($J26="","",IF(ISBLANK(INDEX('Product Backlog'!$D$5:$D$504,$J26)),"",INDEX('Product Backlog'!$D$5:$D$504,$J26)))</f>
        <v/>
      </c>
      <c r="E26" s="46" t="str">
        <f>IF($J26="","",IF(ISBLANK(INDEX('Product Backlog'!$E$5:$E$504,$J26)),"",INDEX('Product Backlog'!$E$5:$E$504,$J26)))</f>
        <v/>
      </c>
      <c r="F26" s="47" t="str">
        <f>IF($J26="","",IF(ISBLANK(INDEX('Product Backlog'!$F$5:$F$504,$J26)),"",INDEX('Product Backlog'!$F$5:$F$504,$J26)))</f>
        <v/>
      </c>
      <c r="G26" s="47" t="str">
        <f>IF($J26="","",IF(ISBLANK(INDEX('Product Backlog'!$G$5:$G$504,$J26)),"",INDEX('Product Backlog'!$G$5:$G$504,$J26)))</f>
        <v/>
      </c>
      <c r="H26" s="48" t="str">
        <f>IF($J26="","",IF(ISBLANK(INDEX('Product Backlog'!$H$5:$H$504,$J26)),"",INDEX('Product Backlog'!$H$5:$H$504,$J26)))</f>
        <v/>
      </c>
      <c r="I26" s="48" t="str">
        <f>IF($J26="","",IF(ISBLANK(INDEX('Product Backlog'!$I$5:$I$504,$J26)),"",INDEX('Product Backlog'!$I$5:$I$504,$J26)))</f>
        <v/>
      </c>
      <c r="J26" t="str">
        <f>IFERROR(MATCH($B$4&amp;"-"&amp;ROWS($A$10:A26),'Product Backlog'!$J$5:$J$504,0),"")</f>
        <v/>
      </c>
    </row>
    <row r="27" spans="1:10" ht="21" customHeight="1" x14ac:dyDescent="0.2">
      <c r="A27" s="46" t="str">
        <f>IF($J27="","",IF(ISBLANK(INDEX('Product Backlog'!$A$5:$A$504,$J27)),"",INDEX('Product Backlog'!$A$5:$A$504,$J27)))</f>
        <v/>
      </c>
      <c r="B27" s="46" t="str">
        <f>IF($J27="","",IF(ISBLANK(INDEX('Product Backlog'!$B$5:$B$504,$J27)),"",INDEX('Product Backlog'!$B$5:$B$504,$J27)))</f>
        <v/>
      </c>
      <c r="C27" s="46" t="str">
        <f>IF($J27="","",IF(ISBLANK(INDEX('Product Backlog'!$C$5:$C$504,$J27)),"",INDEX('Product Backlog'!$C$5:$C$504,$J27)))</f>
        <v/>
      </c>
      <c r="D27" s="46" t="str">
        <f>IF($J27="","",IF(ISBLANK(INDEX('Product Backlog'!$D$5:$D$504,$J27)),"",INDEX('Product Backlog'!$D$5:$D$504,$J27)))</f>
        <v/>
      </c>
      <c r="E27" s="46" t="str">
        <f>IF($J27="","",IF(ISBLANK(INDEX('Product Backlog'!$E$5:$E$504,$J27)),"",INDEX('Product Backlog'!$E$5:$E$504,$J27)))</f>
        <v/>
      </c>
      <c r="F27" s="47" t="str">
        <f>IF($J27="","",IF(ISBLANK(INDEX('Product Backlog'!$F$5:$F$504,$J27)),"",INDEX('Product Backlog'!$F$5:$F$504,$J27)))</f>
        <v/>
      </c>
      <c r="G27" s="47" t="str">
        <f>IF($J27="","",IF(ISBLANK(INDEX('Product Backlog'!$G$5:$G$504,$J27)),"",INDEX('Product Backlog'!$G$5:$G$504,$J27)))</f>
        <v/>
      </c>
      <c r="H27" s="48" t="str">
        <f>IF($J27="","",IF(ISBLANK(INDEX('Product Backlog'!$H$5:$H$504,$J27)),"",INDEX('Product Backlog'!$H$5:$H$504,$J27)))</f>
        <v/>
      </c>
      <c r="I27" s="48" t="str">
        <f>IF($J27="","",IF(ISBLANK(INDEX('Product Backlog'!$I$5:$I$504,$J27)),"",INDEX('Product Backlog'!$I$5:$I$504,$J27)))</f>
        <v/>
      </c>
      <c r="J27" t="str">
        <f>IFERROR(MATCH($B$4&amp;"-"&amp;ROWS($A$10:A27),'Product Backlog'!$J$5:$J$504,0),"")</f>
        <v/>
      </c>
    </row>
    <row r="28" spans="1:10" ht="21" customHeight="1" x14ac:dyDescent="0.2">
      <c r="A28" s="46" t="str">
        <f>IF($J28="","",IF(ISBLANK(INDEX('Product Backlog'!$A$5:$A$504,$J28)),"",INDEX('Product Backlog'!$A$5:$A$504,$J28)))</f>
        <v/>
      </c>
      <c r="B28" s="46" t="str">
        <f>IF($J28="","",IF(ISBLANK(INDEX('Product Backlog'!$B$5:$B$504,$J28)),"",INDEX('Product Backlog'!$B$5:$B$504,$J28)))</f>
        <v/>
      </c>
      <c r="C28" s="46" t="str">
        <f>IF($J28="","",IF(ISBLANK(INDEX('Product Backlog'!$C$5:$C$504,$J28)),"",INDEX('Product Backlog'!$C$5:$C$504,$J28)))</f>
        <v/>
      </c>
      <c r="D28" s="46" t="str">
        <f>IF($J28="","",IF(ISBLANK(INDEX('Product Backlog'!$D$5:$D$504,$J28)),"",INDEX('Product Backlog'!$D$5:$D$504,$J28)))</f>
        <v/>
      </c>
      <c r="E28" s="46" t="str">
        <f>IF($J28="","",IF(ISBLANK(INDEX('Product Backlog'!$E$5:$E$504,$J28)),"",INDEX('Product Backlog'!$E$5:$E$504,$J28)))</f>
        <v/>
      </c>
      <c r="F28" s="47" t="str">
        <f>IF($J28="","",IF(ISBLANK(INDEX('Product Backlog'!$F$5:$F$504,$J28)),"",INDEX('Product Backlog'!$F$5:$F$504,$J28)))</f>
        <v/>
      </c>
      <c r="G28" s="47" t="str">
        <f>IF($J28="","",IF(ISBLANK(INDEX('Product Backlog'!$G$5:$G$504,$J28)),"",INDEX('Product Backlog'!$G$5:$G$504,$J28)))</f>
        <v/>
      </c>
      <c r="H28" s="48" t="str">
        <f>IF($J28="","",IF(ISBLANK(INDEX('Product Backlog'!$H$5:$H$504,$J28)),"",INDEX('Product Backlog'!$H$5:$H$504,$J28)))</f>
        <v/>
      </c>
      <c r="I28" s="48" t="str">
        <f>IF($J28="","",IF(ISBLANK(INDEX('Product Backlog'!$I$5:$I$504,$J28)),"",INDEX('Product Backlog'!$I$5:$I$504,$J28)))</f>
        <v/>
      </c>
      <c r="J28" t="str">
        <f>IFERROR(MATCH($B$4&amp;"-"&amp;ROWS($A$10:A28),'Product Backlog'!$J$5:$J$504,0),"")</f>
        <v/>
      </c>
    </row>
    <row r="29" spans="1:10" ht="21" customHeight="1" x14ac:dyDescent="0.2">
      <c r="A29" s="46" t="str">
        <f>IF($J29="","",IF(ISBLANK(INDEX('Product Backlog'!$A$5:$A$504,$J29)),"",INDEX('Product Backlog'!$A$5:$A$504,$J29)))</f>
        <v/>
      </c>
      <c r="B29" s="46" t="str">
        <f>IF($J29="","",IF(ISBLANK(INDEX('Product Backlog'!$B$5:$B$504,$J29)),"",INDEX('Product Backlog'!$B$5:$B$504,$J29)))</f>
        <v/>
      </c>
      <c r="C29" s="46" t="str">
        <f>IF($J29="","",IF(ISBLANK(INDEX('Product Backlog'!$C$5:$C$504,$J29)),"",INDEX('Product Backlog'!$C$5:$C$504,$J29)))</f>
        <v/>
      </c>
      <c r="D29" s="46" t="str">
        <f>IF($J29="","",IF(ISBLANK(INDEX('Product Backlog'!$D$5:$D$504,$J29)),"",INDEX('Product Backlog'!$D$5:$D$504,$J29)))</f>
        <v/>
      </c>
      <c r="E29" s="46" t="str">
        <f>IF($J29="","",IF(ISBLANK(INDEX('Product Backlog'!$E$5:$E$504,$J29)),"",INDEX('Product Backlog'!$E$5:$E$504,$J29)))</f>
        <v/>
      </c>
      <c r="F29" s="47" t="str">
        <f>IF($J29="","",IF(ISBLANK(INDEX('Product Backlog'!$F$5:$F$504,$J29)),"",INDEX('Product Backlog'!$F$5:$F$504,$J29)))</f>
        <v/>
      </c>
      <c r="G29" s="47" t="str">
        <f>IF($J29="","",IF(ISBLANK(INDEX('Product Backlog'!$G$5:$G$504,$J29)),"",INDEX('Product Backlog'!$G$5:$G$504,$J29)))</f>
        <v/>
      </c>
      <c r="H29" s="48" t="str">
        <f>IF($J29="","",IF(ISBLANK(INDEX('Product Backlog'!$H$5:$H$504,$J29)),"",INDEX('Product Backlog'!$H$5:$H$504,$J29)))</f>
        <v/>
      </c>
      <c r="I29" s="48" t="str">
        <f>IF($J29="","",IF(ISBLANK(INDEX('Product Backlog'!$I$5:$I$504,$J29)),"",INDEX('Product Backlog'!$I$5:$I$504,$J29)))</f>
        <v/>
      </c>
      <c r="J29" t="str">
        <f>IFERROR(MATCH($B$4&amp;"-"&amp;ROWS($A$10:A29),'Product Backlog'!$J$5:$J$504,0),"")</f>
        <v/>
      </c>
    </row>
    <row r="30" spans="1:10" ht="21" customHeight="1" x14ac:dyDescent="0.2">
      <c r="A30" s="46" t="str">
        <f>IF($J30="","",IF(ISBLANK(INDEX('Product Backlog'!$A$5:$A$504,$J30)),"",INDEX('Product Backlog'!$A$5:$A$504,$J30)))</f>
        <v/>
      </c>
      <c r="B30" s="46" t="str">
        <f>IF($J30="","",IF(ISBLANK(INDEX('Product Backlog'!$B$5:$B$504,$J30)),"",INDEX('Product Backlog'!$B$5:$B$504,$J30)))</f>
        <v/>
      </c>
      <c r="C30" s="46" t="str">
        <f>IF($J30="","",IF(ISBLANK(INDEX('Product Backlog'!$C$5:$C$504,$J30)),"",INDEX('Product Backlog'!$C$5:$C$504,$J30)))</f>
        <v/>
      </c>
      <c r="D30" s="46" t="str">
        <f>IF($J30="","",IF(ISBLANK(INDEX('Product Backlog'!$D$5:$D$504,$J30)),"",INDEX('Product Backlog'!$D$5:$D$504,$J30)))</f>
        <v/>
      </c>
      <c r="E30" s="46" t="str">
        <f>IF($J30="","",IF(ISBLANK(INDEX('Product Backlog'!$E$5:$E$504,$J30)),"",INDEX('Product Backlog'!$E$5:$E$504,$J30)))</f>
        <v/>
      </c>
      <c r="F30" s="47" t="str">
        <f>IF($J30="","",IF(ISBLANK(INDEX('Product Backlog'!$F$5:$F$504,$J30)),"",INDEX('Product Backlog'!$F$5:$F$504,$J30)))</f>
        <v/>
      </c>
      <c r="G30" s="47" t="str">
        <f>IF($J30="","",IF(ISBLANK(INDEX('Product Backlog'!$G$5:$G$504,$J30)),"",INDEX('Product Backlog'!$G$5:$G$504,$J30)))</f>
        <v/>
      </c>
      <c r="H30" s="48" t="str">
        <f>IF($J30="","",IF(ISBLANK(INDEX('Product Backlog'!$H$5:$H$504,$J30)),"",INDEX('Product Backlog'!$H$5:$H$504,$J30)))</f>
        <v/>
      </c>
      <c r="I30" s="48" t="str">
        <f>IF($J30="","",IF(ISBLANK(INDEX('Product Backlog'!$I$5:$I$504,$J30)),"",INDEX('Product Backlog'!$I$5:$I$504,$J30)))</f>
        <v/>
      </c>
      <c r="J30" t="str">
        <f>IFERROR(MATCH($B$4&amp;"-"&amp;ROWS($A$10:A30),'Product Backlog'!$J$5:$J$504,0),"")</f>
        <v/>
      </c>
    </row>
    <row r="31" spans="1:10" ht="21" customHeight="1" x14ac:dyDescent="0.2">
      <c r="A31" s="46" t="str">
        <f>IF($J31="","",IF(ISBLANK(INDEX('Product Backlog'!$A$5:$A$504,$J31)),"",INDEX('Product Backlog'!$A$5:$A$504,$J31)))</f>
        <v/>
      </c>
      <c r="B31" s="46" t="str">
        <f>IF($J31="","",IF(ISBLANK(INDEX('Product Backlog'!$B$5:$B$504,$J31)),"",INDEX('Product Backlog'!$B$5:$B$504,$J31)))</f>
        <v/>
      </c>
      <c r="C31" s="46" t="str">
        <f>IF($J31="","",IF(ISBLANK(INDEX('Product Backlog'!$C$5:$C$504,$J31)),"",INDEX('Product Backlog'!$C$5:$C$504,$J31)))</f>
        <v/>
      </c>
      <c r="D31" s="46" t="str">
        <f>IF($J31="","",IF(ISBLANK(INDEX('Product Backlog'!$D$5:$D$504,$J31)),"",INDEX('Product Backlog'!$D$5:$D$504,$J31)))</f>
        <v/>
      </c>
      <c r="E31" s="46" t="str">
        <f>IF($J31="","",IF(ISBLANK(INDEX('Product Backlog'!$E$5:$E$504,$J31)),"",INDEX('Product Backlog'!$E$5:$E$504,$J31)))</f>
        <v/>
      </c>
      <c r="F31" s="47" t="str">
        <f>IF($J31="","",IF(ISBLANK(INDEX('Product Backlog'!$F$5:$F$504,$J31)),"",INDEX('Product Backlog'!$F$5:$F$504,$J31)))</f>
        <v/>
      </c>
      <c r="G31" s="47" t="str">
        <f>IF($J31="","",IF(ISBLANK(INDEX('Product Backlog'!$G$5:$G$504,$J31)),"",INDEX('Product Backlog'!$G$5:$G$504,$J31)))</f>
        <v/>
      </c>
      <c r="H31" s="48" t="str">
        <f>IF($J31="","",IF(ISBLANK(INDEX('Product Backlog'!$H$5:$H$504,$J31)),"",INDEX('Product Backlog'!$H$5:$H$504,$J31)))</f>
        <v/>
      </c>
      <c r="I31" s="48" t="str">
        <f>IF($J31="","",IF(ISBLANK(INDEX('Product Backlog'!$I$5:$I$504,$J31)),"",INDEX('Product Backlog'!$I$5:$I$504,$J31)))</f>
        <v/>
      </c>
      <c r="J31" t="str">
        <f>IFERROR(MATCH($B$4&amp;"-"&amp;ROWS($A$10:A31),'Product Backlog'!$J$5:$J$504,0),"")</f>
        <v/>
      </c>
    </row>
    <row r="32" spans="1:10" ht="21" customHeight="1" x14ac:dyDescent="0.2">
      <c r="A32" s="46" t="str">
        <f>IF($J32="","",IF(ISBLANK(INDEX('Product Backlog'!$A$5:$A$504,$J32)),"",INDEX('Product Backlog'!$A$5:$A$504,$J32)))</f>
        <v/>
      </c>
      <c r="B32" s="46" t="str">
        <f>IF($J32="","",IF(ISBLANK(INDEX('Product Backlog'!$B$5:$B$504,$J32)),"",INDEX('Product Backlog'!$B$5:$B$504,$J32)))</f>
        <v/>
      </c>
      <c r="C32" s="46" t="str">
        <f>IF($J32="","",IF(ISBLANK(INDEX('Product Backlog'!$C$5:$C$504,$J32)),"",INDEX('Product Backlog'!$C$5:$C$504,$J32)))</f>
        <v/>
      </c>
      <c r="D32" s="46" t="str">
        <f>IF($J32="","",IF(ISBLANK(INDEX('Product Backlog'!$D$5:$D$504,$J32)),"",INDEX('Product Backlog'!$D$5:$D$504,$J32)))</f>
        <v/>
      </c>
      <c r="E32" s="46" t="str">
        <f>IF($J32="","",IF(ISBLANK(INDEX('Product Backlog'!$E$5:$E$504,$J32)),"",INDEX('Product Backlog'!$E$5:$E$504,$J32)))</f>
        <v/>
      </c>
      <c r="F32" s="47" t="str">
        <f>IF($J32="","",IF(ISBLANK(INDEX('Product Backlog'!$F$5:$F$504,$J32)),"",INDEX('Product Backlog'!$F$5:$F$504,$J32)))</f>
        <v/>
      </c>
      <c r="G32" s="47" t="str">
        <f>IF($J32="","",IF(ISBLANK(INDEX('Product Backlog'!$G$5:$G$504,$J32)),"",INDEX('Product Backlog'!$G$5:$G$504,$J32)))</f>
        <v/>
      </c>
      <c r="H32" s="48" t="str">
        <f>IF($J32="","",IF(ISBLANK(INDEX('Product Backlog'!$H$5:$H$504,$J32)),"",INDEX('Product Backlog'!$H$5:$H$504,$J32)))</f>
        <v/>
      </c>
      <c r="I32" s="48" t="str">
        <f>IF($J32="","",IF(ISBLANK(INDEX('Product Backlog'!$I$5:$I$504,$J32)),"",INDEX('Product Backlog'!$I$5:$I$504,$J32)))</f>
        <v/>
      </c>
      <c r="J32" t="str">
        <f>IFERROR(MATCH($B$4&amp;"-"&amp;ROWS($A$10:A32),'Product Backlog'!$J$5:$J$504,0),"")</f>
        <v/>
      </c>
    </row>
    <row r="33" spans="1:10" ht="21" customHeight="1" x14ac:dyDescent="0.2">
      <c r="A33" s="46" t="str">
        <f>IF($J33="","",IF(ISBLANK(INDEX('Product Backlog'!$A$5:$A$504,$J33)),"",INDEX('Product Backlog'!$A$5:$A$504,$J33)))</f>
        <v/>
      </c>
      <c r="B33" s="46" t="str">
        <f>IF($J33="","",IF(ISBLANK(INDEX('Product Backlog'!$B$5:$B$504,$J33)),"",INDEX('Product Backlog'!$B$5:$B$504,$J33)))</f>
        <v/>
      </c>
      <c r="C33" s="46" t="str">
        <f>IF($J33="","",IF(ISBLANK(INDEX('Product Backlog'!$C$5:$C$504,$J33)),"",INDEX('Product Backlog'!$C$5:$C$504,$J33)))</f>
        <v/>
      </c>
      <c r="D33" s="46" t="str">
        <f>IF($J33="","",IF(ISBLANK(INDEX('Product Backlog'!$D$5:$D$504,$J33)),"",INDEX('Product Backlog'!$D$5:$D$504,$J33)))</f>
        <v/>
      </c>
      <c r="E33" s="46" t="str">
        <f>IF($J33="","",IF(ISBLANK(INDEX('Product Backlog'!$E$5:$E$504,$J33)),"",INDEX('Product Backlog'!$E$5:$E$504,$J33)))</f>
        <v/>
      </c>
      <c r="F33" s="47" t="str">
        <f>IF($J33="","",IF(ISBLANK(INDEX('Product Backlog'!$F$5:$F$504,$J33)),"",INDEX('Product Backlog'!$F$5:$F$504,$J33)))</f>
        <v/>
      </c>
      <c r="G33" s="47" t="str">
        <f>IF($J33="","",IF(ISBLANK(INDEX('Product Backlog'!$G$5:$G$504,$J33)),"",INDEX('Product Backlog'!$G$5:$G$504,$J33)))</f>
        <v/>
      </c>
      <c r="H33" s="48" t="str">
        <f>IF($J33="","",IF(ISBLANK(INDEX('Product Backlog'!$H$5:$H$504,$J33)),"",INDEX('Product Backlog'!$H$5:$H$504,$J33)))</f>
        <v/>
      </c>
      <c r="I33" s="48" t="str">
        <f>IF($J33="","",IF(ISBLANK(INDEX('Product Backlog'!$I$5:$I$504,$J33)),"",INDEX('Product Backlog'!$I$5:$I$504,$J33)))</f>
        <v/>
      </c>
      <c r="J33" t="str">
        <f>IFERROR(MATCH($B$4&amp;"-"&amp;ROWS($A$10:A33),'Product Backlog'!$J$5:$J$504,0),"")</f>
        <v/>
      </c>
    </row>
    <row r="34" spans="1:10" ht="21" customHeight="1" x14ac:dyDescent="0.2">
      <c r="A34" s="46" t="str">
        <f>IF($J34="","",IF(ISBLANK(INDEX('Product Backlog'!$A$5:$A$504,$J34)),"",INDEX('Product Backlog'!$A$5:$A$504,$J34)))</f>
        <v/>
      </c>
      <c r="B34" s="46" t="str">
        <f>IF($J34="","",IF(ISBLANK(INDEX('Product Backlog'!$B$5:$B$504,$J34)),"",INDEX('Product Backlog'!$B$5:$B$504,$J34)))</f>
        <v/>
      </c>
      <c r="C34" s="46" t="str">
        <f>IF($J34="","",IF(ISBLANK(INDEX('Product Backlog'!$C$5:$C$504,$J34)),"",INDEX('Product Backlog'!$C$5:$C$504,$J34)))</f>
        <v/>
      </c>
      <c r="D34" s="46" t="str">
        <f>IF($J34="","",IF(ISBLANK(INDEX('Product Backlog'!$D$5:$D$504,$J34)),"",INDEX('Product Backlog'!$D$5:$D$504,$J34)))</f>
        <v/>
      </c>
      <c r="E34" s="46" t="str">
        <f>IF($J34="","",IF(ISBLANK(INDEX('Product Backlog'!$E$5:$E$504,$J34)),"",INDEX('Product Backlog'!$E$5:$E$504,$J34)))</f>
        <v/>
      </c>
      <c r="F34" s="47" t="str">
        <f>IF($J34="","",IF(ISBLANK(INDEX('Product Backlog'!$F$5:$F$504,$J34)),"",INDEX('Product Backlog'!$F$5:$F$504,$J34)))</f>
        <v/>
      </c>
      <c r="G34" s="47" t="str">
        <f>IF($J34="","",IF(ISBLANK(INDEX('Product Backlog'!$G$5:$G$504,$J34)),"",INDEX('Product Backlog'!$G$5:$G$504,$J34)))</f>
        <v/>
      </c>
      <c r="H34" s="48" t="str">
        <f>IF($J34="","",IF(ISBLANK(INDEX('Product Backlog'!$H$5:$H$504,$J34)),"",INDEX('Product Backlog'!$H$5:$H$504,$J34)))</f>
        <v/>
      </c>
      <c r="I34" s="48" t="str">
        <f>IF($J34="","",IF(ISBLANK(INDEX('Product Backlog'!$I$5:$I$504,$J34)),"",INDEX('Product Backlog'!$I$5:$I$504,$J34)))</f>
        <v/>
      </c>
      <c r="J34" t="str">
        <f>IFERROR(MATCH($B$4&amp;"-"&amp;ROWS($A$10:A34),'Product Backlog'!$J$5:$J$504,0),"")</f>
        <v/>
      </c>
    </row>
    <row r="35" spans="1:10" ht="21" customHeight="1" x14ac:dyDescent="0.2">
      <c r="A35" s="46" t="str">
        <f>IF($J35="","",IF(ISBLANK(INDEX('Product Backlog'!$A$5:$A$504,$J35)),"",INDEX('Product Backlog'!$A$5:$A$504,$J35)))</f>
        <v/>
      </c>
      <c r="B35" s="46" t="str">
        <f>IF($J35="","",IF(ISBLANK(INDEX('Product Backlog'!$B$5:$B$504,$J35)),"",INDEX('Product Backlog'!$B$5:$B$504,$J35)))</f>
        <v/>
      </c>
      <c r="C35" s="46" t="str">
        <f>IF($J35="","",IF(ISBLANK(INDEX('Product Backlog'!$C$5:$C$504,$J35)),"",INDEX('Product Backlog'!$C$5:$C$504,$J35)))</f>
        <v/>
      </c>
      <c r="D35" s="46" t="str">
        <f>IF($J35="","",IF(ISBLANK(INDEX('Product Backlog'!$D$5:$D$504,$J35)),"",INDEX('Product Backlog'!$D$5:$D$504,$J35)))</f>
        <v/>
      </c>
      <c r="E35" s="46" t="str">
        <f>IF($J35="","",IF(ISBLANK(INDEX('Product Backlog'!$E$5:$E$504,$J35)),"",INDEX('Product Backlog'!$E$5:$E$504,$J35)))</f>
        <v/>
      </c>
      <c r="F35" s="47" t="str">
        <f>IF($J35="","",IF(ISBLANK(INDEX('Product Backlog'!$F$5:$F$504,$J35)),"",INDEX('Product Backlog'!$F$5:$F$504,$J35)))</f>
        <v/>
      </c>
      <c r="G35" s="47" t="str">
        <f>IF($J35="","",IF(ISBLANK(INDEX('Product Backlog'!$G$5:$G$504,$J35)),"",INDEX('Product Backlog'!$G$5:$G$504,$J35)))</f>
        <v/>
      </c>
      <c r="H35" s="48" t="str">
        <f>IF($J35="","",IF(ISBLANK(INDEX('Product Backlog'!$H$5:$H$504,$J35)),"",INDEX('Product Backlog'!$H$5:$H$504,$J35)))</f>
        <v/>
      </c>
      <c r="I35" s="48" t="str">
        <f>IF($J35="","",IF(ISBLANK(INDEX('Product Backlog'!$I$5:$I$504,$J35)),"",INDEX('Product Backlog'!$I$5:$I$504,$J35)))</f>
        <v/>
      </c>
      <c r="J35" t="str">
        <f>IFERROR(MATCH($B$4&amp;"-"&amp;ROWS($A$10:A35),'Product Backlog'!$J$5:$J$504,0),"")</f>
        <v/>
      </c>
    </row>
    <row r="36" spans="1:10" ht="21" customHeight="1" x14ac:dyDescent="0.2">
      <c r="A36" s="46" t="str">
        <f>IF($J36="","",IF(ISBLANK(INDEX('Product Backlog'!$A$5:$A$504,$J36)),"",INDEX('Product Backlog'!$A$5:$A$504,$J36)))</f>
        <v/>
      </c>
      <c r="B36" s="46" t="str">
        <f>IF($J36="","",IF(ISBLANK(INDEX('Product Backlog'!$B$5:$B$504,$J36)),"",INDEX('Product Backlog'!$B$5:$B$504,$J36)))</f>
        <v/>
      </c>
      <c r="C36" s="46" t="str">
        <f>IF($J36="","",IF(ISBLANK(INDEX('Product Backlog'!$C$5:$C$504,$J36)),"",INDEX('Product Backlog'!$C$5:$C$504,$J36)))</f>
        <v/>
      </c>
      <c r="D36" s="46" t="str">
        <f>IF($J36="","",IF(ISBLANK(INDEX('Product Backlog'!$D$5:$D$504,$J36)),"",INDEX('Product Backlog'!$D$5:$D$504,$J36)))</f>
        <v/>
      </c>
      <c r="E36" s="46" t="str">
        <f>IF($J36="","",IF(ISBLANK(INDEX('Product Backlog'!$E$5:$E$504,$J36)),"",INDEX('Product Backlog'!$E$5:$E$504,$J36)))</f>
        <v/>
      </c>
      <c r="F36" s="47" t="str">
        <f>IF($J36="","",IF(ISBLANK(INDEX('Product Backlog'!$F$5:$F$504,$J36)),"",INDEX('Product Backlog'!$F$5:$F$504,$J36)))</f>
        <v/>
      </c>
      <c r="G36" s="47" t="str">
        <f>IF($J36="","",IF(ISBLANK(INDEX('Product Backlog'!$G$5:$G$504,$J36)),"",INDEX('Product Backlog'!$G$5:$G$504,$J36)))</f>
        <v/>
      </c>
      <c r="H36" s="48" t="str">
        <f>IF($J36="","",IF(ISBLANK(INDEX('Product Backlog'!$H$5:$H$504,$J36)),"",INDEX('Product Backlog'!$H$5:$H$504,$J36)))</f>
        <v/>
      </c>
      <c r="I36" s="48" t="str">
        <f>IF($J36="","",IF(ISBLANK(INDEX('Product Backlog'!$I$5:$I$504,$J36)),"",INDEX('Product Backlog'!$I$5:$I$504,$J36)))</f>
        <v/>
      </c>
      <c r="J36" t="str">
        <f>IFERROR(MATCH($B$4&amp;"-"&amp;ROWS($A$10:A36),'Product Backlog'!$J$5:$J$504,0),"")</f>
        <v/>
      </c>
    </row>
    <row r="37" spans="1:10" ht="21" customHeight="1" x14ac:dyDescent="0.2">
      <c r="A37" s="46" t="str">
        <f>IF($J37="","",IF(ISBLANK(INDEX('Product Backlog'!$A$5:$A$504,$J37)),"",INDEX('Product Backlog'!$A$5:$A$504,$J37)))</f>
        <v/>
      </c>
      <c r="B37" s="46" t="str">
        <f>IF($J37="","",IF(ISBLANK(INDEX('Product Backlog'!$B$5:$B$504,$J37)),"",INDEX('Product Backlog'!$B$5:$B$504,$J37)))</f>
        <v/>
      </c>
      <c r="C37" s="46" t="str">
        <f>IF($J37="","",IF(ISBLANK(INDEX('Product Backlog'!$C$5:$C$504,$J37)),"",INDEX('Product Backlog'!$C$5:$C$504,$J37)))</f>
        <v/>
      </c>
      <c r="D37" s="46" t="str">
        <f>IF($J37="","",IF(ISBLANK(INDEX('Product Backlog'!$D$5:$D$504,$J37)),"",INDEX('Product Backlog'!$D$5:$D$504,$J37)))</f>
        <v/>
      </c>
      <c r="E37" s="46" t="str">
        <f>IF($J37="","",IF(ISBLANK(INDEX('Product Backlog'!$E$5:$E$504,$J37)),"",INDEX('Product Backlog'!$E$5:$E$504,$J37)))</f>
        <v/>
      </c>
      <c r="F37" s="47" t="str">
        <f>IF($J37="","",IF(ISBLANK(INDEX('Product Backlog'!$F$5:$F$504,$J37)),"",INDEX('Product Backlog'!$F$5:$F$504,$J37)))</f>
        <v/>
      </c>
      <c r="G37" s="47" t="str">
        <f>IF($J37="","",IF(ISBLANK(INDEX('Product Backlog'!$G$5:$G$504,$J37)),"",INDEX('Product Backlog'!$G$5:$G$504,$J37)))</f>
        <v/>
      </c>
      <c r="H37" s="48" t="str">
        <f>IF($J37="","",IF(ISBLANK(INDEX('Product Backlog'!$H$5:$H$504,$J37)),"",INDEX('Product Backlog'!$H$5:$H$504,$J37)))</f>
        <v/>
      </c>
      <c r="I37" s="48" t="str">
        <f>IF($J37="","",IF(ISBLANK(INDEX('Product Backlog'!$I$5:$I$504,$J37)),"",INDEX('Product Backlog'!$I$5:$I$504,$J37)))</f>
        <v/>
      </c>
      <c r="J37" t="str">
        <f>IFERROR(MATCH($B$4&amp;"-"&amp;ROWS($A$10:A37),'Product Backlog'!$J$5:$J$504,0),"")</f>
        <v/>
      </c>
    </row>
    <row r="38" spans="1:10" ht="21" customHeight="1" x14ac:dyDescent="0.2">
      <c r="A38" s="46" t="str">
        <f>IF($J38="","",IF(ISBLANK(INDEX('Product Backlog'!$A$5:$A$504,$J38)),"",INDEX('Product Backlog'!$A$5:$A$504,$J38)))</f>
        <v/>
      </c>
      <c r="B38" s="46" t="str">
        <f>IF($J38="","",IF(ISBLANK(INDEX('Product Backlog'!$B$5:$B$504,$J38)),"",INDEX('Product Backlog'!$B$5:$B$504,$J38)))</f>
        <v/>
      </c>
      <c r="C38" s="46" t="str">
        <f>IF($J38="","",IF(ISBLANK(INDEX('Product Backlog'!$C$5:$C$504,$J38)),"",INDEX('Product Backlog'!$C$5:$C$504,$J38)))</f>
        <v/>
      </c>
      <c r="D38" s="46" t="str">
        <f>IF($J38="","",IF(ISBLANK(INDEX('Product Backlog'!$D$5:$D$504,$J38)),"",INDEX('Product Backlog'!$D$5:$D$504,$J38)))</f>
        <v/>
      </c>
      <c r="E38" s="46" t="str">
        <f>IF($J38="","",IF(ISBLANK(INDEX('Product Backlog'!$E$5:$E$504,$J38)),"",INDEX('Product Backlog'!$E$5:$E$504,$J38)))</f>
        <v/>
      </c>
      <c r="F38" s="47" t="str">
        <f>IF($J38="","",IF(ISBLANK(INDEX('Product Backlog'!$F$5:$F$504,$J38)),"",INDEX('Product Backlog'!$F$5:$F$504,$J38)))</f>
        <v/>
      </c>
      <c r="G38" s="47" t="str">
        <f>IF($J38="","",IF(ISBLANK(INDEX('Product Backlog'!$G$5:$G$504,$J38)),"",INDEX('Product Backlog'!$G$5:$G$504,$J38)))</f>
        <v/>
      </c>
      <c r="H38" s="48" t="str">
        <f>IF($J38="","",IF(ISBLANK(INDEX('Product Backlog'!$H$5:$H$504,$J38)),"",INDEX('Product Backlog'!$H$5:$H$504,$J38)))</f>
        <v/>
      </c>
      <c r="I38" s="48" t="str">
        <f>IF($J38="","",IF(ISBLANK(INDEX('Product Backlog'!$I$5:$I$504,$J38)),"",INDEX('Product Backlog'!$I$5:$I$504,$J38)))</f>
        <v/>
      </c>
      <c r="J38" t="str">
        <f>IFERROR(MATCH($B$4&amp;"-"&amp;ROWS($A$10:A38),'Product Backlog'!$J$5:$J$504,0),"")</f>
        <v/>
      </c>
    </row>
    <row r="39" spans="1:10" ht="21" customHeight="1" x14ac:dyDescent="0.2">
      <c r="A39" s="46" t="str">
        <f>IF($J39="","",IF(ISBLANK(INDEX('Product Backlog'!$A$5:$A$504,$J39)),"",INDEX('Product Backlog'!$A$5:$A$504,$J39)))</f>
        <v/>
      </c>
      <c r="B39" s="46" t="str">
        <f>IF($J39="","",IF(ISBLANK(INDEX('Product Backlog'!$B$5:$B$504,$J39)),"",INDEX('Product Backlog'!$B$5:$B$504,$J39)))</f>
        <v/>
      </c>
      <c r="C39" s="46" t="str">
        <f>IF($J39="","",IF(ISBLANK(INDEX('Product Backlog'!$C$5:$C$504,$J39)),"",INDEX('Product Backlog'!$C$5:$C$504,$J39)))</f>
        <v/>
      </c>
      <c r="D39" s="46" t="str">
        <f>IF($J39="","",IF(ISBLANK(INDEX('Product Backlog'!$D$5:$D$504,$J39)),"",INDEX('Product Backlog'!$D$5:$D$504,$J39)))</f>
        <v/>
      </c>
      <c r="E39" s="46" t="str">
        <f>IF($J39="","",IF(ISBLANK(INDEX('Product Backlog'!$E$5:$E$504,$J39)),"",INDEX('Product Backlog'!$E$5:$E$504,$J39)))</f>
        <v/>
      </c>
      <c r="F39" s="47" t="str">
        <f>IF($J39="","",IF(ISBLANK(INDEX('Product Backlog'!$F$5:$F$504,$J39)),"",INDEX('Product Backlog'!$F$5:$F$504,$J39)))</f>
        <v/>
      </c>
      <c r="G39" s="47" t="str">
        <f>IF($J39="","",IF(ISBLANK(INDEX('Product Backlog'!$G$5:$G$504,$J39)),"",INDEX('Product Backlog'!$G$5:$G$504,$J39)))</f>
        <v/>
      </c>
      <c r="H39" s="48" t="str">
        <f>IF($J39="","",IF(ISBLANK(INDEX('Product Backlog'!$H$5:$H$504,$J39)),"",INDEX('Product Backlog'!$H$5:$H$504,$J39)))</f>
        <v/>
      </c>
      <c r="I39" s="48" t="str">
        <f>IF($J39="","",IF(ISBLANK(INDEX('Product Backlog'!$I$5:$I$504,$J39)),"",INDEX('Product Backlog'!$I$5:$I$504,$J39)))</f>
        <v/>
      </c>
      <c r="J39" t="str">
        <f>IFERROR(MATCH($B$4&amp;"-"&amp;ROWS($A$10:A39),'Product Backlog'!$J$5:$J$504,0),"")</f>
        <v/>
      </c>
    </row>
    <row r="40" spans="1:10" ht="21" customHeight="1" x14ac:dyDescent="0.2">
      <c r="A40" s="46" t="str">
        <f>IF($J40="","",IF(ISBLANK(INDEX('Product Backlog'!$A$5:$A$504,$J40)),"",INDEX('Product Backlog'!$A$5:$A$504,$J40)))</f>
        <v/>
      </c>
      <c r="B40" s="46" t="str">
        <f>IF($J40="","",IF(ISBLANK(INDEX('Product Backlog'!$B$5:$B$504,$J40)),"",INDEX('Product Backlog'!$B$5:$B$504,$J40)))</f>
        <v/>
      </c>
      <c r="C40" s="46" t="str">
        <f>IF($J40="","",IF(ISBLANK(INDEX('Product Backlog'!$C$5:$C$504,$J40)),"",INDEX('Product Backlog'!$C$5:$C$504,$J40)))</f>
        <v/>
      </c>
      <c r="D40" s="46" t="str">
        <f>IF($J40="","",IF(ISBLANK(INDEX('Product Backlog'!$D$5:$D$504,$J40)),"",INDEX('Product Backlog'!$D$5:$D$504,$J40)))</f>
        <v/>
      </c>
      <c r="E40" s="46" t="str">
        <f>IF($J40="","",IF(ISBLANK(INDEX('Product Backlog'!$E$5:$E$504,$J40)),"",INDEX('Product Backlog'!$E$5:$E$504,$J40)))</f>
        <v/>
      </c>
      <c r="F40" s="47" t="str">
        <f>IF($J40="","",IF(ISBLANK(INDEX('Product Backlog'!$F$5:$F$504,$J40)),"",INDEX('Product Backlog'!$F$5:$F$504,$J40)))</f>
        <v/>
      </c>
      <c r="G40" s="47" t="str">
        <f>IF($J40="","",IF(ISBLANK(INDEX('Product Backlog'!$G$5:$G$504,$J40)),"",INDEX('Product Backlog'!$G$5:$G$504,$J40)))</f>
        <v/>
      </c>
      <c r="H40" s="48" t="str">
        <f>IF($J40="","",IF(ISBLANK(INDEX('Product Backlog'!$H$5:$H$504,$J40)),"",INDEX('Product Backlog'!$H$5:$H$504,$J40)))</f>
        <v/>
      </c>
      <c r="I40" s="48" t="str">
        <f>IF($J40="","",IF(ISBLANK(INDEX('Product Backlog'!$I$5:$I$504,$J40)),"",INDEX('Product Backlog'!$I$5:$I$504,$J40)))</f>
        <v/>
      </c>
      <c r="J40" t="str">
        <f>IFERROR(MATCH($B$4&amp;"-"&amp;ROWS($A$10:A40),'Product Backlog'!$J$5:$J$504,0),"")</f>
        <v/>
      </c>
    </row>
    <row r="41" spans="1:10" ht="21" customHeight="1" x14ac:dyDescent="0.2">
      <c r="A41" s="46" t="str">
        <f>IF($J41="","",IF(ISBLANK(INDEX('Product Backlog'!$A$5:$A$504,$J41)),"",INDEX('Product Backlog'!$A$5:$A$504,$J41)))</f>
        <v/>
      </c>
      <c r="B41" s="46" t="str">
        <f>IF($J41="","",IF(ISBLANK(INDEX('Product Backlog'!$B$5:$B$504,$J41)),"",INDEX('Product Backlog'!$B$5:$B$504,$J41)))</f>
        <v/>
      </c>
      <c r="C41" s="46" t="str">
        <f>IF($J41="","",IF(ISBLANK(INDEX('Product Backlog'!$C$5:$C$504,$J41)),"",INDEX('Product Backlog'!$C$5:$C$504,$J41)))</f>
        <v/>
      </c>
      <c r="D41" s="46" t="str">
        <f>IF($J41="","",IF(ISBLANK(INDEX('Product Backlog'!$D$5:$D$504,$J41)),"",INDEX('Product Backlog'!$D$5:$D$504,$J41)))</f>
        <v/>
      </c>
      <c r="E41" s="46" t="str">
        <f>IF($J41="","",IF(ISBLANK(INDEX('Product Backlog'!$E$5:$E$504,$J41)),"",INDEX('Product Backlog'!$E$5:$E$504,$J41)))</f>
        <v/>
      </c>
      <c r="F41" s="47" t="str">
        <f>IF($J41="","",IF(ISBLANK(INDEX('Product Backlog'!$F$5:$F$504,$J41)),"",INDEX('Product Backlog'!$F$5:$F$504,$J41)))</f>
        <v/>
      </c>
      <c r="G41" s="47" t="str">
        <f>IF($J41="","",IF(ISBLANK(INDEX('Product Backlog'!$G$5:$G$504,$J41)),"",INDEX('Product Backlog'!$G$5:$G$504,$J41)))</f>
        <v/>
      </c>
      <c r="H41" s="48" t="str">
        <f>IF($J41="","",IF(ISBLANK(INDEX('Product Backlog'!$H$5:$H$504,$J41)),"",INDEX('Product Backlog'!$H$5:$H$504,$J41)))</f>
        <v/>
      </c>
      <c r="I41" s="48" t="str">
        <f>IF($J41="","",IF(ISBLANK(INDEX('Product Backlog'!$I$5:$I$504,$J41)),"",INDEX('Product Backlog'!$I$5:$I$504,$J41)))</f>
        <v/>
      </c>
      <c r="J41" t="str">
        <f>IFERROR(MATCH($B$4&amp;"-"&amp;ROWS($A$10:A41),'Product Backlog'!$J$5:$J$504,0),"")</f>
        <v/>
      </c>
    </row>
    <row r="42" spans="1:10" ht="21" customHeight="1" x14ac:dyDescent="0.2">
      <c r="A42" s="46" t="str">
        <f>IF($J42="","",IF(ISBLANK(INDEX('Product Backlog'!$A$5:$A$504,$J42)),"",INDEX('Product Backlog'!$A$5:$A$504,$J42)))</f>
        <v/>
      </c>
      <c r="B42" s="46" t="str">
        <f>IF($J42="","",IF(ISBLANK(INDEX('Product Backlog'!$B$5:$B$504,$J42)),"",INDEX('Product Backlog'!$B$5:$B$504,$J42)))</f>
        <v/>
      </c>
      <c r="C42" s="46" t="str">
        <f>IF($J42="","",IF(ISBLANK(INDEX('Product Backlog'!$C$5:$C$504,$J42)),"",INDEX('Product Backlog'!$C$5:$C$504,$J42)))</f>
        <v/>
      </c>
      <c r="D42" s="46" t="str">
        <f>IF($J42="","",IF(ISBLANK(INDEX('Product Backlog'!$D$5:$D$504,$J42)),"",INDEX('Product Backlog'!$D$5:$D$504,$J42)))</f>
        <v/>
      </c>
      <c r="E42" s="46" t="str">
        <f>IF($J42="","",IF(ISBLANK(INDEX('Product Backlog'!$E$5:$E$504,$J42)),"",INDEX('Product Backlog'!$E$5:$E$504,$J42)))</f>
        <v/>
      </c>
      <c r="F42" s="47" t="str">
        <f>IF($J42="","",IF(ISBLANK(INDEX('Product Backlog'!$F$5:$F$504,$J42)),"",INDEX('Product Backlog'!$F$5:$F$504,$J42)))</f>
        <v/>
      </c>
      <c r="G42" s="47" t="str">
        <f>IF($J42="","",IF(ISBLANK(INDEX('Product Backlog'!$G$5:$G$504,$J42)),"",INDEX('Product Backlog'!$G$5:$G$504,$J42)))</f>
        <v/>
      </c>
      <c r="H42" s="48" t="str">
        <f>IF($J42="","",IF(ISBLANK(INDEX('Product Backlog'!$H$5:$H$504,$J42)),"",INDEX('Product Backlog'!$H$5:$H$504,$J42)))</f>
        <v/>
      </c>
      <c r="I42" s="48" t="str">
        <f>IF($J42="","",IF(ISBLANK(INDEX('Product Backlog'!$I$5:$I$504,$J42)),"",INDEX('Product Backlog'!$I$5:$I$504,$J42)))</f>
        <v/>
      </c>
      <c r="J42" t="str">
        <f>IFERROR(MATCH($B$4&amp;"-"&amp;ROWS($A$10:A42),'Product Backlog'!$J$5:$J$504,0),"")</f>
        <v/>
      </c>
    </row>
    <row r="43" spans="1:10" ht="21" customHeight="1" x14ac:dyDescent="0.2">
      <c r="A43" s="46" t="str">
        <f>IF($J43="","",IF(ISBLANK(INDEX('Product Backlog'!$A$5:$A$504,$J43)),"",INDEX('Product Backlog'!$A$5:$A$504,$J43)))</f>
        <v/>
      </c>
      <c r="B43" s="46" t="str">
        <f>IF($J43="","",IF(ISBLANK(INDEX('Product Backlog'!$B$5:$B$504,$J43)),"",INDEX('Product Backlog'!$B$5:$B$504,$J43)))</f>
        <v/>
      </c>
      <c r="C43" s="46" t="str">
        <f>IF($J43="","",IF(ISBLANK(INDEX('Product Backlog'!$C$5:$C$504,$J43)),"",INDEX('Product Backlog'!$C$5:$C$504,$J43)))</f>
        <v/>
      </c>
      <c r="D43" s="46" t="str">
        <f>IF($J43="","",IF(ISBLANK(INDEX('Product Backlog'!$D$5:$D$504,$J43)),"",INDEX('Product Backlog'!$D$5:$D$504,$J43)))</f>
        <v/>
      </c>
      <c r="E43" s="46" t="str">
        <f>IF($J43="","",IF(ISBLANK(INDEX('Product Backlog'!$E$5:$E$504,$J43)),"",INDEX('Product Backlog'!$E$5:$E$504,$J43)))</f>
        <v/>
      </c>
      <c r="F43" s="47" t="str">
        <f>IF($J43="","",IF(ISBLANK(INDEX('Product Backlog'!$F$5:$F$504,$J43)),"",INDEX('Product Backlog'!$F$5:$F$504,$J43)))</f>
        <v/>
      </c>
      <c r="G43" s="47" t="str">
        <f>IF($J43="","",IF(ISBLANK(INDEX('Product Backlog'!$G$5:$G$504,$J43)),"",INDEX('Product Backlog'!$G$5:$G$504,$J43)))</f>
        <v/>
      </c>
      <c r="H43" s="48" t="str">
        <f>IF($J43="","",IF(ISBLANK(INDEX('Product Backlog'!$H$5:$H$504,$J43)),"",INDEX('Product Backlog'!$H$5:$H$504,$J43)))</f>
        <v/>
      </c>
      <c r="I43" s="48" t="str">
        <f>IF($J43="","",IF(ISBLANK(INDEX('Product Backlog'!$I$5:$I$504,$J43)),"",INDEX('Product Backlog'!$I$5:$I$504,$J43)))</f>
        <v/>
      </c>
      <c r="J43" t="str">
        <f>IFERROR(MATCH($B$4&amp;"-"&amp;ROWS($A$10:A43),'Product Backlog'!$J$5:$J$504,0),"")</f>
        <v/>
      </c>
    </row>
    <row r="44" spans="1:10" ht="21" customHeight="1" x14ac:dyDescent="0.2">
      <c r="A44" s="46" t="str">
        <f>IF($J44="","",IF(ISBLANK(INDEX('Product Backlog'!$A$5:$A$504,$J44)),"",INDEX('Product Backlog'!$A$5:$A$504,$J44)))</f>
        <v/>
      </c>
      <c r="B44" s="46" t="str">
        <f>IF($J44="","",IF(ISBLANK(INDEX('Product Backlog'!$B$5:$B$504,$J44)),"",INDEX('Product Backlog'!$B$5:$B$504,$J44)))</f>
        <v/>
      </c>
      <c r="C44" s="46" t="str">
        <f>IF($J44="","",IF(ISBLANK(INDEX('Product Backlog'!$C$5:$C$504,$J44)),"",INDEX('Product Backlog'!$C$5:$C$504,$J44)))</f>
        <v/>
      </c>
      <c r="D44" s="46" t="str">
        <f>IF($J44="","",IF(ISBLANK(INDEX('Product Backlog'!$D$5:$D$504,$J44)),"",INDEX('Product Backlog'!$D$5:$D$504,$J44)))</f>
        <v/>
      </c>
      <c r="E44" s="46" t="str">
        <f>IF($J44="","",IF(ISBLANK(INDEX('Product Backlog'!$E$5:$E$504,$J44)),"",INDEX('Product Backlog'!$E$5:$E$504,$J44)))</f>
        <v/>
      </c>
      <c r="F44" s="47" t="str">
        <f>IF($J44="","",IF(ISBLANK(INDEX('Product Backlog'!$F$5:$F$504,$J44)),"",INDEX('Product Backlog'!$F$5:$F$504,$J44)))</f>
        <v/>
      </c>
      <c r="G44" s="47" t="str">
        <f>IF($J44="","",IF(ISBLANK(INDEX('Product Backlog'!$G$5:$G$504,$J44)),"",INDEX('Product Backlog'!$G$5:$G$504,$J44)))</f>
        <v/>
      </c>
      <c r="H44" s="48" t="str">
        <f>IF($J44="","",IF(ISBLANK(INDEX('Product Backlog'!$H$5:$H$504,$J44)),"",INDEX('Product Backlog'!$H$5:$H$504,$J44)))</f>
        <v/>
      </c>
      <c r="I44" s="48" t="str">
        <f>IF($J44="","",IF(ISBLANK(INDEX('Product Backlog'!$I$5:$I$504,$J44)),"",INDEX('Product Backlog'!$I$5:$I$504,$J44)))</f>
        <v/>
      </c>
      <c r="J44" t="str">
        <f>IFERROR(MATCH($B$4&amp;"-"&amp;ROWS($A$10:A44),'Product Backlog'!$J$5:$J$504,0),"")</f>
        <v/>
      </c>
    </row>
    <row r="45" spans="1:10" ht="21" customHeight="1" x14ac:dyDescent="0.2">
      <c r="A45" s="46" t="str">
        <f>IF($J45="","",IF(ISBLANK(INDEX('Product Backlog'!$A$5:$A$504,$J45)),"",INDEX('Product Backlog'!$A$5:$A$504,$J45)))</f>
        <v/>
      </c>
      <c r="B45" s="46" t="str">
        <f>IF($J45="","",IF(ISBLANK(INDEX('Product Backlog'!$B$5:$B$504,$J45)),"",INDEX('Product Backlog'!$B$5:$B$504,$J45)))</f>
        <v/>
      </c>
      <c r="C45" s="46" t="str">
        <f>IF($J45="","",IF(ISBLANK(INDEX('Product Backlog'!$C$5:$C$504,$J45)),"",INDEX('Product Backlog'!$C$5:$C$504,$J45)))</f>
        <v/>
      </c>
      <c r="D45" s="46" t="str">
        <f>IF($J45="","",IF(ISBLANK(INDEX('Product Backlog'!$D$5:$D$504,$J45)),"",INDEX('Product Backlog'!$D$5:$D$504,$J45)))</f>
        <v/>
      </c>
      <c r="E45" s="46" t="str">
        <f>IF($J45="","",IF(ISBLANK(INDEX('Product Backlog'!$E$5:$E$504,$J45)),"",INDEX('Product Backlog'!$E$5:$E$504,$J45)))</f>
        <v/>
      </c>
      <c r="F45" s="47" t="str">
        <f>IF($J45="","",IF(ISBLANK(INDEX('Product Backlog'!$F$5:$F$504,$J45)),"",INDEX('Product Backlog'!$F$5:$F$504,$J45)))</f>
        <v/>
      </c>
      <c r="G45" s="47" t="str">
        <f>IF($J45="","",IF(ISBLANK(INDEX('Product Backlog'!$G$5:$G$504,$J45)),"",INDEX('Product Backlog'!$G$5:$G$504,$J45)))</f>
        <v/>
      </c>
      <c r="H45" s="48" t="str">
        <f>IF($J45="","",IF(ISBLANK(INDEX('Product Backlog'!$H$5:$H$504,$J45)),"",INDEX('Product Backlog'!$H$5:$H$504,$J45)))</f>
        <v/>
      </c>
      <c r="I45" s="48" t="str">
        <f>IF($J45="","",IF(ISBLANK(INDEX('Product Backlog'!$I$5:$I$504,$J45)),"",INDEX('Product Backlog'!$I$5:$I$504,$J45)))</f>
        <v/>
      </c>
      <c r="J45" t="str">
        <f>IFERROR(MATCH($B$4&amp;"-"&amp;ROWS($A$10:A45),'Product Backlog'!$J$5:$J$504,0),"")</f>
        <v/>
      </c>
    </row>
    <row r="46" spans="1:10" ht="21" customHeight="1" x14ac:dyDescent="0.2">
      <c r="A46" s="46" t="str">
        <f>IF($J46="","",IF(ISBLANK(INDEX('Product Backlog'!$A$5:$A$504,$J46)),"",INDEX('Product Backlog'!$A$5:$A$504,$J46)))</f>
        <v/>
      </c>
      <c r="B46" s="46" t="str">
        <f>IF($J46="","",IF(ISBLANK(INDEX('Product Backlog'!$B$5:$B$504,$J46)),"",INDEX('Product Backlog'!$B$5:$B$504,$J46)))</f>
        <v/>
      </c>
      <c r="C46" s="46" t="str">
        <f>IF($J46="","",IF(ISBLANK(INDEX('Product Backlog'!$C$5:$C$504,$J46)),"",INDEX('Product Backlog'!$C$5:$C$504,$J46)))</f>
        <v/>
      </c>
      <c r="D46" s="46" t="str">
        <f>IF($J46="","",IF(ISBLANK(INDEX('Product Backlog'!$D$5:$D$504,$J46)),"",INDEX('Product Backlog'!$D$5:$D$504,$J46)))</f>
        <v/>
      </c>
      <c r="E46" s="46" t="str">
        <f>IF($J46="","",IF(ISBLANK(INDEX('Product Backlog'!$E$5:$E$504,$J46)),"",INDEX('Product Backlog'!$E$5:$E$504,$J46)))</f>
        <v/>
      </c>
      <c r="F46" s="47" t="str">
        <f>IF($J46="","",IF(ISBLANK(INDEX('Product Backlog'!$F$5:$F$504,$J46)),"",INDEX('Product Backlog'!$F$5:$F$504,$J46)))</f>
        <v/>
      </c>
      <c r="G46" s="47" t="str">
        <f>IF($J46="","",IF(ISBLANK(INDEX('Product Backlog'!$G$5:$G$504,$J46)),"",INDEX('Product Backlog'!$G$5:$G$504,$J46)))</f>
        <v/>
      </c>
      <c r="H46" s="48" t="str">
        <f>IF($J46="","",IF(ISBLANK(INDEX('Product Backlog'!$H$5:$H$504,$J46)),"",INDEX('Product Backlog'!$H$5:$H$504,$J46)))</f>
        <v/>
      </c>
      <c r="I46" s="48" t="str">
        <f>IF($J46="","",IF(ISBLANK(INDEX('Product Backlog'!$I$5:$I$504,$J46)),"",INDEX('Product Backlog'!$I$5:$I$504,$J46)))</f>
        <v/>
      </c>
      <c r="J46" t="str">
        <f>IFERROR(MATCH($B$4&amp;"-"&amp;ROWS($A$10:A46),'Product Backlog'!$J$5:$J$504,0),"")</f>
        <v/>
      </c>
    </row>
    <row r="47" spans="1:10" ht="21" customHeight="1" x14ac:dyDescent="0.2">
      <c r="A47" s="46" t="str">
        <f>IF($J47="","",IF(ISBLANK(INDEX('Product Backlog'!$A$5:$A$504,$J47)),"",INDEX('Product Backlog'!$A$5:$A$504,$J47)))</f>
        <v/>
      </c>
      <c r="B47" s="46" t="str">
        <f>IF($J47="","",IF(ISBLANK(INDEX('Product Backlog'!$B$5:$B$504,$J47)),"",INDEX('Product Backlog'!$B$5:$B$504,$J47)))</f>
        <v/>
      </c>
      <c r="C47" s="46" t="str">
        <f>IF($J47="","",IF(ISBLANK(INDEX('Product Backlog'!$C$5:$C$504,$J47)),"",INDEX('Product Backlog'!$C$5:$C$504,$J47)))</f>
        <v/>
      </c>
      <c r="D47" s="46" t="str">
        <f>IF($J47="","",IF(ISBLANK(INDEX('Product Backlog'!$D$5:$D$504,$J47)),"",INDEX('Product Backlog'!$D$5:$D$504,$J47)))</f>
        <v/>
      </c>
      <c r="E47" s="46" t="str">
        <f>IF($J47="","",IF(ISBLANK(INDEX('Product Backlog'!$E$5:$E$504,$J47)),"",INDEX('Product Backlog'!$E$5:$E$504,$J47)))</f>
        <v/>
      </c>
      <c r="F47" s="47" t="str">
        <f>IF($J47="","",IF(ISBLANK(INDEX('Product Backlog'!$F$5:$F$504,$J47)),"",INDEX('Product Backlog'!$F$5:$F$504,$J47)))</f>
        <v/>
      </c>
      <c r="G47" s="47" t="str">
        <f>IF($J47="","",IF(ISBLANK(INDEX('Product Backlog'!$G$5:$G$504,$J47)),"",INDEX('Product Backlog'!$G$5:$G$504,$J47)))</f>
        <v/>
      </c>
      <c r="H47" s="48" t="str">
        <f>IF($J47="","",IF(ISBLANK(INDEX('Product Backlog'!$H$5:$H$504,$J47)),"",INDEX('Product Backlog'!$H$5:$H$504,$J47)))</f>
        <v/>
      </c>
      <c r="I47" s="48" t="str">
        <f>IF($J47="","",IF(ISBLANK(INDEX('Product Backlog'!$I$5:$I$504,$J47)),"",INDEX('Product Backlog'!$I$5:$I$504,$J47)))</f>
        <v/>
      </c>
      <c r="J47" t="str">
        <f>IFERROR(MATCH($B$4&amp;"-"&amp;ROWS($A$10:A47),'Product Backlog'!$J$5:$J$504,0),"")</f>
        <v/>
      </c>
    </row>
    <row r="48" spans="1:10" ht="21" customHeight="1" x14ac:dyDescent="0.2">
      <c r="A48" s="46" t="str">
        <f>IF($J48="","",IF(ISBLANK(INDEX('Product Backlog'!$A$5:$A$504,$J48)),"",INDEX('Product Backlog'!$A$5:$A$504,$J48)))</f>
        <v/>
      </c>
      <c r="B48" s="46" t="str">
        <f>IF($J48="","",IF(ISBLANK(INDEX('Product Backlog'!$B$5:$B$504,$J48)),"",INDEX('Product Backlog'!$B$5:$B$504,$J48)))</f>
        <v/>
      </c>
      <c r="C48" s="46" t="str">
        <f>IF($J48="","",IF(ISBLANK(INDEX('Product Backlog'!$C$5:$C$504,$J48)),"",INDEX('Product Backlog'!$C$5:$C$504,$J48)))</f>
        <v/>
      </c>
      <c r="D48" s="46" t="str">
        <f>IF($J48="","",IF(ISBLANK(INDEX('Product Backlog'!$D$5:$D$504,$J48)),"",INDEX('Product Backlog'!$D$5:$D$504,$J48)))</f>
        <v/>
      </c>
      <c r="E48" s="46" t="str">
        <f>IF($J48="","",IF(ISBLANK(INDEX('Product Backlog'!$E$5:$E$504,$J48)),"",INDEX('Product Backlog'!$E$5:$E$504,$J48)))</f>
        <v/>
      </c>
      <c r="F48" s="47" t="str">
        <f>IF($J48="","",IF(ISBLANK(INDEX('Product Backlog'!$F$5:$F$504,$J48)),"",INDEX('Product Backlog'!$F$5:$F$504,$J48)))</f>
        <v/>
      </c>
      <c r="G48" s="47" t="str">
        <f>IF($J48="","",IF(ISBLANK(INDEX('Product Backlog'!$G$5:$G$504,$J48)),"",INDEX('Product Backlog'!$G$5:$G$504,$J48)))</f>
        <v/>
      </c>
      <c r="H48" s="48" t="str">
        <f>IF($J48="","",IF(ISBLANK(INDEX('Product Backlog'!$H$5:$H$504,$J48)),"",INDEX('Product Backlog'!$H$5:$H$504,$J48)))</f>
        <v/>
      </c>
      <c r="I48" s="48" t="str">
        <f>IF($J48="","",IF(ISBLANK(INDEX('Product Backlog'!$I$5:$I$504,$J48)),"",INDEX('Product Backlog'!$I$5:$I$504,$J48)))</f>
        <v/>
      </c>
      <c r="J48" t="str">
        <f>IFERROR(MATCH($B$4&amp;"-"&amp;ROWS($A$10:A48),'Product Backlog'!$J$5:$J$504,0),"")</f>
        <v/>
      </c>
    </row>
    <row r="49" spans="1:10" ht="21" customHeight="1" x14ac:dyDescent="0.2">
      <c r="A49" s="46" t="str">
        <f>IF($J49="","",IF(ISBLANK(INDEX('Product Backlog'!$A$5:$A$504,$J49)),"",INDEX('Product Backlog'!$A$5:$A$504,$J49)))</f>
        <v/>
      </c>
      <c r="B49" s="46" t="str">
        <f>IF($J49="","",IF(ISBLANK(INDEX('Product Backlog'!$B$5:$B$504,$J49)),"",INDEX('Product Backlog'!$B$5:$B$504,$J49)))</f>
        <v/>
      </c>
      <c r="C49" s="46" t="str">
        <f>IF($J49="","",IF(ISBLANK(INDEX('Product Backlog'!$C$5:$C$504,$J49)),"",INDEX('Product Backlog'!$C$5:$C$504,$J49)))</f>
        <v/>
      </c>
      <c r="D49" s="46" t="str">
        <f>IF($J49="","",IF(ISBLANK(INDEX('Product Backlog'!$D$5:$D$504,$J49)),"",INDEX('Product Backlog'!$D$5:$D$504,$J49)))</f>
        <v/>
      </c>
      <c r="E49" s="46" t="str">
        <f>IF($J49="","",IF(ISBLANK(INDEX('Product Backlog'!$E$5:$E$504,$J49)),"",INDEX('Product Backlog'!$E$5:$E$504,$J49)))</f>
        <v/>
      </c>
      <c r="F49" s="47" t="str">
        <f>IF($J49="","",IF(ISBLANK(INDEX('Product Backlog'!$F$5:$F$504,$J49)),"",INDEX('Product Backlog'!$F$5:$F$504,$J49)))</f>
        <v/>
      </c>
      <c r="G49" s="47" t="str">
        <f>IF($J49="","",IF(ISBLANK(INDEX('Product Backlog'!$G$5:$G$504,$J49)),"",INDEX('Product Backlog'!$G$5:$G$504,$J49)))</f>
        <v/>
      </c>
      <c r="H49" s="48" t="str">
        <f>IF($J49="","",IF(ISBLANK(INDEX('Product Backlog'!$H$5:$H$504,$J49)),"",INDEX('Product Backlog'!$H$5:$H$504,$J49)))</f>
        <v/>
      </c>
      <c r="I49" s="48" t="str">
        <f>IF($J49="","",IF(ISBLANK(INDEX('Product Backlog'!$I$5:$I$504,$J49)),"",INDEX('Product Backlog'!$I$5:$I$504,$J49)))</f>
        <v/>
      </c>
      <c r="J49" t="str">
        <f>IFERROR(MATCH($B$4&amp;"-"&amp;ROWS($A$10:A49),'Product Backlog'!$J$5:$J$504,0),"")</f>
        <v/>
      </c>
    </row>
    <row r="50" spans="1:10" ht="21" customHeight="1" x14ac:dyDescent="0.2">
      <c r="A50" s="46" t="str">
        <f>IF($J50="","",IF(ISBLANK(INDEX('Product Backlog'!$A$5:$A$504,$J50)),"",INDEX('Product Backlog'!$A$5:$A$504,$J50)))</f>
        <v/>
      </c>
      <c r="B50" s="46" t="str">
        <f>IF($J50="","",IF(ISBLANK(INDEX('Product Backlog'!$B$5:$B$504,$J50)),"",INDEX('Product Backlog'!$B$5:$B$504,$J50)))</f>
        <v/>
      </c>
      <c r="C50" s="46" t="str">
        <f>IF($J50="","",IF(ISBLANK(INDEX('Product Backlog'!$C$5:$C$504,$J50)),"",INDEX('Product Backlog'!$C$5:$C$504,$J50)))</f>
        <v/>
      </c>
      <c r="D50" s="46" t="str">
        <f>IF($J50="","",IF(ISBLANK(INDEX('Product Backlog'!$D$5:$D$504,$J50)),"",INDEX('Product Backlog'!$D$5:$D$504,$J50)))</f>
        <v/>
      </c>
      <c r="E50" s="46" t="str">
        <f>IF($J50="","",IF(ISBLANK(INDEX('Product Backlog'!$E$5:$E$504,$J50)),"",INDEX('Product Backlog'!$E$5:$E$504,$J50)))</f>
        <v/>
      </c>
      <c r="F50" s="47" t="str">
        <f>IF($J50="","",IF(ISBLANK(INDEX('Product Backlog'!$F$5:$F$504,$J50)),"",INDEX('Product Backlog'!$F$5:$F$504,$J50)))</f>
        <v/>
      </c>
      <c r="G50" s="47" t="str">
        <f>IF($J50="","",IF(ISBLANK(INDEX('Product Backlog'!$G$5:$G$504,$J50)),"",INDEX('Product Backlog'!$G$5:$G$504,$J50)))</f>
        <v/>
      </c>
      <c r="H50" s="48" t="str">
        <f>IF($J50="","",IF(ISBLANK(INDEX('Product Backlog'!$H$5:$H$504,$J50)),"",INDEX('Product Backlog'!$H$5:$H$504,$J50)))</f>
        <v/>
      </c>
      <c r="I50" s="48" t="str">
        <f>IF($J50="","",IF(ISBLANK(INDEX('Product Backlog'!$I$5:$I$504,$J50)),"",INDEX('Product Backlog'!$I$5:$I$504,$J50)))</f>
        <v/>
      </c>
      <c r="J50" t="str">
        <f>IFERROR(MATCH($B$4&amp;"-"&amp;ROWS($A$10:A50),'Product Backlog'!$J$5:$J$504,0),"")</f>
        <v/>
      </c>
    </row>
    <row r="51" spans="1:10" ht="21" customHeight="1" x14ac:dyDescent="0.2">
      <c r="A51" s="46" t="str">
        <f>IF($J51="","",IF(ISBLANK(INDEX('Product Backlog'!$A$5:$A$504,$J51)),"",INDEX('Product Backlog'!$A$5:$A$504,$J51)))</f>
        <v/>
      </c>
      <c r="B51" s="46" t="str">
        <f>IF($J51="","",IF(ISBLANK(INDEX('Product Backlog'!$B$5:$B$504,$J51)),"",INDEX('Product Backlog'!$B$5:$B$504,$J51)))</f>
        <v/>
      </c>
      <c r="C51" s="46" t="str">
        <f>IF($J51="","",IF(ISBLANK(INDEX('Product Backlog'!$C$5:$C$504,$J51)),"",INDEX('Product Backlog'!$C$5:$C$504,$J51)))</f>
        <v/>
      </c>
      <c r="D51" s="46" t="str">
        <f>IF($J51="","",IF(ISBLANK(INDEX('Product Backlog'!$D$5:$D$504,$J51)),"",INDEX('Product Backlog'!$D$5:$D$504,$J51)))</f>
        <v/>
      </c>
      <c r="E51" s="46" t="str">
        <f>IF($J51="","",IF(ISBLANK(INDEX('Product Backlog'!$E$5:$E$504,$J51)),"",INDEX('Product Backlog'!$E$5:$E$504,$J51)))</f>
        <v/>
      </c>
      <c r="F51" s="47" t="str">
        <f>IF($J51="","",IF(ISBLANK(INDEX('Product Backlog'!$F$5:$F$504,$J51)),"",INDEX('Product Backlog'!$F$5:$F$504,$J51)))</f>
        <v/>
      </c>
      <c r="G51" s="47" t="str">
        <f>IF($J51="","",IF(ISBLANK(INDEX('Product Backlog'!$G$5:$G$504,$J51)),"",INDEX('Product Backlog'!$G$5:$G$504,$J51)))</f>
        <v/>
      </c>
      <c r="H51" s="48" t="str">
        <f>IF($J51="","",IF(ISBLANK(INDEX('Product Backlog'!$H$5:$H$504,$J51)),"",INDEX('Product Backlog'!$H$5:$H$504,$J51)))</f>
        <v/>
      </c>
      <c r="I51" s="48" t="str">
        <f>IF($J51="","",IF(ISBLANK(INDEX('Product Backlog'!$I$5:$I$504,$J51)),"",INDEX('Product Backlog'!$I$5:$I$504,$J51)))</f>
        <v/>
      </c>
      <c r="J51" t="str">
        <f>IFERROR(MATCH($B$4&amp;"-"&amp;ROWS($A$10:A51),'Product Backlog'!$J$5:$J$504,0),"")</f>
        <v/>
      </c>
    </row>
    <row r="52" spans="1:10" ht="21" customHeight="1" x14ac:dyDescent="0.2">
      <c r="A52" s="46" t="str">
        <f>IF($J52="","",IF(ISBLANK(INDEX('Product Backlog'!$A$5:$A$504,$J52)),"",INDEX('Product Backlog'!$A$5:$A$504,$J52)))</f>
        <v/>
      </c>
      <c r="B52" s="46" t="str">
        <f>IF($J52="","",IF(ISBLANK(INDEX('Product Backlog'!$B$5:$B$504,$J52)),"",INDEX('Product Backlog'!$B$5:$B$504,$J52)))</f>
        <v/>
      </c>
      <c r="C52" s="46" t="str">
        <f>IF($J52="","",IF(ISBLANK(INDEX('Product Backlog'!$C$5:$C$504,$J52)),"",INDEX('Product Backlog'!$C$5:$C$504,$J52)))</f>
        <v/>
      </c>
      <c r="D52" s="46" t="str">
        <f>IF($J52="","",IF(ISBLANK(INDEX('Product Backlog'!$D$5:$D$504,$J52)),"",INDEX('Product Backlog'!$D$5:$D$504,$J52)))</f>
        <v/>
      </c>
      <c r="E52" s="46" t="str">
        <f>IF($J52="","",IF(ISBLANK(INDEX('Product Backlog'!$E$5:$E$504,$J52)),"",INDEX('Product Backlog'!$E$5:$E$504,$J52)))</f>
        <v/>
      </c>
      <c r="F52" s="47" t="str">
        <f>IF($J52="","",IF(ISBLANK(INDEX('Product Backlog'!$F$5:$F$504,$J52)),"",INDEX('Product Backlog'!$F$5:$F$504,$J52)))</f>
        <v/>
      </c>
      <c r="G52" s="47" t="str">
        <f>IF($J52="","",IF(ISBLANK(INDEX('Product Backlog'!$G$5:$G$504,$J52)),"",INDEX('Product Backlog'!$G$5:$G$504,$J52)))</f>
        <v/>
      </c>
      <c r="H52" s="48" t="str">
        <f>IF($J52="","",IF(ISBLANK(INDEX('Product Backlog'!$H$5:$H$504,$J52)),"",INDEX('Product Backlog'!$H$5:$H$504,$J52)))</f>
        <v/>
      </c>
      <c r="I52" s="48" t="str">
        <f>IF($J52="","",IF(ISBLANK(INDEX('Product Backlog'!$I$5:$I$504,$J52)),"",INDEX('Product Backlog'!$I$5:$I$504,$J52)))</f>
        <v/>
      </c>
      <c r="J52" t="str">
        <f>IFERROR(MATCH($B$4&amp;"-"&amp;ROWS($A$10:A52),'Product Backlog'!$J$5:$J$504,0),"")</f>
        <v/>
      </c>
    </row>
    <row r="53" spans="1:10" ht="21" customHeight="1" x14ac:dyDescent="0.2">
      <c r="A53" s="46" t="str">
        <f>IF($J53="","",IF(ISBLANK(INDEX('Product Backlog'!$A$5:$A$504,$J53)),"",INDEX('Product Backlog'!$A$5:$A$504,$J53)))</f>
        <v/>
      </c>
      <c r="B53" s="46" t="str">
        <f>IF($J53="","",IF(ISBLANK(INDEX('Product Backlog'!$B$5:$B$504,$J53)),"",INDEX('Product Backlog'!$B$5:$B$504,$J53)))</f>
        <v/>
      </c>
      <c r="C53" s="46" t="str">
        <f>IF($J53="","",IF(ISBLANK(INDEX('Product Backlog'!$C$5:$C$504,$J53)),"",INDEX('Product Backlog'!$C$5:$C$504,$J53)))</f>
        <v/>
      </c>
      <c r="D53" s="46" t="str">
        <f>IF($J53="","",IF(ISBLANK(INDEX('Product Backlog'!$D$5:$D$504,$J53)),"",INDEX('Product Backlog'!$D$5:$D$504,$J53)))</f>
        <v/>
      </c>
      <c r="E53" s="46" t="str">
        <f>IF($J53="","",IF(ISBLANK(INDEX('Product Backlog'!$E$5:$E$504,$J53)),"",INDEX('Product Backlog'!$E$5:$E$504,$J53)))</f>
        <v/>
      </c>
      <c r="F53" s="47" t="str">
        <f>IF($J53="","",IF(ISBLANK(INDEX('Product Backlog'!$F$5:$F$504,$J53)),"",INDEX('Product Backlog'!$F$5:$F$504,$J53)))</f>
        <v/>
      </c>
      <c r="G53" s="47" t="str">
        <f>IF($J53="","",IF(ISBLANK(INDEX('Product Backlog'!$G$5:$G$504,$J53)),"",INDEX('Product Backlog'!$G$5:$G$504,$J53)))</f>
        <v/>
      </c>
      <c r="H53" s="48" t="str">
        <f>IF($J53="","",IF(ISBLANK(INDEX('Product Backlog'!$H$5:$H$504,$J53)),"",INDEX('Product Backlog'!$H$5:$H$504,$J53)))</f>
        <v/>
      </c>
      <c r="I53" s="48" t="str">
        <f>IF($J53="","",IF(ISBLANK(INDEX('Product Backlog'!$I$5:$I$504,$J53)),"",INDEX('Product Backlog'!$I$5:$I$504,$J53)))</f>
        <v/>
      </c>
      <c r="J53" t="str">
        <f>IFERROR(MATCH($B$4&amp;"-"&amp;ROWS($A$10:A53),'Product Backlog'!$J$5:$J$504,0),"")</f>
        <v/>
      </c>
    </row>
    <row r="54" spans="1:10" ht="21" customHeight="1" x14ac:dyDescent="0.2">
      <c r="A54" s="46" t="str">
        <f>IF($J54="","",IF(ISBLANK(INDEX('Product Backlog'!$A$5:$A$504,$J54)),"",INDEX('Product Backlog'!$A$5:$A$504,$J54)))</f>
        <v/>
      </c>
      <c r="B54" s="46" t="str">
        <f>IF($J54="","",IF(ISBLANK(INDEX('Product Backlog'!$B$5:$B$504,$J54)),"",INDEX('Product Backlog'!$B$5:$B$504,$J54)))</f>
        <v/>
      </c>
      <c r="C54" s="46" t="str">
        <f>IF($J54="","",IF(ISBLANK(INDEX('Product Backlog'!$C$5:$C$504,$J54)),"",INDEX('Product Backlog'!$C$5:$C$504,$J54)))</f>
        <v/>
      </c>
      <c r="D54" s="46" t="str">
        <f>IF($J54="","",IF(ISBLANK(INDEX('Product Backlog'!$D$5:$D$504,$J54)),"",INDEX('Product Backlog'!$D$5:$D$504,$J54)))</f>
        <v/>
      </c>
      <c r="E54" s="46" t="str">
        <f>IF($J54="","",IF(ISBLANK(INDEX('Product Backlog'!$E$5:$E$504,$J54)),"",INDEX('Product Backlog'!$E$5:$E$504,$J54)))</f>
        <v/>
      </c>
      <c r="F54" s="47" t="str">
        <f>IF($J54="","",IF(ISBLANK(INDEX('Product Backlog'!$F$5:$F$504,$J54)),"",INDEX('Product Backlog'!$F$5:$F$504,$J54)))</f>
        <v/>
      </c>
      <c r="G54" s="47" t="str">
        <f>IF($J54="","",IF(ISBLANK(INDEX('Product Backlog'!$G$5:$G$504,$J54)),"",INDEX('Product Backlog'!$G$5:$G$504,$J54)))</f>
        <v/>
      </c>
      <c r="H54" s="48" t="str">
        <f>IF($J54="","",IF(ISBLANK(INDEX('Product Backlog'!$H$5:$H$504,$J54)),"",INDEX('Product Backlog'!$H$5:$H$504,$J54)))</f>
        <v/>
      </c>
      <c r="I54" s="48" t="str">
        <f>IF($J54="","",IF(ISBLANK(INDEX('Product Backlog'!$I$5:$I$504,$J54)),"",INDEX('Product Backlog'!$I$5:$I$504,$J54)))</f>
        <v/>
      </c>
      <c r="J54" t="str">
        <f>IFERROR(MATCH($B$4&amp;"-"&amp;ROWS($A$10:A54),'Product Backlog'!$J$5:$J$504,0),"")</f>
        <v/>
      </c>
    </row>
    <row r="55" spans="1:10" ht="21" customHeight="1" x14ac:dyDescent="0.2">
      <c r="A55" s="46" t="str">
        <f>IF($J55="","",IF(ISBLANK(INDEX('Product Backlog'!$A$5:$A$504,$J55)),"",INDEX('Product Backlog'!$A$5:$A$504,$J55)))</f>
        <v/>
      </c>
      <c r="B55" s="46" t="str">
        <f>IF($J55="","",IF(ISBLANK(INDEX('Product Backlog'!$B$5:$B$504,$J55)),"",INDEX('Product Backlog'!$B$5:$B$504,$J55)))</f>
        <v/>
      </c>
      <c r="C55" s="46" t="str">
        <f>IF($J55="","",IF(ISBLANK(INDEX('Product Backlog'!$C$5:$C$504,$J55)),"",INDEX('Product Backlog'!$C$5:$C$504,$J55)))</f>
        <v/>
      </c>
      <c r="D55" s="46" t="str">
        <f>IF($J55="","",IF(ISBLANK(INDEX('Product Backlog'!$D$5:$D$504,$J55)),"",INDEX('Product Backlog'!$D$5:$D$504,$J55)))</f>
        <v/>
      </c>
      <c r="E55" s="46" t="str">
        <f>IF($J55="","",IF(ISBLANK(INDEX('Product Backlog'!$E$5:$E$504,$J55)),"",INDEX('Product Backlog'!$E$5:$E$504,$J55)))</f>
        <v/>
      </c>
      <c r="F55" s="47" t="str">
        <f>IF($J55="","",IF(ISBLANK(INDEX('Product Backlog'!$F$5:$F$504,$J55)),"",INDEX('Product Backlog'!$F$5:$F$504,$J55)))</f>
        <v/>
      </c>
      <c r="G55" s="47" t="str">
        <f>IF($J55="","",IF(ISBLANK(INDEX('Product Backlog'!$G$5:$G$504,$J55)),"",INDEX('Product Backlog'!$G$5:$G$504,$J55)))</f>
        <v/>
      </c>
      <c r="H55" s="48" t="str">
        <f>IF($J55="","",IF(ISBLANK(INDEX('Product Backlog'!$H$5:$H$504,$J55)),"",INDEX('Product Backlog'!$H$5:$H$504,$J55)))</f>
        <v/>
      </c>
      <c r="I55" s="48" t="str">
        <f>IF($J55="","",IF(ISBLANK(INDEX('Product Backlog'!$I$5:$I$504,$J55)),"",INDEX('Product Backlog'!$I$5:$I$504,$J55)))</f>
        <v/>
      </c>
      <c r="J55" t="str">
        <f>IFERROR(MATCH($B$4&amp;"-"&amp;ROWS($A$10:A55),'Product Backlog'!$J$5:$J$504,0),"")</f>
        <v/>
      </c>
    </row>
    <row r="56" spans="1:10" ht="21" customHeight="1" x14ac:dyDescent="0.2">
      <c r="A56" s="46" t="str">
        <f>IF($J56="","",IF(ISBLANK(INDEX('Product Backlog'!$A$5:$A$504,$J56)),"",INDEX('Product Backlog'!$A$5:$A$504,$J56)))</f>
        <v/>
      </c>
      <c r="B56" s="46" t="str">
        <f>IF($J56="","",IF(ISBLANK(INDEX('Product Backlog'!$B$5:$B$504,$J56)),"",INDEX('Product Backlog'!$B$5:$B$504,$J56)))</f>
        <v/>
      </c>
      <c r="C56" s="46" t="str">
        <f>IF($J56="","",IF(ISBLANK(INDEX('Product Backlog'!$C$5:$C$504,$J56)),"",INDEX('Product Backlog'!$C$5:$C$504,$J56)))</f>
        <v/>
      </c>
      <c r="D56" s="46" t="str">
        <f>IF($J56="","",IF(ISBLANK(INDEX('Product Backlog'!$D$5:$D$504,$J56)),"",INDEX('Product Backlog'!$D$5:$D$504,$J56)))</f>
        <v/>
      </c>
      <c r="E56" s="46" t="str">
        <f>IF($J56="","",IF(ISBLANK(INDEX('Product Backlog'!$E$5:$E$504,$J56)),"",INDEX('Product Backlog'!$E$5:$E$504,$J56)))</f>
        <v/>
      </c>
      <c r="F56" s="47" t="str">
        <f>IF($J56="","",IF(ISBLANK(INDEX('Product Backlog'!$F$5:$F$504,$J56)),"",INDEX('Product Backlog'!$F$5:$F$504,$J56)))</f>
        <v/>
      </c>
      <c r="G56" s="47" t="str">
        <f>IF($J56="","",IF(ISBLANK(INDEX('Product Backlog'!$G$5:$G$504,$J56)),"",INDEX('Product Backlog'!$G$5:$G$504,$J56)))</f>
        <v/>
      </c>
      <c r="H56" s="48" t="str">
        <f>IF($J56="","",IF(ISBLANK(INDEX('Product Backlog'!$H$5:$H$504,$J56)),"",INDEX('Product Backlog'!$H$5:$H$504,$J56)))</f>
        <v/>
      </c>
      <c r="I56" s="48" t="str">
        <f>IF($J56="","",IF(ISBLANK(INDEX('Product Backlog'!$I$5:$I$504,$J56)),"",INDEX('Product Backlog'!$I$5:$I$504,$J56)))</f>
        <v/>
      </c>
      <c r="J56" t="str">
        <f>IFERROR(MATCH($B$4&amp;"-"&amp;ROWS($A$10:A56),'Product Backlog'!$J$5:$J$504,0),"")</f>
        <v/>
      </c>
    </row>
    <row r="57" spans="1:10" ht="21" customHeight="1" x14ac:dyDescent="0.2">
      <c r="A57" s="46" t="str">
        <f>IF($J57="","",IF(ISBLANK(INDEX('Product Backlog'!$A$5:$A$504,$J57)),"",INDEX('Product Backlog'!$A$5:$A$504,$J57)))</f>
        <v/>
      </c>
      <c r="B57" s="46" t="str">
        <f>IF($J57="","",IF(ISBLANK(INDEX('Product Backlog'!$B$5:$B$504,$J57)),"",INDEX('Product Backlog'!$B$5:$B$504,$J57)))</f>
        <v/>
      </c>
      <c r="C57" s="46" t="str">
        <f>IF($J57="","",IF(ISBLANK(INDEX('Product Backlog'!$C$5:$C$504,$J57)),"",INDEX('Product Backlog'!$C$5:$C$504,$J57)))</f>
        <v/>
      </c>
      <c r="D57" s="46" t="str">
        <f>IF($J57="","",IF(ISBLANK(INDEX('Product Backlog'!$D$5:$D$504,$J57)),"",INDEX('Product Backlog'!$D$5:$D$504,$J57)))</f>
        <v/>
      </c>
      <c r="E57" s="46" t="str">
        <f>IF($J57="","",IF(ISBLANK(INDEX('Product Backlog'!$E$5:$E$504,$J57)),"",INDEX('Product Backlog'!$E$5:$E$504,$J57)))</f>
        <v/>
      </c>
      <c r="F57" s="47" t="str">
        <f>IF($J57="","",IF(ISBLANK(INDEX('Product Backlog'!$F$5:$F$504,$J57)),"",INDEX('Product Backlog'!$F$5:$F$504,$J57)))</f>
        <v/>
      </c>
      <c r="G57" s="47" t="str">
        <f>IF($J57="","",IF(ISBLANK(INDEX('Product Backlog'!$G$5:$G$504,$J57)),"",INDEX('Product Backlog'!$G$5:$G$504,$J57)))</f>
        <v/>
      </c>
      <c r="H57" s="48" t="str">
        <f>IF($J57="","",IF(ISBLANK(INDEX('Product Backlog'!$H$5:$H$504,$J57)),"",INDEX('Product Backlog'!$H$5:$H$504,$J57)))</f>
        <v/>
      </c>
      <c r="I57" s="48" t="str">
        <f>IF($J57="","",IF(ISBLANK(INDEX('Product Backlog'!$I$5:$I$504,$J57)),"",INDEX('Product Backlog'!$I$5:$I$504,$J57)))</f>
        <v/>
      </c>
      <c r="J57" t="str">
        <f>IFERROR(MATCH($B$4&amp;"-"&amp;ROWS($A$10:A57),'Product Backlog'!$J$5:$J$504,0),"")</f>
        <v/>
      </c>
    </row>
    <row r="58" spans="1:10" ht="21" customHeight="1" x14ac:dyDescent="0.2">
      <c r="A58" s="46" t="str">
        <f>IF($J58="","",IF(ISBLANK(INDEX('Product Backlog'!$A$5:$A$504,$J58)),"",INDEX('Product Backlog'!$A$5:$A$504,$J58)))</f>
        <v/>
      </c>
      <c r="B58" s="46" t="str">
        <f>IF($J58="","",IF(ISBLANK(INDEX('Product Backlog'!$B$5:$B$504,$J58)),"",INDEX('Product Backlog'!$B$5:$B$504,$J58)))</f>
        <v/>
      </c>
      <c r="C58" s="46" t="str">
        <f>IF($J58="","",IF(ISBLANK(INDEX('Product Backlog'!$C$5:$C$504,$J58)),"",INDEX('Product Backlog'!$C$5:$C$504,$J58)))</f>
        <v/>
      </c>
      <c r="D58" s="46" t="str">
        <f>IF($J58="","",IF(ISBLANK(INDEX('Product Backlog'!$D$5:$D$504,$J58)),"",INDEX('Product Backlog'!$D$5:$D$504,$J58)))</f>
        <v/>
      </c>
      <c r="E58" s="46" t="str">
        <f>IF($J58="","",IF(ISBLANK(INDEX('Product Backlog'!$E$5:$E$504,$J58)),"",INDEX('Product Backlog'!$E$5:$E$504,$J58)))</f>
        <v/>
      </c>
      <c r="F58" s="47" t="str">
        <f>IF($J58="","",IF(ISBLANK(INDEX('Product Backlog'!$F$5:$F$504,$J58)),"",INDEX('Product Backlog'!$F$5:$F$504,$J58)))</f>
        <v/>
      </c>
      <c r="G58" s="47" t="str">
        <f>IF($J58="","",IF(ISBLANK(INDEX('Product Backlog'!$G$5:$G$504,$J58)),"",INDEX('Product Backlog'!$G$5:$G$504,$J58)))</f>
        <v/>
      </c>
      <c r="H58" s="48" t="str">
        <f>IF($J58="","",IF(ISBLANK(INDEX('Product Backlog'!$H$5:$H$504,$J58)),"",INDEX('Product Backlog'!$H$5:$H$504,$J58)))</f>
        <v/>
      </c>
      <c r="I58" s="48" t="str">
        <f>IF($J58="","",IF(ISBLANK(INDEX('Product Backlog'!$I$5:$I$504,$J58)),"",INDEX('Product Backlog'!$I$5:$I$504,$J58)))</f>
        <v/>
      </c>
      <c r="J58" t="str">
        <f>IFERROR(MATCH($B$4&amp;"-"&amp;ROWS($A$10:A58),'Product Backlog'!$J$5:$J$504,0),"")</f>
        <v/>
      </c>
    </row>
    <row r="59" spans="1:10" ht="21" customHeight="1" x14ac:dyDescent="0.2">
      <c r="A59" s="46" t="str">
        <f>IF($J59="","",IF(ISBLANK(INDEX('Product Backlog'!$A$5:$A$504,$J59)),"",INDEX('Product Backlog'!$A$5:$A$504,$J59)))</f>
        <v/>
      </c>
      <c r="B59" s="46" t="str">
        <f>IF($J59="","",IF(ISBLANK(INDEX('Product Backlog'!$B$5:$B$504,$J59)),"",INDEX('Product Backlog'!$B$5:$B$504,$J59)))</f>
        <v/>
      </c>
      <c r="C59" s="46" t="str">
        <f>IF($J59="","",IF(ISBLANK(INDEX('Product Backlog'!$C$5:$C$504,$J59)),"",INDEX('Product Backlog'!$C$5:$C$504,$J59)))</f>
        <v/>
      </c>
      <c r="D59" s="46" t="str">
        <f>IF($J59="","",IF(ISBLANK(INDEX('Product Backlog'!$D$5:$D$504,$J59)),"",INDEX('Product Backlog'!$D$5:$D$504,$J59)))</f>
        <v/>
      </c>
      <c r="E59" s="46" t="str">
        <f>IF($J59="","",IF(ISBLANK(INDEX('Product Backlog'!$E$5:$E$504,$J59)),"",INDEX('Product Backlog'!$E$5:$E$504,$J59)))</f>
        <v/>
      </c>
      <c r="F59" s="47" t="str">
        <f>IF($J59="","",IF(ISBLANK(INDEX('Product Backlog'!$F$5:$F$504,$J59)),"",INDEX('Product Backlog'!$F$5:$F$504,$J59)))</f>
        <v/>
      </c>
      <c r="G59" s="47" t="str">
        <f>IF($J59="","",IF(ISBLANK(INDEX('Product Backlog'!$G$5:$G$504,$J59)),"",INDEX('Product Backlog'!$G$5:$G$504,$J59)))</f>
        <v/>
      </c>
      <c r="H59" s="48" t="str">
        <f>IF($J59="","",IF(ISBLANK(INDEX('Product Backlog'!$H$5:$H$504,$J59)),"",INDEX('Product Backlog'!$H$5:$H$504,$J59)))</f>
        <v/>
      </c>
      <c r="I59" s="48" t="str">
        <f>IF($J59="","",IF(ISBLANK(INDEX('Product Backlog'!$I$5:$I$504,$J59)),"",INDEX('Product Backlog'!$I$5:$I$504,$J59)))</f>
        <v/>
      </c>
      <c r="J59" t="str">
        <f>IFERROR(MATCH($B$4&amp;"-"&amp;ROWS($A$10:A59),'Product Backlog'!$J$5:$J$504,0),"")</f>
        <v/>
      </c>
    </row>
    <row r="60" spans="1:10" ht="21" customHeight="1" x14ac:dyDescent="0.2">
      <c r="A60" s="46" t="str">
        <f>IF($J60="","",IF(ISBLANK(INDEX('Product Backlog'!$A$5:$A$504,$J60)),"",INDEX('Product Backlog'!$A$5:$A$504,$J60)))</f>
        <v/>
      </c>
      <c r="B60" s="46" t="str">
        <f>IF($J60="","",IF(ISBLANK(INDEX('Product Backlog'!$B$5:$B$504,$J60)),"",INDEX('Product Backlog'!$B$5:$B$504,$J60)))</f>
        <v/>
      </c>
      <c r="C60" s="46" t="str">
        <f>IF($J60="","",IF(ISBLANK(INDEX('Product Backlog'!$C$5:$C$504,$J60)),"",INDEX('Product Backlog'!$C$5:$C$504,$J60)))</f>
        <v/>
      </c>
      <c r="D60" s="46" t="str">
        <f>IF($J60="","",IF(ISBLANK(INDEX('Product Backlog'!$D$5:$D$504,$J60)),"",INDEX('Product Backlog'!$D$5:$D$504,$J60)))</f>
        <v/>
      </c>
      <c r="E60" s="46" t="str">
        <f>IF($J60="","",IF(ISBLANK(INDEX('Product Backlog'!$E$5:$E$504,$J60)),"",INDEX('Product Backlog'!$E$5:$E$504,$J60)))</f>
        <v/>
      </c>
      <c r="F60" s="47" t="str">
        <f>IF($J60="","",IF(ISBLANK(INDEX('Product Backlog'!$F$5:$F$504,$J60)),"",INDEX('Product Backlog'!$F$5:$F$504,$J60)))</f>
        <v/>
      </c>
      <c r="G60" s="47" t="str">
        <f>IF($J60="","",IF(ISBLANK(INDEX('Product Backlog'!$G$5:$G$504,$J60)),"",INDEX('Product Backlog'!$G$5:$G$504,$J60)))</f>
        <v/>
      </c>
      <c r="H60" s="48" t="str">
        <f>IF($J60="","",IF(ISBLANK(INDEX('Product Backlog'!$H$5:$H$504,$J60)),"",INDEX('Product Backlog'!$H$5:$H$504,$J60)))</f>
        <v/>
      </c>
      <c r="I60" s="48" t="str">
        <f>IF($J60="","",IF(ISBLANK(INDEX('Product Backlog'!$I$5:$I$504,$J60)),"",INDEX('Product Backlog'!$I$5:$I$504,$J60)))</f>
        <v/>
      </c>
      <c r="J60" t="str">
        <f>IFERROR(MATCH($B$4&amp;"-"&amp;ROWS($A$10:A60),'Product Backlog'!$J$5:$J$504,0),"")</f>
        <v/>
      </c>
    </row>
    <row r="61" spans="1:10" ht="21" customHeight="1" x14ac:dyDescent="0.2">
      <c r="A61" s="46" t="str">
        <f>IF($J61="","",IF(ISBLANK(INDEX('Product Backlog'!$A$5:$A$504,$J61)),"",INDEX('Product Backlog'!$A$5:$A$504,$J61)))</f>
        <v/>
      </c>
      <c r="B61" s="46" t="str">
        <f>IF($J61="","",IF(ISBLANK(INDEX('Product Backlog'!$B$5:$B$504,$J61)),"",INDEX('Product Backlog'!$B$5:$B$504,$J61)))</f>
        <v/>
      </c>
      <c r="C61" s="46" t="str">
        <f>IF($J61="","",IF(ISBLANK(INDEX('Product Backlog'!$C$5:$C$504,$J61)),"",INDEX('Product Backlog'!$C$5:$C$504,$J61)))</f>
        <v/>
      </c>
      <c r="D61" s="46" t="str">
        <f>IF($J61="","",IF(ISBLANK(INDEX('Product Backlog'!$D$5:$D$504,$J61)),"",INDEX('Product Backlog'!$D$5:$D$504,$J61)))</f>
        <v/>
      </c>
      <c r="E61" s="46" t="str">
        <f>IF($J61="","",IF(ISBLANK(INDEX('Product Backlog'!$E$5:$E$504,$J61)),"",INDEX('Product Backlog'!$E$5:$E$504,$J61)))</f>
        <v/>
      </c>
      <c r="F61" s="47" t="str">
        <f>IF($J61="","",IF(ISBLANK(INDEX('Product Backlog'!$F$5:$F$504,$J61)),"",INDEX('Product Backlog'!$F$5:$F$504,$J61)))</f>
        <v/>
      </c>
      <c r="G61" s="47" t="str">
        <f>IF($J61="","",IF(ISBLANK(INDEX('Product Backlog'!$G$5:$G$504,$J61)),"",INDEX('Product Backlog'!$G$5:$G$504,$J61)))</f>
        <v/>
      </c>
      <c r="H61" s="48" t="str">
        <f>IF($J61="","",IF(ISBLANK(INDEX('Product Backlog'!$H$5:$H$504,$J61)),"",INDEX('Product Backlog'!$H$5:$H$504,$J61)))</f>
        <v/>
      </c>
      <c r="I61" s="48" t="str">
        <f>IF($J61="","",IF(ISBLANK(INDEX('Product Backlog'!$I$5:$I$504,$J61)),"",INDEX('Product Backlog'!$I$5:$I$504,$J61)))</f>
        <v/>
      </c>
      <c r="J61" t="str">
        <f>IFERROR(MATCH($B$4&amp;"-"&amp;ROWS($A$10:A61),'Product Backlog'!$J$5:$J$504,0),"")</f>
        <v/>
      </c>
    </row>
    <row r="62" spans="1:10" ht="21" customHeight="1" x14ac:dyDescent="0.2">
      <c r="A62" s="46" t="str">
        <f>IF($J62="","",IF(ISBLANK(INDEX('Product Backlog'!$A$5:$A$504,$J62)),"",INDEX('Product Backlog'!$A$5:$A$504,$J62)))</f>
        <v/>
      </c>
      <c r="B62" s="46" t="str">
        <f>IF($J62="","",IF(ISBLANK(INDEX('Product Backlog'!$B$5:$B$504,$J62)),"",INDEX('Product Backlog'!$B$5:$B$504,$J62)))</f>
        <v/>
      </c>
      <c r="C62" s="46" t="str">
        <f>IF($J62="","",IF(ISBLANK(INDEX('Product Backlog'!$C$5:$C$504,$J62)),"",INDEX('Product Backlog'!$C$5:$C$504,$J62)))</f>
        <v/>
      </c>
      <c r="D62" s="46" t="str">
        <f>IF($J62="","",IF(ISBLANK(INDEX('Product Backlog'!$D$5:$D$504,$J62)),"",INDEX('Product Backlog'!$D$5:$D$504,$J62)))</f>
        <v/>
      </c>
      <c r="E62" s="46" t="str">
        <f>IF($J62="","",IF(ISBLANK(INDEX('Product Backlog'!$E$5:$E$504,$J62)),"",INDEX('Product Backlog'!$E$5:$E$504,$J62)))</f>
        <v/>
      </c>
      <c r="F62" s="47" t="str">
        <f>IF($J62="","",IF(ISBLANK(INDEX('Product Backlog'!$F$5:$F$504,$J62)),"",INDEX('Product Backlog'!$F$5:$F$504,$J62)))</f>
        <v/>
      </c>
      <c r="G62" s="47" t="str">
        <f>IF($J62="","",IF(ISBLANK(INDEX('Product Backlog'!$G$5:$G$504,$J62)),"",INDEX('Product Backlog'!$G$5:$G$504,$J62)))</f>
        <v/>
      </c>
      <c r="H62" s="48" t="str">
        <f>IF($J62="","",IF(ISBLANK(INDEX('Product Backlog'!$H$5:$H$504,$J62)),"",INDEX('Product Backlog'!$H$5:$H$504,$J62)))</f>
        <v/>
      </c>
      <c r="I62" s="48" t="str">
        <f>IF($J62="","",IF(ISBLANK(INDEX('Product Backlog'!$I$5:$I$504,$J62)),"",INDEX('Product Backlog'!$I$5:$I$504,$J62)))</f>
        <v/>
      </c>
      <c r="J62" t="str">
        <f>IFERROR(MATCH($B$4&amp;"-"&amp;ROWS($A$10:A62),'Product Backlog'!$J$5:$J$504,0),"")</f>
        <v/>
      </c>
    </row>
    <row r="63" spans="1:10" ht="21" customHeight="1" x14ac:dyDescent="0.2">
      <c r="A63" s="46" t="str">
        <f>IF($J63="","",IF(ISBLANK(INDEX('Product Backlog'!$A$5:$A$504,$J63)),"",INDEX('Product Backlog'!$A$5:$A$504,$J63)))</f>
        <v/>
      </c>
      <c r="B63" s="46" t="str">
        <f>IF($J63="","",IF(ISBLANK(INDEX('Product Backlog'!$B$5:$B$504,$J63)),"",INDEX('Product Backlog'!$B$5:$B$504,$J63)))</f>
        <v/>
      </c>
      <c r="C63" s="46" t="str">
        <f>IF($J63="","",IF(ISBLANK(INDEX('Product Backlog'!$C$5:$C$504,$J63)),"",INDEX('Product Backlog'!$C$5:$C$504,$J63)))</f>
        <v/>
      </c>
      <c r="D63" s="46" t="str">
        <f>IF($J63="","",IF(ISBLANK(INDEX('Product Backlog'!$D$5:$D$504,$J63)),"",INDEX('Product Backlog'!$D$5:$D$504,$J63)))</f>
        <v/>
      </c>
      <c r="E63" s="46" t="str">
        <f>IF($J63="","",IF(ISBLANK(INDEX('Product Backlog'!$E$5:$E$504,$J63)),"",INDEX('Product Backlog'!$E$5:$E$504,$J63)))</f>
        <v/>
      </c>
      <c r="F63" s="47" t="str">
        <f>IF($J63="","",IF(ISBLANK(INDEX('Product Backlog'!$F$5:$F$504,$J63)),"",INDEX('Product Backlog'!$F$5:$F$504,$J63)))</f>
        <v/>
      </c>
      <c r="G63" s="47" t="str">
        <f>IF($J63="","",IF(ISBLANK(INDEX('Product Backlog'!$G$5:$G$504,$J63)),"",INDEX('Product Backlog'!$G$5:$G$504,$J63)))</f>
        <v/>
      </c>
      <c r="H63" s="48" t="str">
        <f>IF($J63="","",IF(ISBLANK(INDEX('Product Backlog'!$H$5:$H$504,$J63)),"",INDEX('Product Backlog'!$H$5:$H$504,$J63)))</f>
        <v/>
      </c>
      <c r="I63" s="48" t="str">
        <f>IF($J63="","",IF(ISBLANK(INDEX('Product Backlog'!$I$5:$I$504,$J63)),"",INDEX('Product Backlog'!$I$5:$I$504,$J63)))</f>
        <v/>
      </c>
      <c r="J63" t="str">
        <f>IFERROR(MATCH($B$4&amp;"-"&amp;ROWS($A$10:A63),'Product Backlog'!$J$5:$J$504,0),"")</f>
        <v/>
      </c>
    </row>
    <row r="64" spans="1:10" ht="21" customHeight="1" x14ac:dyDescent="0.2">
      <c r="A64" s="46" t="str">
        <f>IF($J64="","",IF(ISBLANK(INDEX('Product Backlog'!$A$5:$A$504,$J64)),"",INDEX('Product Backlog'!$A$5:$A$504,$J64)))</f>
        <v/>
      </c>
      <c r="B64" s="46" t="str">
        <f>IF($J64="","",IF(ISBLANK(INDEX('Product Backlog'!$B$5:$B$504,$J64)),"",INDEX('Product Backlog'!$B$5:$B$504,$J64)))</f>
        <v/>
      </c>
      <c r="C64" s="46" t="str">
        <f>IF($J64="","",IF(ISBLANK(INDEX('Product Backlog'!$C$5:$C$504,$J64)),"",INDEX('Product Backlog'!$C$5:$C$504,$J64)))</f>
        <v/>
      </c>
      <c r="D64" s="46" t="str">
        <f>IF($J64="","",IF(ISBLANK(INDEX('Product Backlog'!$D$5:$D$504,$J64)),"",INDEX('Product Backlog'!$D$5:$D$504,$J64)))</f>
        <v/>
      </c>
      <c r="E64" s="46" t="str">
        <f>IF($J64="","",IF(ISBLANK(INDEX('Product Backlog'!$E$5:$E$504,$J64)),"",INDEX('Product Backlog'!$E$5:$E$504,$J64)))</f>
        <v/>
      </c>
      <c r="F64" s="47" t="str">
        <f>IF($J64="","",IF(ISBLANK(INDEX('Product Backlog'!$F$5:$F$504,$J64)),"",INDEX('Product Backlog'!$F$5:$F$504,$J64)))</f>
        <v/>
      </c>
      <c r="G64" s="47" t="str">
        <f>IF($J64="","",IF(ISBLANK(INDEX('Product Backlog'!$G$5:$G$504,$J64)),"",INDEX('Product Backlog'!$G$5:$G$504,$J64)))</f>
        <v/>
      </c>
      <c r="H64" s="48" t="str">
        <f>IF($J64="","",IF(ISBLANK(INDEX('Product Backlog'!$H$5:$H$504,$J64)),"",INDEX('Product Backlog'!$H$5:$H$504,$J64)))</f>
        <v/>
      </c>
      <c r="I64" s="48" t="str">
        <f>IF($J64="","",IF(ISBLANK(INDEX('Product Backlog'!$I$5:$I$504,$J64)),"",INDEX('Product Backlog'!$I$5:$I$504,$J64)))</f>
        <v/>
      </c>
      <c r="J64" t="str">
        <f>IFERROR(MATCH($B$4&amp;"-"&amp;ROWS($A$10:A64),'Product Backlog'!$J$5:$J$504,0),"")</f>
        <v/>
      </c>
    </row>
    <row r="65" spans="1:10" ht="21" customHeight="1" x14ac:dyDescent="0.2">
      <c r="A65" s="46" t="str">
        <f>IF($J65="","",IF(ISBLANK(INDEX('Product Backlog'!$A$5:$A$504,$J65)),"",INDEX('Product Backlog'!$A$5:$A$504,$J65)))</f>
        <v/>
      </c>
      <c r="B65" s="46" t="str">
        <f>IF($J65="","",IF(ISBLANK(INDEX('Product Backlog'!$B$5:$B$504,$J65)),"",INDEX('Product Backlog'!$B$5:$B$504,$J65)))</f>
        <v/>
      </c>
      <c r="C65" s="46" t="str">
        <f>IF($J65="","",IF(ISBLANK(INDEX('Product Backlog'!$C$5:$C$504,$J65)),"",INDEX('Product Backlog'!$C$5:$C$504,$J65)))</f>
        <v/>
      </c>
      <c r="D65" s="46" t="str">
        <f>IF($J65="","",IF(ISBLANK(INDEX('Product Backlog'!$D$5:$D$504,$J65)),"",INDEX('Product Backlog'!$D$5:$D$504,$J65)))</f>
        <v/>
      </c>
      <c r="E65" s="46" t="str">
        <f>IF($J65="","",IF(ISBLANK(INDEX('Product Backlog'!$E$5:$E$504,$J65)),"",INDEX('Product Backlog'!$E$5:$E$504,$J65)))</f>
        <v/>
      </c>
      <c r="F65" s="47" t="str">
        <f>IF($J65="","",IF(ISBLANK(INDEX('Product Backlog'!$F$5:$F$504,$J65)),"",INDEX('Product Backlog'!$F$5:$F$504,$J65)))</f>
        <v/>
      </c>
      <c r="G65" s="47" t="str">
        <f>IF($J65="","",IF(ISBLANK(INDEX('Product Backlog'!$G$5:$G$504,$J65)),"",INDEX('Product Backlog'!$G$5:$G$504,$J65)))</f>
        <v/>
      </c>
      <c r="H65" s="48" t="str">
        <f>IF($J65="","",IF(ISBLANK(INDEX('Product Backlog'!$H$5:$H$504,$J65)),"",INDEX('Product Backlog'!$H$5:$H$504,$J65)))</f>
        <v/>
      </c>
      <c r="I65" s="48" t="str">
        <f>IF($J65="","",IF(ISBLANK(INDEX('Product Backlog'!$I$5:$I$504,$J65)),"",INDEX('Product Backlog'!$I$5:$I$504,$J65)))</f>
        <v/>
      </c>
      <c r="J65" t="str">
        <f>IFERROR(MATCH($B$4&amp;"-"&amp;ROWS($A$10:A65),'Product Backlog'!$J$5:$J$504,0),"")</f>
        <v/>
      </c>
    </row>
    <row r="66" spans="1:10" ht="21" customHeight="1" x14ac:dyDescent="0.2">
      <c r="A66" s="46" t="str">
        <f>IF($J66="","",IF(ISBLANK(INDEX('Product Backlog'!$A$5:$A$504,$J66)),"",INDEX('Product Backlog'!$A$5:$A$504,$J66)))</f>
        <v/>
      </c>
      <c r="B66" s="46" t="str">
        <f>IF($J66="","",IF(ISBLANK(INDEX('Product Backlog'!$B$5:$B$504,$J66)),"",INDEX('Product Backlog'!$B$5:$B$504,$J66)))</f>
        <v/>
      </c>
      <c r="C66" s="46" t="str">
        <f>IF($J66="","",IF(ISBLANK(INDEX('Product Backlog'!$C$5:$C$504,$J66)),"",INDEX('Product Backlog'!$C$5:$C$504,$J66)))</f>
        <v/>
      </c>
      <c r="D66" s="46" t="str">
        <f>IF($J66="","",IF(ISBLANK(INDEX('Product Backlog'!$D$5:$D$504,$J66)),"",INDEX('Product Backlog'!$D$5:$D$504,$J66)))</f>
        <v/>
      </c>
      <c r="E66" s="46" t="str">
        <f>IF($J66="","",IF(ISBLANK(INDEX('Product Backlog'!$E$5:$E$504,$J66)),"",INDEX('Product Backlog'!$E$5:$E$504,$J66)))</f>
        <v/>
      </c>
      <c r="F66" s="47" t="str">
        <f>IF($J66="","",IF(ISBLANK(INDEX('Product Backlog'!$F$5:$F$504,$J66)),"",INDEX('Product Backlog'!$F$5:$F$504,$J66)))</f>
        <v/>
      </c>
      <c r="G66" s="47" t="str">
        <f>IF($J66="","",IF(ISBLANK(INDEX('Product Backlog'!$G$5:$G$504,$J66)),"",INDEX('Product Backlog'!$G$5:$G$504,$J66)))</f>
        <v/>
      </c>
      <c r="H66" s="48" t="str">
        <f>IF($J66="","",IF(ISBLANK(INDEX('Product Backlog'!$H$5:$H$504,$J66)),"",INDEX('Product Backlog'!$H$5:$H$504,$J66)))</f>
        <v/>
      </c>
      <c r="I66" s="48" t="str">
        <f>IF($J66="","",IF(ISBLANK(INDEX('Product Backlog'!$I$5:$I$504,$J66)),"",INDEX('Product Backlog'!$I$5:$I$504,$J66)))</f>
        <v/>
      </c>
      <c r="J66" t="str">
        <f>IFERROR(MATCH($B$4&amp;"-"&amp;ROWS($A$10:A66),'Product Backlog'!$J$5:$J$504,0),"")</f>
        <v/>
      </c>
    </row>
    <row r="67" spans="1:10" ht="21" customHeight="1" x14ac:dyDescent="0.2">
      <c r="A67" s="46" t="str">
        <f>IF($J67="","",IF(ISBLANK(INDEX('Product Backlog'!$A$5:$A$504,$J67)),"",INDEX('Product Backlog'!$A$5:$A$504,$J67)))</f>
        <v/>
      </c>
      <c r="B67" s="46" t="str">
        <f>IF($J67="","",IF(ISBLANK(INDEX('Product Backlog'!$B$5:$B$504,$J67)),"",INDEX('Product Backlog'!$B$5:$B$504,$J67)))</f>
        <v/>
      </c>
      <c r="C67" s="46" t="str">
        <f>IF($J67="","",IF(ISBLANK(INDEX('Product Backlog'!$C$5:$C$504,$J67)),"",INDEX('Product Backlog'!$C$5:$C$504,$J67)))</f>
        <v/>
      </c>
      <c r="D67" s="46" t="str">
        <f>IF($J67="","",IF(ISBLANK(INDEX('Product Backlog'!$D$5:$D$504,$J67)),"",INDEX('Product Backlog'!$D$5:$D$504,$J67)))</f>
        <v/>
      </c>
      <c r="E67" s="46" t="str">
        <f>IF($J67="","",IF(ISBLANK(INDEX('Product Backlog'!$E$5:$E$504,$J67)),"",INDEX('Product Backlog'!$E$5:$E$504,$J67)))</f>
        <v/>
      </c>
      <c r="F67" s="47" t="str">
        <f>IF($J67="","",IF(ISBLANK(INDEX('Product Backlog'!$F$5:$F$504,$J67)),"",INDEX('Product Backlog'!$F$5:$F$504,$J67)))</f>
        <v/>
      </c>
      <c r="G67" s="47" t="str">
        <f>IF($J67="","",IF(ISBLANK(INDEX('Product Backlog'!$G$5:$G$504,$J67)),"",INDEX('Product Backlog'!$G$5:$G$504,$J67)))</f>
        <v/>
      </c>
      <c r="H67" s="48" t="str">
        <f>IF($J67="","",IF(ISBLANK(INDEX('Product Backlog'!$H$5:$H$504,$J67)),"",INDEX('Product Backlog'!$H$5:$H$504,$J67)))</f>
        <v/>
      </c>
      <c r="I67" s="48" t="str">
        <f>IF($J67="","",IF(ISBLANK(INDEX('Product Backlog'!$I$5:$I$504,$J67)),"",INDEX('Product Backlog'!$I$5:$I$504,$J67)))</f>
        <v/>
      </c>
      <c r="J67" t="str">
        <f>IFERROR(MATCH($B$4&amp;"-"&amp;ROWS($A$10:A67),'Product Backlog'!$J$5:$J$504,0),"")</f>
        <v/>
      </c>
    </row>
    <row r="68" spans="1:10" ht="21" customHeight="1" x14ac:dyDescent="0.2">
      <c r="A68" s="46" t="str">
        <f>IF($J68="","",IF(ISBLANK(INDEX('Product Backlog'!$A$5:$A$504,$J68)),"",INDEX('Product Backlog'!$A$5:$A$504,$J68)))</f>
        <v/>
      </c>
      <c r="B68" s="46" t="str">
        <f>IF($J68="","",IF(ISBLANK(INDEX('Product Backlog'!$B$5:$B$504,$J68)),"",INDEX('Product Backlog'!$B$5:$B$504,$J68)))</f>
        <v/>
      </c>
      <c r="C68" s="46" t="str">
        <f>IF($J68="","",IF(ISBLANK(INDEX('Product Backlog'!$C$5:$C$504,$J68)),"",INDEX('Product Backlog'!$C$5:$C$504,$J68)))</f>
        <v/>
      </c>
      <c r="D68" s="46" t="str">
        <f>IF($J68="","",IF(ISBLANK(INDEX('Product Backlog'!$D$5:$D$504,$J68)),"",INDEX('Product Backlog'!$D$5:$D$504,$J68)))</f>
        <v/>
      </c>
      <c r="E68" s="46" t="str">
        <f>IF($J68="","",IF(ISBLANK(INDEX('Product Backlog'!$E$5:$E$504,$J68)),"",INDEX('Product Backlog'!$E$5:$E$504,$J68)))</f>
        <v/>
      </c>
      <c r="F68" s="47" t="str">
        <f>IF($J68="","",IF(ISBLANK(INDEX('Product Backlog'!$F$5:$F$504,$J68)),"",INDEX('Product Backlog'!$F$5:$F$504,$J68)))</f>
        <v/>
      </c>
      <c r="G68" s="47" t="str">
        <f>IF($J68="","",IF(ISBLANK(INDEX('Product Backlog'!$G$5:$G$504,$J68)),"",INDEX('Product Backlog'!$G$5:$G$504,$J68)))</f>
        <v/>
      </c>
      <c r="H68" s="48" t="str">
        <f>IF($J68="","",IF(ISBLANK(INDEX('Product Backlog'!$H$5:$H$504,$J68)),"",INDEX('Product Backlog'!$H$5:$H$504,$J68)))</f>
        <v/>
      </c>
      <c r="I68" s="48" t="str">
        <f>IF($J68="","",IF(ISBLANK(INDEX('Product Backlog'!$I$5:$I$504,$J68)),"",INDEX('Product Backlog'!$I$5:$I$504,$J68)))</f>
        <v/>
      </c>
      <c r="J68" t="str">
        <f>IFERROR(MATCH($B$4&amp;"-"&amp;ROWS($A$10:A68),'Product Backlog'!$J$5:$J$504,0),"")</f>
        <v/>
      </c>
    </row>
    <row r="69" spans="1:10" ht="21" customHeight="1" x14ac:dyDescent="0.2">
      <c r="A69" s="46" t="str">
        <f>IF($J69="","",IF(ISBLANK(INDEX('Product Backlog'!$A$5:$A$504,$J69)),"",INDEX('Product Backlog'!$A$5:$A$504,$J69)))</f>
        <v/>
      </c>
      <c r="B69" s="46" t="str">
        <f>IF($J69="","",IF(ISBLANK(INDEX('Product Backlog'!$B$5:$B$504,$J69)),"",INDEX('Product Backlog'!$B$5:$B$504,$J69)))</f>
        <v/>
      </c>
      <c r="C69" s="46" t="str">
        <f>IF($J69="","",IF(ISBLANK(INDEX('Product Backlog'!$C$5:$C$504,$J69)),"",INDEX('Product Backlog'!$C$5:$C$504,$J69)))</f>
        <v/>
      </c>
      <c r="D69" s="46" t="str">
        <f>IF($J69="","",IF(ISBLANK(INDEX('Product Backlog'!$D$5:$D$504,$J69)),"",INDEX('Product Backlog'!$D$5:$D$504,$J69)))</f>
        <v/>
      </c>
      <c r="E69" s="46" t="str">
        <f>IF($J69="","",IF(ISBLANK(INDEX('Product Backlog'!$E$5:$E$504,$J69)),"",INDEX('Product Backlog'!$E$5:$E$504,$J69)))</f>
        <v/>
      </c>
      <c r="F69" s="47" t="str">
        <f>IF($J69="","",IF(ISBLANK(INDEX('Product Backlog'!$F$5:$F$504,$J69)),"",INDEX('Product Backlog'!$F$5:$F$504,$J69)))</f>
        <v/>
      </c>
      <c r="G69" s="47" t="str">
        <f>IF($J69="","",IF(ISBLANK(INDEX('Product Backlog'!$G$5:$G$504,$J69)),"",INDEX('Product Backlog'!$G$5:$G$504,$J69)))</f>
        <v/>
      </c>
      <c r="H69" s="48" t="str">
        <f>IF($J69="","",IF(ISBLANK(INDEX('Product Backlog'!$H$5:$H$504,$J69)),"",INDEX('Product Backlog'!$H$5:$H$504,$J69)))</f>
        <v/>
      </c>
      <c r="I69" s="48" t="str">
        <f>IF($J69="","",IF(ISBLANK(INDEX('Product Backlog'!$I$5:$I$504,$J69)),"",INDEX('Product Backlog'!$I$5:$I$504,$J69)))</f>
        <v/>
      </c>
      <c r="J69" t="str">
        <f>IFERROR(MATCH($B$4&amp;"-"&amp;ROWS($A$10:A69),'Product Backlog'!$J$5:$J$504,0),"")</f>
        <v/>
      </c>
    </row>
    <row r="70" spans="1:10" ht="21" customHeight="1" x14ac:dyDescent="0.2">
      <c r="A70" s="46" t="str">
        <f>IF($J70="","",IF(ISBLANK(INDEX('Product Backlog'!$A$5:$A$504,$J70)),"",INDEX('Product Backlog'!$A$5:$A$504,$J70)))</f>
        <v/>
      </c>
      <c r="B70" s="46" t="str">
        <f>IF($J70="","",IF(ISBLANK(INDEX('Product Backlog'!$B$5:$B$504,$J70)),"",INDEX('Product Backlog'!$B$5:$B$504,$J70)))</f>
        <v/>
      </c>
      <c r="C70" s="46" t="str">
        <f>IF($J70="","",IF(ISBLANK(INDEX('Product Backlog'!$C$5:$C$504,$J70)),"",INDEX('Product Backlog'!$C$5:$C$504,$J70)))</f>
        <v/>
      </c>
      <c r="D70" s="46" t="str">
        <f>IF($J70="","",IF(ISBLANK(INDEX('Product Backlog'!$D$5:$D$504,$J70)),"",INDEX('Product Backlog'!$D$5:$D$504,$J70)))</f>
        <v/>
      </c>
      <c r="E70" s="46" t="str">
        <f>IF($J70="","",IF(ISBLANK(INDEX('Product Backlog'!$E$5:$E$504,$J70)),"",INDEX('Product Backlog'!$E$5:$E$504,$J70)))</f>
        <v/>
      </c>
      <c r="F70" s="47" t="str">
        <f>IF($J70="","",IF(ISBLANK(INDEX('Product Backlog'!$F$5:$F$504,$J70)),"",INDEX('Product Backlog'!$F$5:$F$504,$J70)))</f>
        <v/>
      </c>
      <c r="G70" s="47" t="str">
        <f>IF($J70="","",IF(ISBLANK(INDEX('Product Backlog'!$G$5:$G$504,$J70)),"",INDEX('Product Backlog'!$G$5:$G$504,$J70)))</f>
        <v/>
      </c>
      <c r="H70" s="48" t="str">
        <f>IF($J70="","",IF(ISBLANK(INDEX('Product Backlog'!$H$5:$H$504,$J70)),"",INDEX('Product Backlog'!$H$5:$H$504,$J70)))</f>
        <v/>
      </c>
      <c r="I70" s="48" t="str">
        <f>IF($J70="","",IF(ISBLANK(INDEX('Product Backlog'!$I$5:$I$504,$J70)),"",INDEX('Product Backlog'!$I$5:$I$504,$J70)))</f>
        <v/>
      </c>
      <c r="J70" t="str">
        <f>IFERROR(MATCH($B$4&amp;"-"&amp;ROWS($A$10:A70),'Product Backlog'!$J$5:$J$504,0),"")</f>
        <v/>
      </c>
    </row>
    <row r="71" spans="1:10" ht="21" customHeight="1" x14ac:dyDescent="0.2">
      <c r="A71" s="46" t="str">
        <f>IF($J71="","",IF(ISBLANK(INDEX('Product Backlog'!$A$5:$A$504,$J71)),"",INDEX('Product Backlog'!$A$5:$A$504,$J71)))</f>
        <v/>
      </c>
      <c r="B71" s="46" t="str">
        <f>IF($J71="","",IF(ISBLANK(INDEX('Product Backlog'!$B$5:$B$504,$J71)),"",INDEX('Product Backlog'!$B$5:$B$504,$J71)))</f>
        <v/>
      </c>
      <c r="C71" s="46" t="str">
        <f>IF($J71="","",IF(ISBLANK(INDEX('Product Backlog'!$C$5:$C$504,$J71)),"",INDEX('Product Backlog'!$C$5:$C$504,$J71)))</f>
        <v/>
      </c>
      <c r="D71" s="46" t="str">
        <f>IF($J71="","",IF(ISBLANK(INDEX('Product Backlog'!$D$5:$D$504,$J71)),"",INDEX('Product Backlog'!$D$5:$D$504,$J71)))</f>
        <v/>
      </c>
      <c r="E71" s="46" t="str">
        <f>IF($J71="","",IF(ISBLANK(INDEX('Product Backlog'!$E$5:$E$504,$J71)),"",INDEX('Product Backlog'!$E$5:$E$504,$J71)))</f>
        <v/>
      </c>
      <c r="F71" s="47" t="str">
        <f>IF($J71="","",IF(ISBLANK(INDEX('Product Backlog'!$F$5:$F$504,$J71)),"",INDEX('Product Backlog'!$F$5:$F$504,$J71)))</f>
        <v/>
      </c>
      <c r="G71" s="47" t="str">
        <f>IF($J71="","",IF(ISBLANK(INDEX('Product Backlog'!$G$5:$G$504,$J71)),"",INDEX('Product Backlog'!$G$5:$G$504,$J71)))</f>
        <v/>
      </c>
      <c r="H71" s="48" t="str">
        <f>IF($J71="","",IF(ISBLANK(INDEX('Product Backlog'!$H$5:$H$504,$J71)),"",INDEX('Product Backlog'!$H$5:$H$504,$J71)))</f>
        <v/>
      </c>
      <c r="I71" s="48" t="str">
        <f>IF($J71="","",IF(ISBLANK(INDEX('Product Backlog'!$I$5:$I$504,$J71)),"",INDEX('Product Backlog'!$I$5:$I$504,$J71)))</f>
        <v/>
      </c>
      <c r="J71" t="str">
        <f>IFERROR(MATCH($B$4&amp;"-"&amp;ROWS($A$10:A71),'Product Backlog'!$J$5:$J$504,0),"")</f>
        <v/>
      </c>
    </row>
    <row r="72" spans="1:10" ht="21" customHeight="1" x14ac:dyDescent="0.2">
      <c r="A72" s="46" t="str">
        <f>IF($J72="","",IF(ISBLANK(INDEX('Product Backlog'!$A$5:$A$504,$J72)),"",INDEX('Product Backlog'!$A$5:$A$504,$J72)))</f>
        <v/>
      </c>
      <c r="B72" s="46" t="str">
        <f>IF($J72="","",IF(ISBLANK(INDEX('Product Backlog'!$B$5:$B$504,$J72)),"",INDEX('Product Backlog'!$B$5:$B$504,$J72)))</f>
        <v/>
      </c>
      <c r="C72" s="46" t="str">
        <f>IF($J72="","",IF(ISBLANK(INDEX('Product Backlog'!$C$5:$C$504,$J72)),"",INDEX('Product Backlog'!$C$5:$C$504,$J72)))</f>
        <v/>
      </c>
      <c r="D72" s="46" t="str">
        <f>IF($J72="","",IF(ISBLANK(INDEX('Product Backlog'!$D$5:$D$504,$J72)),"",INDEX('Product Backlog'!$D$5:$D$504,$J72)))</f>
        <v/>
      </c>
      <c r="E72" s="46" t="str">
        <f>IF($J72="","",IF(ISBLANK(INDEX('Product Backlog'!$E$5:$E$504,$J72)),"",INDEX('Product Backlog'!$E$5:$E$504,$J72)))</f>
        <v/>
      </c>
      <c r="F72" s="47" t="str">
        <f>IF($J72="","",IF(ISBLANK(INDEX('Product Backlog'!$F$5:$F$504,$J72)),"",INDEX('Product Backlog'!$F$5:$F$504,$J72)))</f>
        <v/>
      </c>
      <c r="G72" s="47" t="str">
        <f>IF($J72="","",IF(ISBLANK(INDEX('Product Backlog'!$G$5:$G$504,$J72)),"",INDEX('Product Backlog'!$G$5:$G$504,$J72)))</f>
        <v/>
      </c>
      <c r="H72" s="48" t="str">
        <f>IF($J72="","",IF(ISBLANK(INDEX('Product Backlog'!$H$5:$H$504,$J72)),"",INDEX('Product Backlog'!$H$5:$H$504,$J72)))</f>
        <v/>
      </c>
      <c r="I72" s="48" t="str">
        <f>IF($J72="","",IF(ISBLANK(INDEX('Product Backlog'!$I$5:$I$504,$J72)),"",INDEX('Product Backlog'!$I$5:$I$504,$J72)))</f>
        <v/>
      </c>
      <c r="J72" t="str">
        <f>IFERROR(MATCH($B$4&amp;"-"&amp;ROWS($A$10:A72),'Product Backlog'!$J$5:$J$504,0),"")</f>
        <v/>
      </c>
    </row>
    <row r="73" spans="1:10" ht="21" customHeight="1" x14ac:dyDescent="0.2">
      <c r="A73" s="46" t="str">
        <f>IF($J73="","",IF(ISBLANK(INDEX('Product Backlog'!$A$5:$A$504,$J73)),"",INDEX('Product Backlog'!$A$5:$A$504,$J73)))</f>
        <v/>
      </c>
      <c r="B73" s="46" t="str">
        <f>IF($J73="","",IF(ISBLANK(INDEX('Product Backlog'!$B$5:$B$504,$J73)),"",INDEX('Product Backlog'!$B$5:$B$504,$J73)))</f>
        <v/>
      </c>
      <c r="C73" s="46" t="str">
        <f>IF($J73="","",IF(ISBLANK(INDEX('Product Backlog'!$C$5:$C$504,$J73)),"",INDEX('Product Backlog'!$C$5:$C$504,$J73)))</f>
        <v/>
      </c>
      <c r="D73" s="46" t="str">
        <f>IF($J73="","",IF(ISBLANK(INDEX('Product Backlog'!$D$5:$D$504,$J73)),"",INDEX('Product Backlog'!$D$5:$D$504,$J73)))</f>
        <v/>
      </c>
      <c r="E73" s="46" t="str">
        <f>IF($J73="","",IF(ISBLANK(INDEX('Product Backlog'!$E$5:$E$504,$J73)),"",INDEX('Product Backlog'!$E$5:$E$504,$J73)))</f>
        <v/>
      </c>
      <c r="F73" s="47" t="str">
        <f>IF($J73="","",IF(ISBLANK(INDEX('Product Backlog'!$F$5:$F$504,$J73)),"",INDEX('Product Backlog'!$F$5:$F$504,$J73)))</f>
        <v/>
      </c>
      <c r="G73" s="47" t="str">
        <f>IF($J73="","",IF(ISBLANK(INDEX('Product Backlog'!$G$5:$G$504,$J73)),"",INDEX('Product Backlog'!$G$5:$G$504,$J73)))</f>
        <v/>
      </c>
      <c r="H73" s="48" t="str">
        <f>IF($J73="","",IF(ISBLANK(INDEX('Product Backlog'!$H$5:$H$504,$J73)),"",INDEX('Product Backlog'!$H$5:$H$504,$J73)))</f>
        <v/>
      </c>
      <c r="I73" s="48" t="str">
        <f>IF($J73="","",IF(ISBLANK(INDEX('Product Backlog'!$I$5:$I$504,$J73)),"",INDEX('Product Backlog'!$I$5:$I$504,$J73)))</f>
        <v/>
      </c>
      <c r="J73" t="str">
        <f>IFERROR(MATCH($B$4&amp;"-"&amp;ROWS($A$10:A73),'Product Backlog'!$J$5:$J$504,0),"")</f>
        <v/>
      </c>
    </row>
    <row r="74" spans="1:10" ht="21" customHeight="1" x14ac:dyDescent="0.2">
      <c r="A74" s="46" t="str">
        <f>IF($J74="","",IF(ISBLANK(INDEX('Product Backlog'!$A$5:$A$504,$J74)),"",INDEX('Product Backlog'!$A$5:$A$504,$J74)))</f>
        <v/>
      </c>
      <c r="B74" s="46" t="str">
        <f>IF($J74="","",IF(ISBLANK(INDEX('Product Backlog'!$B$5:$B$504,$J74)),"",INDEX('Product Backlog'!$B$5:$B$504,$J74)))</f>
        <v/>
      </c>
      <c r="C74" s="46" t="str">
        <f>IF($J74="","",IF(ISBLANK(INDEX('Product Backlog'!$C$5:$C$504,$J74)),"",INDEX('Product Backlog'!$C$5:$C$504,$J74)))</f>
        <v/>
      </c>
      <c r="D74" s="46" t="str">
        <f>IF($J74="","",IF(ISBLANK(INDEX('Product Backlog'!$D$5:$D$504,$J74)),"",INDEX('Product Backlog'!$D$5:$D$504,$J74)))</f>
        <v/>
      </c>
      <c r="E74" s="46" t="str">
        <f>IF($J74="","",IF(ISBLANK(INDEX('Product Backlog'!$E$5:$E$504,$J74)),"",INDEX('Product Backlog'!$E$5:$E$504,$J74)))</f>
        <v/>
      </c>
      <c r="F74" s="47" t="str">
        <f>IF($J74="","",IF(ISBLANK(INDEX('Product Backlog'!$F$5:$F$504,$J74)),"",INDEX('Product Backlog'!$F$5:$F$504,$J74)))</f>
        <v/>
      </c>
      <c r="G74" s="47" t="str">
        <f>IF($J74="","",IF(ISBLANK(INDEX('Product Backlog'!$G$5:$G$504,$J74)),"",INDEX('Product Backlog'!$G$5:$G$504,$J74)))</f>
        <v/>
      </c>
      <c r="H74" s="48" t="str">
        <f>IF($J74="","",IF(ISBLANK(INDEX('Product Backlog'!$H$5:$H$504,$J74)),"",INDEX('Product Backlog'!$H$5:$H$504,$J74)))</f>
        <v/>
      </c>
      <c r="I74" s="48" t="str">
        <f>IF($J74="","",IF(ISBLANK(INDEX('Product Backlog'!$I$5:$I$504,$J74)),"",INDEX('Product Backlog'!$I$5:$I$504,$J74)))</f>
        <v/>
      </c>
      <c r="J74" t="str">
        <f>IFERROR(MATCH($B$4&amp;"-"&amp;ROWS($A$10:A74),'Product Backlog'!$J$5:$J$504,0),"")</f>
        <v/>
      </c>
    </row>
    <row r="75" spans="1:10" ht="21" customHeight="1" x14ac:dyDescent="0.2">
      <c r="A75" s="46" t="str">
        <f>IF($J75="","",IF(ISBLANK(INDEX('Product Backlog'!$A$5:$A$504,$J75)),"",INDEX('Product Backlog'!$A$5:$A$504,$J75)))</f>
        <v/>
      </c>
      <c r="B75" s="46" t="str">
        <f>IF($J75="","",IF(ISBLANK(INDEX('Product Backlog'!$B$5:$B$504,$J75)),"",INDEX('Product Backlog'!$B$5:$B$504,$J75)))</f>
        <v/>
      </c>
      <c r="C75" s="46" t="str">
        <f>IF($J75="","",IF(ISBLANK(INDEX('Product Backlog'!$C$5:$C$504,$J75)),"",INDEX('Product Backlog'!$C$5:$C$504,$J75)))</f>
        <v/>
      </c>
      <c r="D75" s="46" t="str">
        <f>IF($J75="","",IF(ISBLANK(INDEX('Product Backlog'!$D$5:$D$504,$J75)),"",INDEX('Product Backlog'!$D$5:$D$504,$J75)))</f>
        <v/>
      </c>
      <c r="E75" s="46" t="str">
        <f>IF($J75="","",IF(ISBLANK(INDEX('Product Backlog'!$E$5:$E$504,$J75)),"",INDEX('Product Backlog'!$E$5:$E$504,$J75)))</f>
        <v/>
      </c>
      <c r="F75" s="47" t="str">
        <f>IF($J75="","",IF(ISBLANK(INDEX('Product Backlog'!$F$5:$F$504,$J75)),"",INDEX('Product Backlog'!$F$5:$F$504,$J75)))</f>
        <v/>
      </c>
      <c r="G75" s="47" t="str">
        <f>IF($J75="","",IF(ISBLANK(INDEX('Product Backlog'!$G$5:$G$504,$J75)),"",INDEX('Product Backlog'!$G$5:$G$504,$J75)))</f>
        <v/>
      </c>
      <c r="H75" s="48" t="str">
        <f>IF($J75="","",IF(ISBLANK(INDEX('Product Backlog'!$H$5:$H$504,$J75)),"",INDEX('Product Backlog'!$H$5:$H$504,$J75)))</f>
        <v/>
      </c>
      <c r="I75" s="48" t="str">
        <f>IF($J75="","",IF(ISBLANK(INDEX('Product Backlog'!$I$5:$I$504,$J75)),"",INDEX('Product Backlog'!$I$5:$I$504,$J75)))</f>
        <v/>
      </c>
      <c r="J75" t="str">
        <f>IFERROR(MATCH($B$4&amp;"-"&amp;ROWS($A$10:A75),'Product Backlog'!$J$5:$J$504,0),"")</f>
        <v/>
      </c>
    </row>
    <row r="76" spans="1:10" ht="21" customHeight="1" x14ac:dyDescent="0.2">
      <c r="A76" s="46" t="str">
        <f>IF($J76="","",IF(ISBLANK(INDEX('Product Backlog'!$A$5:$A$504,$J76)),"",INDEX('Product Backlog'!$A$5:$A$504,$J76)))</f>
        <v/>
      </c>
      <c r="B76" s="46" t="str">
        <f>IF($J76="","",IF(ISBLANK(INDEX('Product Backlog'!$B$5:$B$504,$J76)),"",INDEX('Product Backlog'!$B$5:$B$504,$J76)))</f>
        <v/>
      </c>
      <c r="C76" s="46" t="str">
        <f>IF($J76="","",IF(ISBLANK(INDEX('Product Backlog'!$C$5:$C$504,$J76)),"",INDEX('Product Backlog'!$C$5:$C$504,$J76)))</f>
        <v/>
      </c>
      <c r="D76" s="46" t="str">
        <f>IF($J76="","",IF(ISBLANK(INDEX('Product Backlog'!$D$5:$D$504,$J76)),"",INDEX('Product Backlog'!$D$5:$D$504,$J76)))</f>
        <v/>
      </c>
      <c r="E76" s="46" t="str">
        <f>IF($J76="","",IF(ISBLANK(INDEX('Product Backlog'!$E$5:$E$504,$J76)),"",INDEX('Product Backlog'!$E$5:$E$504,$J76)))</f>
        <v/>
      </c>
      <c r="F76" s="47" t="str">
        <f>IF($J76="","",IF(ISBLANK(INDEX('Product Backlog'!$F$5:$F$504,$J76)),"",INDEX('Product Backlog'!$F$5:$F$504,$J76)))</f>
        <v/>
      </c>
      <c r="G76" s="47" t="str">
        <f>IF($J76="","",IF(ISBLANK(INDEX('Product Backlog'!$G$5:$G$504,$J76)),"",INDEX('Product Backlog'!$G$5:$G$504,$J76)))</f>
        <v/>
      </c>
      <c r="H76" s="48" t="str">
        <f>IF($J76="","",IF(ISBLANK(INDEX('Product Backlog'!$H$5:$H$504,$J76)),"",INDEX('Product Backlog'!$H$5:$H$504,$J76)))</f>
        <v/>
      </c>
      <c r="I76" s="48" t="str">
        <f>IF($J76="","",IF(ISBLANK(INDEX('Product Backlog'!$I$5:$I$504,$J76)),"",INDEX('Product Backlog'!$I$5:$I$504,$J76)))</f>
        <v/>
      </c>
      <c r="J76" t="str">
        <f>IFERROR(MATCH($B$4&amp;"-"&amp;ROWS($A$10:A76),'Product Backlog'!$J$5:$J$504,0),"")</f>
        <v/>
      </c>
    </row>
    <row r="77" spans="1:10" ht="21" customHeight="1" x14ac:dyDescent="0.2">
      <c r="A77" s="46" t="str">
        <f>IF($J77="","",IF(ISBLANK(INDEX('Product Backlog'!$A$5:$A$504,$J77)),"",INDEX('Product Backlog'!$A$5:$A$504,$J77)))</f>
        <v/>
      </c>
      <c r="B77" s="46" t="str">
        <f>IF($J77="","",IF(ISBLANK(INDEX('Product Backlog'!$B$5:$B$504,$J77)),"",INDEX('Product Backlog'!$B$5:$B$504,$J77)))</f>
        <v/>
      </c>
      <c r="C77" s="46" t="str">
        <f>IF($J77="","",IF(ISBLANK(INDEX('Product Backlog'!$C$5:$C$504,$J77)),"",INDEX('Product Backlog'!$C$5:$C$504,$J77)))</f>
        <v/>
      </c>
      <c r="D77" s="46" t="str">
        <f>IF($J77="","",IF(ISBLANK(INDEX('Product Backlog'!$D$5:$D$504,$J77)),"",INDEX('Product Backlog'!$D$5:$D$504,$J77)))</f>
        <v/>
      </c>
      <c r="E77" s="46" t="str">
        <f>IF($J77="","",IF(ISBLANK(INDEX('Product Backlog'!$E$5:$E$504,$J77)),"",INDEX('Product Backlog'!$E$5:$E$504,$J77)))</f>
        <v/>
      </c>
      <c r="F77" s="47" t="str">
        <f>IF($J77="","",IF(ISBLANK(INDEX('Product Backlog'!$F$5:$F$504,$J77)),"",INDEX('Product Backlog'!$F$5:$F$504,$J77)))</f>
        <v/>
      </c>
      <c r="G77" s="47" t="str">
        <f>IF($J77="","",IF(ISBLANK(INDEX('Product Backlog'!$G$5:$G$504,$J77)),"",INDEX('Product Backlog'!$G$5:$G$504,$J77)))</f>
        <v/>
      </c>
      <c r="H77" s="48" t="str">
        <f>IF($J77="","",IF(ISBLANK(INDEX('Product Backlog'!$H$5:$H$504,$J77)),"",INDEX('Product Backlog'!$H$5:$H$504,$J77)))</f>
        <v/>
      </c>
      <c r="I77" s="48" t="str">
        <f>IF($J77="","",IF(ISBLANK(INDEX('Product Backlog'!$I$5:$I$504,$J77)),"",INDEX('Product Backlog'!$I$5:$I$504,$J77)))</f>
        <v/>
      </c>
      <c r="J77" t="str">
        <f>IFERROR(MATCH($B$4&amp;"-"&amp;ROWS($A$10:A77),'Product Backlog'!$J$5:$J$504,0),"")</f>
        <v/>
      </c>
    </row>
    <row r="78" spans="1:10" ht="21" customHeight="1" x14ac:dyDescent="0.2">
      <c r="A78" s="46" t="str">
        <f>IF($J78="","",IF(ISBLANK(INDEX('Product Backlog'!$A$5:$A$504,$J78)),"",INDEX('Product Backlog'!$A$5:$A$504,$J78)))</f>
        <v/>
      </c>
      <c r="B78" s="46" t="str">
        <f>IF($J78="","",IF(ISBLANK(INDEX('Product Backlog'!$B$5:$B$504,$J78)),"",INDEX('Product Backlog'!$B$5:$B$504,$J78)))</f>
        <v/>
      </c>
      <c r="C78" s="46" t="str">
        <f>IF($J78="","",IF(ISBLANK(INDEX('Product Backlog'!$C$5:$C$504,$J78)),"",INDEX('Product Backlog'!$C$5:$C$504,$J78)))</f>
        <v/>
      </c>
      <c r="D78" s="46" t="str">
        <f>IF($J78="","",IF(ISBLANK(INDEX('Product Backlog'!$D$5:$D$504,$J78)),"",INDEX('Product Backlog'!$D$5:$D$504,$J78)))</f>
        <v/>
      </c>
      <c r="E78" s="46" t="str">
        <f>IF($J78="","",IF(ISBLANK(INDEX('Product Backlog'!$E$5:$E$504,$J78)),"",INDEX('Product Backlog'!$E$5:$E$504,$J78)))</f>
        <v/>
      </c>
      <c r="F78" s="47" t="str">
        <f>IF($J78="","",IF(ISBLANK(INDEX('Product Backlog'!$F$5:$F$504,$J78)),"",INDEX('Product Backlog'!$F$5:$F$504,$J78)))</f>
        <v/>
      </c>
      <c r="G78" s="47" t="str">
        <f>IF($J78="","",IF(ISBLANK(INDEX('Product Backlog'!$G$5:$G$504,$J78)),"",INDEX('Product Backlog'!$G$5:$G$504,$J78)))</f>
        <v/>
      </c>
      <c r="H78" s="48" t="str">
        <f>IF($J78="","",IF(ISBLANK(INDEX('Product Backlog'!$H$5:$H$504,$J78)),"",INDEX('Product Backlog'!$H$5:$H$504,$J78)))</f>
        <v/>
      </c>
      <c r="I78" s="48" t="str">
        <f>IF($J78="","",IF(ISBLANK(INDEX('Product Backlog'!$I$5:$I$504,$J78)),"",INDEX('Product Backlog'!$I$5:$I$504,$J78)))</f>
        <v/>
      </c>
      <c r="J78" t="str">
        <f>IFERROR(MATCH($B$4&amp;"-"&amp;ROWS($A$10:A78),'Product Backlog'!$J$5:$J$504,0),"")</f>
        <v/>
      </c>
    </row>
    <row r="79" spans="1:10" ht="21" customHeight="1" x14ac:dyDescent="0.2">
      <c r="A79" s="46" t="str">
        <f>IF($J79="","",IF(ISBLANK(INDEX('Product Backlog'!$A$5:$A$504,$J79)),"",INDEX('Product Backlog'!$A$5:$A$504,$J79)))</f>
        <v/>
      </c>
      <c r="B79" s="46" t="str">
        <f>IF($J79="","",IF(ISBLANK(INDEX('Product Backlog'!$B$5:$B$504,$J79)),"",INDEX('Product Backlog'!$B$5:$B$504,$J79)))</f>
        <v/>
      </c>
      <c r="C79" s="46" t="str">
        <f>IF($J79="","",IF(ISBLANK(INDEX('Product Backlog'!$C$5:$C$504,$J79)),"",INDEX('Product Backlog'!$C$5:$C$504,$J79)))</f>
        <v/>
      </c>
      <c r="D79" s="46" t="str">
        <f>IF($J79="","",IF(ISBLANK(INDEX('Product Backlog'!$D$5:$D$504,$J79)),"",INDEX('Product Backlog'!$D$5:$D$504,$J79)))</f>
        <v/>
      </c>
      <c r="E79" s="46" t="str">
        <f>IF($J79="","",IF(ISBLANK(INDEX('Product Backlog'!$E$5:$E$504,$J79)),"",INDEX('Product Backlog'!$E$5:$E$504,$J79)))</f>
        <v/>
      </c>
      <c r="F79" s="47" t="str">
        <f>IF($J79="","",IF(ISBLANK(INDEX('Product Backlog'!$F$5:$F$504,$J79)),"",INDEX('Product Backlog'!$F$5:$F$504,$J79)))</f>
        <v/>
      </c>
      <c r="G79" s="47" t="str">
        <f>IF($J79="","",IF(ISBLANK(INDEX('Product Backlog'!$G$5:$G$504,$J79)),"",INDEX('Product Backlog'!$G$5:$G$504,$J79)))</f>
        <v/>
      </c>
      <c r="H79" s="48" t="str">
        <f>IF($J79="","",IF(ISBLANK(INDEX('Product Backlog'!$H$5:$H$504,$J79)),"",INDEX('Product Backlog'!$H$5:$H$504,$J79)))</f>
        <v/>
      </c>
      <c r="I79" s="48" t="str">
        <f>IF($J79="","",IF(ISBLANK(INDEX('Product Backlog'!$I$5:$I$504,$J79)),"",INDEX('Product Backlog'!$I$5:$I$504,$J79)))</f>
        <v/>
      </c>
      <c r="J79" t="str">
        <f>IFERROR(MATCH($B$4&amp;"-"&amp;ROWS($A$10:A79),'Product Backlog'!$J$5:$J$504,0),"")</f>
        <v/>
      </c>
    </row>
    <row r="80" spans="1:10" ht="21" customHeight="1" x14ac:dyDescent="0.2">
      <c r="A80" s="46" t="str">
        <f>IF($J80="","",IF(ISBLANK(INDEX('Product Backlog'!$A$5:$A$504,$J80)),"",INDEX('Product Backlog'!$A$5:$A$504,$J80)))</f>
        <v/>
      </c>
      <c r="B80" s="46" t="str">
        <f>IF($J80="","",IF(ISBLANK(INDEX('Product Backlog'!$B$5:$B$504,$J80)),"",INDEX('Product Backlog'!$B$5:$B$504,$J80)))</f>
        <v/>
      </c>
      <c r="C80" s="46" t="str">
        <f>IF($J80="","",IF(ISBLANK(INDEX('Product Backlog'!$C$5:$C$504,$J80)),"",INDEX('Product Backlog'!$C$5:$C$504,$J80)))</f>
        <v/>
      </c>
      <c r="D80" s="46" t="str">
        <f>IF($J80="","",IF(ISBLANK(INDEX('Product Backlog'!$D$5:$D$504,$J80)),"",INDEX('Product Backlog'!$D$5:$D$504,$J80)))</f>
        <v/>
      </c>
      <c r="E80" s="46" t="str">
        <f>IF($J80="","",IF(ISBLANK(INDEX('Product Backlog'!$E$5:$E$504,$J80)),"",INDEX('Product Backlog'!$E$5:$E$504,$J80)))</f>
        <v/>
      </c>
      <c r="F80" s="47" t="str">
        <f>IF($J80="","",IF(ISBLANK(INDEX('Product Backlog'!$F$5:$F$504,$J80)),"",INDEX('Product Backlog'!$F$5:$F$504,$J80)))</f>
        <v/>
      </c>
      <c r="G80" s="47" t="str">
        <f>IF($J80="","",IF(ISBLANK(INDEX('Product Backlog'!$G$5:$G$504,$J80)),"",INDEX('Product Backlog'!$G$5:$G$504,$J80)))</f>
        <v/>
      </c>
      <c r="H80" s="48" t="str">
        <f>IF($J80="","",IF(ISBLANK(INDEX('Product Backlog'!$H$5:$H$504,$J80)),"",INDEX('Product Backlog'!$H$5:$H$504,$J80)))</f>
        <v/>
      </c>
      <c r="I80" s="48" t="str">
        <f>IF($J80="","",IF(ISBLANK(INDEX('Product Backlog'!$I$5:$I$504,$J80)),"",INDEX('Product Backlog'!$I$5:$I$504,$J80)))</f>
        <v/>
      </c>
      <c r="J80" t="str">
        <f>IFERROR(MATCH($B$4&amp;"-"&amp;ROWS($A$10:A80),'Product Backlog'!$J$5:$J$504,0),"")</f>
        <v/>
      </c>
    </row>
    <row r="81" spans="1:10" ht="21" customHeight="1" x14ac:dyDescent="0.2">
      <c r="A81" s="46" t="str">
        <f>IF($J81="","",IF(ISBLANK(INDEX('Product Backlog'!$A$5:$A$504,$J81)),"",INDEX('Product Backlog'!$A$5:$A$504,$J81)))</f>
        <v/>
      </c>
      <c r="B81" s="46" t="str">
        <f>IF($J81="","",IF(ISBLANK(INDEX('Product Backlog'!$B$5:$B$504,$J81)),"",INDEX('Product Backlog'!$B$5:$B$504,$J81)))</f>
        <v/>
      </c>
      <c r="C81" s="46" t="str">
        <f>IF($J81="","",IF(ISBLANK(INDEX('Product Backlog'!$C$5:$C$504,$J81)),"",INDEX('Product Backlog'!$C$5:$C$504,$J81)))</f>
        <v/>
      </c>
      <c r="D81" s="46" t="str">
        <f>IF($J81="","",IF(ISBLANK(INDEX('Product Backlog'!$D$5:$D$504,$J81)),"",INDEX('Product Backlog'!$D$5:$D$504,$J81)))</f>
        <v/>
      </c>
      <c r="E81" s="46" t="str">
        <f>IF($J81="","",IF(ISBLANK(INDEX('Product Backlog'!$E$5:$E$504,$J81)),"",INDEX('Product Backlog'!$E$5:$E$504,$J81)))</f>
        <v/>
      </c>
      <c r="F81" s="47" t="str">
        <f>IF($J81="","",IF(ISBLANK(INDEX('Product Backlog'!$F$5:$F$504,$J81)),"",INDEX('Product Backlog'!$F$5:$F$504,$J81)))</f>
        <v/>
      </c>
      <c r="G81" s="47" t="str">
        <f>IF($J81="","",IF(ISBLANK(INDEX('Product Backlog'!$G$5:$G$504,$J81)),"",INDEX('Product Backlog'!$G$5:$G$504,$J81)))</f>
        <v/>
      </c>
      <c r="H81" s="48" t="str">
        <f>IF($J81="","",IF(ISBLANK(INDEX('Product Backlog'!$H$5:$H$504,$J81)),"",INDEX('Product Backlog'!$H$5:$H$504,$J81)))</f>
        <v/>
      </c>
      <c r="I81" s="48" t="str">
        <f>IF($J81="","",IF(ISBLANK(INDEX('Product Backlog'!$I$5:$I$504,$J81)),"",INDEX('Product Backlog'!$I$5:$I$504,$J81)))</f>
        <v/>
      </c>
      <c r="J81" t="str">
        <f>IFERROR(MATCH($B$4&amp;"-"&amp;ROWS($A$10:A81),'Product Backlog'!$J$5:$J$504,0),"")</f>
        <v/>
      </c>
    </row>
    <row r="82" spans="1:10" ht="21" customHeight="1" x14ac:dyDescent="0.2">
      <c r="A82" s="46" t="str">
        <f>IF($J82="","",IF(ISBLANK(INDEX('Product Backlog'!$A$5:$A$504,$J82)),"",INDEX('Product Backlog'!$A$5:$A$504,$J82)))</f>
        <v/>
      </c>
      <c r="B82" s="46" t="str">
        <f>IF($J82="","",IF(ISBLANK(INDEX('Product Backlog'!$B$5:$B$504,$J82)),"",INDEX('Product Backlog'!$B$5:$B$504,$J82)))</f>
        <v/>
      </c>
      <c r="C82" s="46" t="str">
        <f>IF($J82="","",IF(ISBLANK(INDEX('Product Backlog'!$C$5:$C$504,$J82)),"",INDEX('Product Backlog'!$C$5:$C$504,$J82)))</f>
        <v/>
      </c>
      <c r="D82" s="46" t="str">
        <f>IF($J82="","",IF(ISBLANK(INDEX('Product Backlog'!$D$5:$D$504,$J82)),"",INDEX('Product Backlog'!$D$5:$D$504,$J82)))</f>
        <v/>
      </c>
      <c r="E82" s="46" t="str">
        <f>IF($J82="","",IF(ISBLANK(INDEX('Product Backlog'!$E$5:$E$504,$J82)),"",INDEX('Product Backlog'!$E$5:$E$504,$J82)))</f>
        <v/>
      </c>
      <c r="F82" s="47" t="str">
        <f>IF($J82="","",IF(ISBLANK(INDEX('Product Backlog'!$F$5:$F$504,$J82)),"",INDEX('Product Backlog'!$F$5:$F$504,$J82)))</f>
        <v/>
      </c>
      <c r="G82" s="47" t="str">
        <f>IF($J82="","",IF(ISBLANK(INDEX('Product Backlog'!$G$5:$G$504,$J82)),"",INDEX('Product Backlog'!$G$5:$G$504,$J82)))</f>
        <v/>
      </c>
      <c r="H82" s="48" t="str">
        <f>IF($J82="","",IF(ISBLANK(INDEX('Product Backlog'!$H$5:$H$504,$J82)),"",INDEX('Product Backlog'!$H$5:$H$504,$J82)))</f>
        <v/>
      </c>
      <c r="I82" s="48" t="str">
        <f>IF($J82="","",IF(ISBLANK(INDEX('Product Backlog'!$I$5:$I$504,$J82)),"",INDEX('Product Backlog'!$I$5:$I$504,$J82)))</f>
        <v/>
      </c>
      <c r="J82" t="str">
        <f>IFERROR(MATCH($B$4&amp;"-"&amp;ROWS($A$10:A82),'Product Backlog'!$J$5:$J$504,0),"")</f>
        <v/>
      </c>
    </row>
    <row r="83" spans="1:10" ht="21" customHeight="1" x14ac:dyDescent="0.2">
      <c r="A83" s="46" t="str">
        <f>IF($J83="","",IF(ISBLANK(INDEX('Product Backlog'!$A$5:$A$504,$J83)),"",INDEX('Product Backlog'!$A$5:$A$504,$J83)))</f>
        <v/>
      </c>
      <c r="B83" s="46" t="str">
        <f>IF($J83="","",IF(ISBLANK(INDEX('Product Backlog'!$B$5:$B$504,$J83)),"",INDEX('Product Backlog'!$B$5:$B$504,$J83)))</f>
        <v/>
      </c>
      <c r="C83" s="46" t="str">
        <f>IF($J83="","",IF(ISBLANK(INDEX('Product Backlog'!$C$5:$C$504,$J83)),"",INDEX('Product Backlog'!$C$5:$C$504,$J83)))</f>
        <v/>
      </c>
      <c r="D83" s="46" t="str">
        <f>IF($J83="","",IF(ISBLANK(INDEX('Product Backlog'!$D$5:$D$504,$J83)),"",INDEX('Product Backlog'!$D$5:$D$504,$J83)))</f>
        <v/>
      </c>
      <c r="E83" s="46" t="str">
        <f>IF($J83="","",IF(ISBLANK(INDEX('Product Backlog'!$E$5:$E$504,$J83)),"",INDEX('Product Backlog'!$E$5:$E$504,$J83)))</f>
        <v/>
      </c>
      <c r="F83" s="47" t="str">
        <f>IF($J83="","",IF(ISBLANK(INDEX('Product Backlog'!$F$5:$F$504,$J83)),"",INDEX('Product Backlog'!$F$5:$F$504,$J83)))</f>
        <v/>
      </c>
      <c r="G83" s="47" t="str">
        <f>IF($J83="","",IF(ISBLANK(INDEX('Product Backlog'!$G$5:$G$504,$J83)),"",INDEX('Product Backlog'!$G$5:$G$504,$J83)))</f>
        <v/>
      </c>
      <c r="H83" s="48" t="str">
        <f>IF($J83="","",IF(ISBLANK(INDEX('Product Backlog'!$H$5:$H$504,$J83)),"",INDEX('Product Backlog'!$H$5:$H$504,$J83)))</f>
        <v/>
      </c>
      <c r="I83" s="48" t="str">
        <f>IF($J83="","",IF(ISBLANK(INDEX('Product Backlog'!$I$5:$I$504,$J83)),"",INDEX('Product Backlog'!$I$5:$I$504,$J83)))</f>
        <v/>
      </c>
      <c r="J83" t="str">
        <f>IFERROR(MATCH($B$4&amp;"-"&amp;ROWS($A$10:A83),'Product Backlog'!$J$5:$J$504,0),"")</f>
        <v/>
      </c>
    </row>
    <row r="84" spans="1:10" ht="21" customHeight="1" x14ac:dyDescent="0.2">
      <c r="A84" s="46" t="str">
        <f>IF($J84="","",IF(ISBLANK(INDEX('Product Backlog'!$A$5:$A$504,$J84)),"",INDEX('Product Backlog'!$A$5:$A$504,$J84)))</f>
        <v/>
      </c>
      <c r="B84" s="46" t="str">
        <f>IF($J84="","",IF(ISBLANK(INDEX('Product Backlog'!$B$5:$B$504,$J84)),"",INDEX('Product Backlog'!$B$5:$B$504,$J84)))</f>
        <v/>
      </c>
      <c r="C84" s="46" t="str">
        <f>IF($J84="","",IF(ISBLANK(INDEX('Product Backlog'!$C$5:$C$504,$J84)),"",INDEX('Product Backlog'!$C$5:$C$504,$J84)))</f>
        <v/>
      </c>
      <c r="D84" s="46" t="str">
        <f>IF($J84="","",IF(ISBLANK(INDEX('Product Backlog'!$D$5:$D$504,$J84)),"",INDEX('Product Backlog'!$D$5:$D$504,$J84)))</f>
        <v/>
      </c>
      <c r="E84" s="46" t="str">
        <f>IF($J84="","",IF(ISBLANK(INDEX('Product Backlog'!$E$5:$E$504,$J84)),"",INDEX('Product Backlog'!$E$5:$E$504,$J84)))</f>
        <v/>
      </c>
      <c r="F84" s="47" t="str">
        <f>IF($J84="","",IF(ISBLANK(INDEX('Product Backlog'!$F$5:$F$504,$J84)),"",INDEX('Product Backlog'!$F$5:$F$504,$J84)))</f>
        <v/>
      </c>
      <c r="G84" s="47" t="str">
        <f>IF($J84="","",IF(ISBLANK(INDEX('Product Backlog'!$G$5:$G$504,$J84)),"",INDEX('Product Backlog'!$G$5:$G$504,$J84)))</f>
        <v/>
      </c>
      <c r="H84" s="48" t="str">
        <f>IF($J84="","",IF(ISBLANK(INDEX('Product Backlog'!$H$5:$H$504,$J84)),"",INDEX('Product Backlog'!$H$5:$H$504,$J84)))</f>
        <v/>
      </c>
      <c r="I84" s="48" t="str">
        <f>IF($J84="","",IF(ISBLANK(INDEX('Product Backlog'!$I$5:$I$504,$J84)),"",INDEX('Product Backlog'!$I$5:$I$504,$J84)))</f>
        <v/>
      </c>
      <c r="J84" t="str">
        <f>IFERROR(MATCH($B$4&amp;"-"&amp;ROWS($A$10:A84),'Product Backlog'!$J$5:$J$504,0),"")</f>
        <v/>
      </c>
    </row>
    <row r="85" spans="1:10" ht="21" customHeight="1" x14ac:dyDescent="0.2">
      <c r="A85" s="46" t="str">
        <f>IF($J85="","",IF(ISBLANK(INDEX('Product Backlog'!$A$5:$A$504,$J85)),"",INDEX('Product Backlog'!$A$5:$A$504,$J85)))</f>
        <v/>
      </c>
      <c r="B85" s="46" t="str">
        <f>IF($J85="","",IF(ISBLANK(INDEX('Product Backlog'!$B$5:$B$504,$J85)),"",INDEX('Product Backlog'!$B$5:$B$504,$J85)))</f>
        <v/>
      </c>
      <c r="C85" s="46" t="str">
        <f>IF($J85="","",IF(ISBLANK(INDEX('Product Backlog'!$C$5:$C$504,$J85)),"",INDEX('Product Backlog'!$C$5:$C$504,$J85)))</f>
        <v/>
      </c>
      <c r="D85" s="46" t="str">
        <f>IF($J85="","",IF(ISBLANK(INDEX('Product Backlog'!$D$5:$D$504,$J85)),"",INDEX('Product Backlog'!$D$5:$D$504,$J85)))</f>
        <v/>
      </c>
      <c r="E85" s="46" t="str">
        <f>IF($J85="","",IF(ISBLANK(INDEX('Product Backlog'!$E$5:$E$504,$J85)),"",INDEX('Product Backlog'!$E$5:$E$504,$J85)))</f>
        <v/>
      </c>
      <c r="F85" s="47" t="str">
        <f>IF($J85="","",IF(ISBLANK(INDEX('Product Backlog'!$F$5:$F$504,$J85)),"",INDEX('Product Backlog'!$F$5:$F$504,$J85)))</f>
        <v/>
      </c>
      <c r="G85" s="47" t="str">
        <f>IF($J85="","",IF(ISBLANK(INDEX('Product Backlog'!$G$5:$G$504,$J85)),"",INDEX('Product Backlog'!$G$5:$G$504,$J85)))</f>
        <v/>
      </c>
      <c r="H85" s="48" t="str">
        <f>IF($J85="","",IF(ISBLANK(INDEX('Product Backlog'!$H$5:$H$504,$J85)),"",INDEX('Product Backlog'!$H$5:$H$504,$J85)))</f>
        <v/>
      </c>
      <c r="I85" s="48" t="str">
        <f>IF($J85="","",IF(ISBLANK(INDEX('Product Backlog'!$I$5:$I$504,$J85)),"",INDEX('Product Backlog'!$I$5:$I$504,$J85)))</f>
        <v/>
      </c>
      <c r="J85" t="str">
        <f>IFERROR(MATCH($B$4&amp;"-"&amp;ROWS($A$10:A85),'Product Backlog'!$J$5:$J$504,0),"")</f>
        <v/>
      </c>
    </row>
    <row r="86" spans="1:10" ht="21" customHeight="1" x14ac:dyDescent="0.2">
      <c r="A86" s="46" t="str">
        <f>IF($J86="","",IF(ISBLANK(INDEX('Product Backlog'!$A$5:$A$504,$J86)),"",INDEX('Product Backlog'!$A$5:$A$504,$J86)))</f>
        <v/>
      </c>
      <c r="B86" s="46" t="str">
        <f>IF($J86="","",IF(ISBLANK(INDEX('Product Backlog'!$B$5:$B$504,$J86)),"",INDEX('Product Backlog'!$B$5:$B$504,$J86)))</f>
        <v/>
      </c>
      <c r="C86" s="46" t="str">
        <f>IF($J86="","",IF(ISBLANK(INDEX('Product Backlog'!$C$5:$C$504,$J86)),"",INDEX('Product Backlog'!$C$5:$C$504,$J86)))</f>
        <v/>
      </c>
      <c r="D86" s="46" t="str">
        <f>IF($J86="","",IF(ISBLANK(INDEX('Product Backlog'!$D$5:$D$504,$J86)),"",INDEX('Product Backlog'!$D$5:$D$504,$J86)))</f>
        <v/>
      </c>
      <c r="E86" s="46" t="str">
        <f>IF($J86="","",IF(ISBLANK(INDEX('Product Backlog'!$E$5:$E$504,$J86)),"",INDEX('Product Backlog'!$E$5:$E$504,$J86)))</f>
        <v/>
      </c>
      <c r="F86" s="47" t="str">
        <f>IF($J86="","",IF(ISBLANK(INDEX('Product Backlog'!$F$5:$F$504,$J86)),"",INDEX('Product Backlog'!$F$5:$F$504,$J86)))</f>
        <v/>
      </c>
      <c r="G86" s="47" t="str">
        <f>IF($J86="","",IF(ISBLANK(INDEX('Product Backlog'!$G$5:$G$504,$J86)),"",INDEX('Product Backlog'!$G$5:$G$504,$J86)))</f>
        <v/>
      </c>
      <c r="H86" s="48" t="str">
        <f>IF($J86="","",IF(ISBLANK(INDEX('Product Backlog'!$H$5:$H$504,$J86)),"",INDEX('Product Backlog'!$H$5:$H$504,$J86)))</f>
        <v/>
      </c>
      <c r="I86" s="48" t="str">
        <f>IF($J86="","",IF(ISBLANK(INDEX('Product Backlog'!$I$5:$I$504,$J86)),"",INDEX('Product Backlog'!$I$5:$I$504,$J86)))</f>
        <v/>
      </c>
      <c r="J86" t="str">
        <f>IFERROR(MATCH($B$4&amp;"-"&amp;ROWS($A$10:A86),'Product Backlog'!$J$5:$J$504,0),"")</f>
        <v/>
      </c>
    </row>
    <row r="87" spans="1:10" ht="21" customHeight="1" x14ac:dyDescent="0.2">
      <c r="A87" s="46" t="str">
        <f>IF($J87="","",IF(ISBLANK(INDEX('Product Backlog'!$A$5:$A$504,$J87)),"",INDEX('Product Backlog'!$A$5:$A$504,$J87)))</f>
        <v/>
      </c>
      <c r="B87" s="46" t="str">
        <f>IF($J87="","",IF(ISBLANK(INDEX('Product Backlog'!$B$5:$B$504,$J87)),"",INDEX('Product Backlog'!$B$5:$B$504,$J87)))</f>
        <v/>
      </c>
      <c r="C87" s="46" t="str">
        <f>IF($J87="","",IF(ISBLANK(INDEX('Product Backlog'!$C$5:$C$504,$J87)),"",INDEX('Product Backlog'!$C$5:$C$504,$J87)))</f>
        <v/>
      </c>
      <c r="D87" s="46" t="str">
        <f>IF($J87="","",IF(ISBLANK(INDEX('Product Backlog'!$D$5:$D$504,$J87)),"",INDEX('Product Backlog'!$D$5:$D$504,$J87)))</f>
        <v/>
      </c>
      <c r="E87" s="46" t="str">
        <f>IF($J87="","",IF(ISBLANK(INDEX('Product Backlog'!$E$5:$E$504,$J87)),"",INDEX('Product Backlog'!$E$5:$E$504,$J87)))</f>
        <v/>
      </c>
      <c r="F87" s="47" t="str">
        <f>IF($J87="","",IF(ISBLANK(INDEX('Product Backlog'!$F$5:$F$504,$J87)),"",INDEX('Product Backlog'!$F$5:$F$504,$J87)))</f>
        <v/>
      </c>
      <c r="G87" s="47" t="str">
        <f>IF($J87="","",IF(ISBLANK(INDEX('Product Backlog'!$G$5:$G$504,$J87)),"",INDEX('Product Backlog'!$G$5:$G$504,$J87)))</f>
        <v/>
      </c>
      <c r="H87" s="48" t="str">
        <f>IF($J87="","",IF(ISBLANK(INDEX('Product Backlog'!$H$5:$H$504,$J87)),"",INDEX('Product Backlog'!$H$5:$H$504,$J87)))</f>
        <v/>
      </c>
      <c r="I87" s="48" t="str">
        <f>IF($J87="","",IF(ISBLANK(INDEX('Product Backlog'!$I$5:$I$504,$J87)),"",INDEX('Product Backlog'!$I$5:$I$504,$J87)))</f>
        <v/>
      </c>
      <c r="J87" t="str">
        <f>IFERROR(MATCH($B$4&amp;"-"&amp;ROWS($A$10:A87),'Product Backlog'!$J$5:$J$504,0),"")</f>
        <v/>
      </c>
    </row>
    <row r="88" spans="1:10" ht="21" customHeight="1" x14ac:dyDescent="0.2">
      <c r="A88" s="46" t="str">
        <f>IF($J88="","",IF(ISBLANK(INDEX('Product Backlog'!$A$5:$A$504,$J88)),"",INDEX('Product Backlog'!$A$5:$A$504,$J88)))</f>
        <v/>
      </c>
      <c r="B88" s="46" t="str">
        <f>IF($J88="","",IF(ISBLANK(INDEX('Product Backlog'!$B$5:$B$504,$J88)),"",INDEX('Product Backlog'!$B$5:$B$504,$J88)))</f>
        <v/>
      </c>
      <c r="C88" s="46" t="str">
        <f>IF($J88="","",IF(ISBLANK(INDEX('Product Backlog'!$C$5:$C$504,$J88)),"",INDEX('Product Backlog'!$C$5:$C$504,$J88)))</f>
        <v/>
      </c>
      <c r="D88" s="46" t="str">
        <f>IF($J88="","",IF(ISBLANK(INDEX('Product Backlog'!$D$5:$D$504,$J88)),"",INDEX('Product Backlog'!$D$5:$D$504,$J88)))</f>
        <v/>
      </c>
      <c r="E88" s="46" t="str">
        <f>IF($J88="","",IF(ISBLANK(INDEX('Product Backlog'!$E$5:$E$504,$J88)),"",INDEX('Product Backlog'!$E$5:$E$504,$J88)))</f>
        <v/>
      </c>
      <c r="F88" s="47" t="str">
        <f>IF($J88="","",IF(ISBLANK(INDEX('Product Backlog'!$F$5:$F$504,$J88)),"",INDEX('Product Backlog'!$F$5:$F$504,$J88)))</f>
        <v/>
      </c>
      <c r="G88" s="47" t="str">
        <f>IF($J88="","",IF(ISBLANK(INDEX('Product Backlog'!$G$5:$G$504,$J88)),"",INDEX('Product Backlog'!$G$5:$G$504,$J88)))</f>
        <v/>
      </c>
      <c r="H88" s="48" t="str">
        <f>IF($J88="","",IF(ISBLANK(INDEX('Product Backlog'!$H$5:$H$504,$J88)),"",INDEX('Product Backlog'!$H$5:$H$504,$J88)))</f>
        <v/>
      </c>
      <c r="I88" s="48" t="str">
        <f>IF($J88="","",IF(ISBLANK(INDEX('Product Backlog'!$I$5:$I$504,$J88)),"",INDEX('Product Backlog'!$I$5:$I$504,$J88)))</f>
        <v/>
      </c>
      <c r="J88" t="str">
        <f>IFERROR(MATCH($B$4&amp;"-"&amp;ROWS($A$10:A88),'Product Backlog'!$J$5:$J$504,0),"")</f>
        <v/>
      </c>
    </row>
    <row r="89" spans="1:10" ht="21" customHeight="1" x14ac:dyDescent="0.2">
      <c r="A89" s="46" t="str">
        <f>IF($J89="","",IF(ISBLANK(INDEX('Product Backlog'!$A$5:$A$504,$J89)),"",INDEX('Product Backlog'!$A$5:$A$504,$J89)))</f>
        <v/>
      </c>
      <c r="B89" s="46" t="str">
        <f>IF($J89="","",IF(ISBLANK(INDEX('Product Backlog'!$B$5:$B$504,$J89)),"",INDEX('Product Backlog'!$B$5:$B$504,$J89)))</f>
        <v/>
      </c>
      <c r="C89" s="46" t="str">
        <f>IF($J89="","",IF(ISBLANK(INDEX('Product Backlog'!$C$5:$C$504,$J89)),"",INDEX('Product Backlog'!$C$5:$C$504,$J89)))</f>
        <v/>
      </c>
      <c r="D89" s="46" t="str">
        <f>IF($J89="","",IF(ISBLANK(INDEX('Product Backlog'!$D$5:$D$504,$J89)),"",INDEX('Product Backlog'!$D$5:$D$504,$J89)))</f>
        <v/>
      </c>
      <c r="E89" s="46" t="str">
        <f>IF($J89="","",IF(ISBLANK(INDEX('Product Backlog'!$E$5:$E$504,$J89)),"",INDEX('Product Backlog'!$E$5:$E$504,$J89)))</f>
        <v/>
      </c>
      <c r="F89" s="47" t="str">
        <f>IF($J89="","",IF(ISBLANK(INDEX('Product Backlog'!$F$5:$F$504,$J89)),"",INDEX('Product Backlog'!$F$5:$F$504,$J89)))</f>
        <v/>
      </c>
      <c r="G89" s="47" t="str">
        <f>IF($J89="","",IF(ISBLANK(INDEX('Product Backlog'!$G$5:$G$504,$J89)),"",INDEX('Product Backlog'!$G$5:$G$504,$J89)))</f>
        <v/>
      </c>
      <c r="H89" s="48" t="str">
        <f>IF($J89="","",IF(ISBLANK(INDEX('Product Backlog'!$H$5:$H$504,$J89)),"",INDEX('Product Backlog'!$H$5:$H$504,$J89)))</f>
        <v/>
      </c>
      <c r="I89" s="48" t="str">
        <f>IF($J89="","",IF(ISBLANK(INDEX('Product Backlog'!$I$5:$I$504,$J89)),"",INDEX('Product Backlog'!$I$5:$I$504,$J89)))</f>
        <v/>
      </c>
      <c r="J89" t="str">
        <f>IFERROR(MATCH($B$4&amp;"-"&amp;ROWS($A$10:A89),'Product Backlog'!$J$5:$J$504,0),"")</f>
        <v/>
      </c>
    </row>
    <row r="90" spans="1:10" ht="21" customHeight="1" x14ac:dyDescent="0.2">
      <c r="A90" s="46" t="str">
        <f>IF($J90="","",IF(ISBLANK(INDEX('Product Backlog'!$A$5:$A$504,$J90)),"",INDEX('Product Backlog'!$A$5:$A$504,$J90)))</f>
        <v/>
      </c>
      <c r="B90" s="46" t="str">
        <f>IF($J90="","",IF(ISBLANK(INDEX('Product Backlog'!$B$5:$B$504,$J90)),"",INDEX('Product Backlog'!$B$5:$B$504,$J90)))</f>
        <v/>
      </c>
      <c r="C90" s="46" t="str">
        <f>IF($J90="","",IF(ISBLANK(INDEX('Product Backlog'!$C$5:$C$504,$J90)),"",INDEX('Product Backlog'!$C$5:$C$504,$J90)))</f>
        <v/>
      </c>
      <c r="D90" s="46" t="str">
        <f>IF($J90="","",IF(ISBLANK(INDEX('Product Backlog'!$D$5:$D$504,$J90)),"",INDEX('Product Backlog'!$D$5:$D$504,$J90)))</f>
        <v/>
      </c>
      <c r="E90" s="46" t="str">
        <f>IF($J90="","",IF(ISBLANK(INDEX('Product Backlog'!$E$5:$E$504,$J90)),"",INDEX('Product Backlog'!$E$5:$E$504,$J90)))</f>
        <v/>
      </c>
      <c r="F90" s="47" t="str">
        <f>IF($J90="","",IF(ISBLANK(INDEX('Product Backlog'!$F$5:$F$504,$J90)),"",INDEX('Product Backlog'!$F$5:$F$504,$J90)))</f>
        <v/>
      </c>
      <c r="G90" s="47" t="str">
        <f>IF($J90="","",IF(ISBLANK(INDEX('Product Backlog'!$G$5:$G$504,$J90)),"",INDEX('Product Backlog'!$G$5:$G$504,$J90)))</f>
        <v/>
      </c>
      <c r="H90" s="48" t="str">
        <f>IF($J90="","",IF(ISBLANK(INDEX('Product Backlog'!$H$5:$H$504,$J90)),"",INDEX('Product Backlog'!$H$5:$H$504,$J90)))</f>
        <v/>
      </c>
      <c r="I90" s="48" t="str">
        <f>IF($J90="","",IF(ISBLANK(INDEX('Product Backlog'!$I$5:$I$504,$J90)),"",INDEX('Product Backlog'!$I$5:$I$504,$J90)))</f>
        <v/>
      </c>
      <c r="J90" t="str">
        <f>IFERROR(MATCH($B$4&amp;"-"&amp;ROWS($A$10:A90),'Product Backlog'!$J$5:$J$504,0),"")</f>
        <v/>
      </c>
    </row>
    <row r="91" spans="1:10" ht="21" customHeight="1" x14ac:dyDescent="0.2">
      <c r="A91" s="46" t="str">
        <f>IF($J91="","",IF(ISBLANK(INDEX('Product Backlog'!$A$5:$A$504,$J91)),"",INDEX('Product Backlog'!$A$5:$A$504,$J91)))</f>
        <v/>
      </c>
      <c r="B91" s="46" t="str">
        <f>IF($J91="","",IF(ISBLANK(INDEX('Product Backlog'!$B$5:$B$504,$J91)),"",INDEX('Product Backlog'!$B$5:$B$504,$J91)))</f>
        <v/>
      </c>
      <c r="C91" s="46" t="str">
        <f>IF($J91="","",IF(ISBLANK(INDEX('Product Backlog'!$C$5:$C$504,$J91)),"",INDEX('Product Backlog'!$C$5:$C$504,$J91)))</f>
        <v/>
      </c>
      <c r="D91" s="46" t="str">
        <f>IF($J91="","",IF(ISBLANK(INDEX('Product Backlog'!$D$5:$D$504,$J91)),"",INDEX('Product Backlog'!$D$5:$D$504,$J91)))</f>
        <v/>
      </c>
      <c r="E91" s="46" t="str">
        <f>IF($J91="","",IF(ISBLANK(INDEX('Product Backlog'!$E$5:$E$504,$J91)),"",INDEX('Product Backlog'!$E$5:$E$504,$J91)))</f>
        <v/>
      </c>
      <c r="F91" s="47" t="str">
        <f>IF($J91="","",IF(ISBLANK(INDEX('Product Backlog'!$F$5:$F$504,$J91)),"",INDEX('Product Backlog'!$F$5:$F$504,$J91)))</f>
        <v/>
      </c>
      <c r="G91" s="47" t="str">
        <f>IF($J91="","",IF(ISBLANK(INDEX('Product Backlog'!$G$5:$G$504,$J91)),"",INDEX('Product Backlog'!$G$5:$G$504,$J91)))</f>
        <v/>
      </c>
      <c r="H91" s="48" t="str">
        <f>IF($J91="","",IF(ISBLANK(INDEX('Product Backlog'!$H$5:$H$504,$J91)),"",INDEX('Product Backlog'!$H$5:$H$504,$J91)))</f>
        <v/>
      </c>
      <c r="I91" s="48" t="str">
        <f>IF($J91="","",IF(ISBLANK(INDEX('Product Backlog'!$I$5:$I$504,$J91)),"",INDEX('Product Backlog'!$I$5:$I$504,$J91)))</f>
        <v/>
      </c>
      <c r="J91" t="str">
        <f>IFERROR(MATCH($B$4&amp;"-"&amp;ROWS($A$10:A91),'Product Backlog'!$J$5:$J$504,0),"")</f>
        <v/>
      </c>
    </row>
    <row r="92" spans="1:10" ht="21" customHeight="1" x14ac:dyDescent="0.2">
      <c r="A92" s="46" t="str">
        <f>IF($J92="","",IF(ISBLANK(INDEX('Product Backlog'!$A$5:$A$504,$J92)),"",INDEX('Product Backlog'!$A$5:$A$504,$J92)))</f>
        <v/>
      </c>
      <c r="B92" s="46" t="str">
        <f>IF($J92="","",IF(ISBLANK(INDEX('Product Backlog'!$B$5:$B$504,$J92)),"",INDEX('Product Backlog'!$B$5:$B$504,$J92)))</f>
        <v/>
      </c>
      <c r="C92" s="46" t="str">
        <f>IF($J92="","",IF(ISBLANK(INDEX('Product Backlog'!$C$5:$C$504,$J92)),"",INDEX('Product Backlog'!$C$5:$C$504,$J92)))</f>
        <v/>
      </c>
      <c r="D92" s="46" t="str">
        <f>IF($J92="","",IF(ISBLANK(INDEX('Product Backlog'!$D$5:$D$504,$J92)),"",INDEX('Product Backlog'!$D$5:$D$504,$J92)))</f>
        <v/>
      </c>
      <c r="E92" s="46" t="str">
        <f>IF($J92="","",IF(ISBLANK(INDEX('Product Backlog'!$E$5:$E$504,$J92)),"",INDEX('Product Backlog'!$E$5:$E$504,$J92)))</f>
        <v/>
      </c>
      <c r="F92" s="47" t="str">
        <f>IF($J92="","",IF(ISBLANK(INDEX('Product Backlog'!$F$5:$F$504,$J92)),"",INDEX('Product Backlog'!$F$5:$F$504,$J92)))</f>
        <v/>
      </c>
      <c r="G92" s="47" t="str">
        <f>IF($J92="","",IF(ISBLANK(INDEX('Product Backlog'!$G$5:$G$504,$J92)),"",INDEX('Product Backlog'!$G$5:$G$504,$J92)))</f>
        <v/>
      </c>
      <c r="H92" s="48" t="str">
        <f>IF($J92="","",IF(ISBLANK(INDEX('Product Backlog'!$H$5:$H$504,$J92)),"",INDEX('Product Backlog'!$H$5:$H$504,$J92)))</f>
        <v/>
      </c>
      <c r="I92" s="48" t="str">
        <f>IF($J92="","",IF(ISBLANK(INDEX('Product Backlog'!$I$5:$I$504,$J92)),"",INDEX('Product Backlog'!$I$5:$I$504,$J92)))</f>
        <v/>
      </c>
      <c r="J92" t="str">
        <f>IFERROR(MATCH($B$4&amp;"-"&amp;ROWS($A$10:A92),'Product Backlog'!$J$5:$J$504,0),"")</f>
        <v/>
      </c>
    </row>
    <row r="93" spans="1:10" ht="21" customHeight="1" x14ac:dyDescent="0.2">
      <c r="A93" s="46" t="str">
        <f>IF($J93="","",IF(ISBLANK(INDEX('Product Backlog'!$A$5:$A$504,$J93)),"",INDEX('Product Backlog'!$A$5:$A$504,$J93)))</f>
        <v/>
      </c>
      <c r="B93" s="46" t="str">
        <f>IF($J93="","",IF(ISBLANK(INDEX('Product Backlog'!$B$5:$B$504,$J93)),"",INDEX('Product Backlog'!$B$5:$B$504,$J93)))</f>
        <v/>
      </c>
      <c r="C93" s="46" t="str">
        <f>IF($J93="","",IF(ISBLANK(INDEX('Product Backlog'!$C$5:$C$504,$J93)),"",INDEX('Product Backlog'!$C$5:$C$504,$J93)))</f>
        <v/>
      </c>
      <c r="D93" s="46" t="str">
        <f>IF($J93="","",IF(ISBLANK(INDEX('Product Backlog'!$D$5:$D$504,$J93)),"",INDEX('Product Backlog'!$D$5:$D$504,$J93)))</f>
        <v/>
      </c>
      <c r="E93" s="46" t="str">
        <f>IF($J93="","",IF(ISBLANK(INDEX('Product Backlog'!$E$5:$E$504,$J93)),"",INDEX('Product Backlog'!$E$5:$E$504,$J93)))</f>
        <v/>
      </c>
      <c r="F93" s="47" t="str">
        <f>IF($J93="","",IF(ISBLANK(INDEX('Product Backlog'!$F$5:$F$504,$J93)),"",INDEX('Product Backlog'!$F$5:$F$504,$J93)))</f>
        <v/>
      </c>
      <c r="G93" s="47" t="str">
        <f>IF($J93="","",IF(ISBLANK(INDEX('Product Backlog'!$G$5:$G$504,$J93)),"",INDEX('Product Backlog'!$G$5:$G$504,$J93)))</f>
        <v/>
      </c>
      <c r="H93" s="48" t="str">
        <f>IF($J93="","",IF(ISBLANK(INDEX('Product Backlog'!$H$5:$H$504,$J93)),"",INDEX('Product Backlog'!$H$5:$H$504,$J93)))</f>
        <v/>
      </c>
      <c r="I93" s="48" t="str">
        <f>IF($J93="","",IF(ISBLANK(INDEX('Product Backlog'!$I$5:$I$504,$J93)),"",INDEX('Product Backlog'!$I$5:$I$504,$J93)))</f>
        <v/>
      </c>
      <c r="J93" t="str">
        <f>IFERROR(MATCH($B$4&amp;"-"&amp;ROWS($A$10:A93),'Product Backlog'!$J$5:$J$504,0),"")</f>
        <v/>
      </c>
    </row>
    <row r="94" spans="1:10" ht="21" customHeight="1" x14ac:dyDescent="0.2">
      <c r="A94" s="46" t="str">
        <f>IF($J94="","",IF(ISBLANK(INDEX('Product Backlog'!$A$5:$A$504,$J94)),"",INDEX('Product Backlog'!$A$5:$A$504,$J94)))</f>
        <v/>
      </c>
      <c r="B94" s="46" t="str">
        <f>IF($J94="","",IF(ISBLANK(INDEX('Product Backlog'!$B$5:$B$504,$J94)),"",INDEX('Product Backlog'!$B$5:$B$504,$J94)))</f>
        <v/>
      </c>
      <c r="C94" s="46" t="str">
        <f>IF($J94="","",IF(ISBLANK(INDEX('Product Backlog'!$C$5:$C$504,$J94)),"",INDEX('Product Backlog'!$C$5:$C$504,$J94)))</f>
        <v/>
      </c>
      <c r="D94" s="46" t="str">
        <f>IF($J94="","",IF(ISBLANK(INDEX('Product Backlog'!$D$5:$D$504,$J94)),"",INDEX('Product Backlog'!$D$5:$D$504,$J94)))</f>
        <v/>
      </c>
      <c r="E94" s="46" t="str">
        <f>IF($J94="","",IF(ISBLANK(INDEX('Product Backlog'!$E$5:$E$504,$J94)),"",INDEX('Product Backlog'!$E$5:$E$504,$J94)))</f>
        <v/>
      </c>
      <c r="F94" s="47" t="str">
        <f>IF($J94="","",IF(ISBLANK(INDEX('Product Backlog'!$F$5:$F$504,$J94)),"",INDEX('Product Backlog'!$F$5:$F$504,$J94)))</f>
        <v/>
      </c>
      <c r="G94" s="47" t="str">
        <f>IF($J94="","",IF(ISBLANK(INDEX('Product Backlog'!$G$5:$G$504,$J94)),"",INDEX('Product Backlog'!$G$5:$G$504,$J94)))</f>
        <v/>
      </c>
      <c r="H94" s="48" t="str">
        <f>IF($J94="","",IF(ISBLANK(INDEX('Product Backlog'!$H$5:$H$504,$J94)),"",INDEX('Product Backlog'!$H$5:$H$504,$J94)))</f>
        <v/>
      </c>
      <c r="I94" s="48" t="str">
        <f>IF($J94="","",IF(ISBLANK(INDEX('Product Backlog'!$I$5:$I$504,$J94)),"",INDEX('Product Backlog'!$I$5:$I$504,$J94)))</f>
        <v/>
      </c>
      <c r="J94" t="str">
        <f>IFERROR(MATCH($B$4&amp;"-"&amp;ROWS($A$10:A94),'Product Backlog'!$J$5:$J$504,0),"")</f>
        <v/>
      </c>
    </row>
    <row r="95" spans="1:10" ht="21" customHeight="1" x14ac:dyDescent="0.2">
      <c r="A95" s="46" t="str">
        <f>IF($J95="","",IF(ISBLANK(INDEX('Product Backlog'!$A$5:$A$504,$J95)),"",INDEX('Product Backlog'!$A$5:$A$504,$J95)))</f>
        <v/>
      </c>
      <c r="B95" s="46" t="str">
        <f>IF($J95="","",IF(ISBLANK(INDEX('Product Backlog'!$B$5:$B$504,$J95)),"",INDEX('Product Backlog'!$B$5:$B$504,$J95)))</f>
        <v/>
      </c>
      <c r="C95" s="46" t="str">
        <f>IF($J95="","",IF(ISBLANK(INDEX('Product Backlog'!$C$5:$C$504,$J95)),"",INDEX('Product Backlog'!$C$5:$C$504,$J95)))</f>
        <v/>
      </c>
      <c r="D95" s="46" t="str">
        <f>IF($J95="","",IF(ISBLANK(INDEX('Product Backlog'!$D$5:$D$504,$J95)),"",INDEX('Product Backlog'!$D$5:$D$504,$J95)))</f>
        <v/>
      </c>
      <c r="E95" s="46" t="str">
        <f>IF($J95="","",IF(ISBLANK(INDEX('Product Backlog'!$E$5:$E$504,$J95)),"",INDEX('Product Backlog'!$E$5:$E$504,$J95)))</f>
        <v/>
      </c>
      <c r="F95" s="47" t="str">
        <f>IF($J95="","",IF(ISBLANK(INDEX('Product Backlog'!$F$5:$F$504,$J95)),"",INDEX('Product Backlog'!$F$5:$F$504,$J95)))</f>
        <v/>
      </c>
      <c r="G95" s="47" t="str">
        <f>IF($J95="","",IF(ISBLANK(INDEX('Product Backlog'!$G$5:$G$504,$J95)),"",INDEX('Product Backlog'!$G$5:$G$504,$J95)))</f>
        <v/>
      </c>
      <c r="H95" s="48" t="str">
        <f>IF($J95="","",IF(ISBLANK(INDEX('Product Backlog'!$H$5:$H$504,$J95)),"",INDEX('Product Backlog'!$H$5:$H$504,$J95)))</f>
        <v/>
      </c>
      <c r="I95" s="48" t="str">
        <f>IF($J95="","",IF(ISBLANK(INDEX('Product Backlog'!$I$5:$I$504,$J95)),"",INDEX('Product Backlog'!$I$5:$I$504,$J95)))</f>
        <v/>
      </c>
      <c r="J95" t="str">
        <f>IFERROR(MATCH($B$4&amp;"-"&amp;ROWS($A$10:A95),'Product Backlog'!$J$5:$J$504,0),"")</f>
        <v/>
      </c>
    </row>
    <row r="96" spans="1:10" ht="21" customHeight="1" x14ac:dyDescent="0.2">
      <c r="A96" s="46" t="str">
        <f>IF($J96="","",IF(ISBLANK(INDEX('Product Backlog'!$A$5:$A$504,$J96)),"",INDEX('Product Backlog'!$A$5:$A$504,$J96)))</f>
        <v/>
      </c>
      <c r="B96" s="46" t="str">
        <f>IF($J96="","",IF(ISBLANK(INDEX('Product Backlog'!$B$5:$B$504,$J96)),"",INDEX('Product Backlog'!$B$5:$B$504,$J96)))</f>
        <v/>
      </c>
      <c r="C96" s="46" t="str">
        <f>IF($J96="","",IF(ISBLANK(INDEX('Product Backlog'!$C$5:$C$504,$J96)),"",INDEX('Product Backlog'!$C$5:$C$504,$J96)))</f>
        <v/>
      </c>
      <c r="D96" s="46" t="str">
        <f>IF($J96="","",IF(ISBLANK(INDEX('Product Backlog'!$D$5:$D$504,$J96)),"",INDEX('Product Backlog'!$D$5:$D$504,$J96)))</f>
        <v/>
      </c>
      <c r="E96" s="46" t="str">
        <f>IF($J96="","",IF(ISBLANK(INDEX('Product Backlog'!$E$5:$E$504,$J96)),"",INDEX('Product Backlog'!$E$5:$E$504,$J96)))</f>
        <v/>
      </c>
      <c r="F96" s="47" t="str">
        <f>IF($J96="","",IF(ISBLANK(INDEX('Product Backlog'!$F$5:$F$504,$J96)),"",INDEX('Product Backlog'!$F$5:$F$504,$J96)))</f>
        <v/>
      </c>
      <c r="G96" s="47" t="str">
        <f>IF($J96="","",IF(ISBLANK(INDEX('Product Backlog'!$G$5:$G$504,$J96)),"",INDEX('Product Backlog'!$G$5:$G$504,$J96)))</f>
        <v/>
      </c>
      <c r="H96" s="48" t="str">
        <f>IF($J96="","",IF(ISBLANK(INDEX('Product Backlog'!$H$5:$H$504,$J96)),"",INDEX('Product Backlog'!$H$5:$H$504,$J96)))</f>
        <v/>
      </c>
      <c r="I96" s="48" t="str">
        <f>IF($J96="","",IF(ISBLANK(INDEX('Product Backlog'!$I$5:$I$504,$J96)),"",INDEX('Product Backlog'!$I$5:$I$504,$J96)))</f>
        <v/>
      </c>
      <c r="J96" t="str">
        <f>IFERROR(MATCH($B$4&amp;"-"&amp;ROWS($A$10:A96),'Product Backlog'!$J$5:$J$504,0),"")</f>
        <v/>
      </c>
    </row>
    <row r="97" spans="1:10" ht="21" customHeight="1" x14ac:dyDescent="0.2">
      <c r="A97" s="46" t="str">
        <f>IF($J97="","",IF(ISBLANK(INDEX('Product Backlog'!$A$5:$A$504,$J97)),"",INDEX('Product Backlog'!$A$5:$A$504,$J97)))</f>
        <v/>
      </c>
      <c r="B97" s="46" t="str">
        <f>IF($J97="","",IF(ISBLANK(INDEX('Product Backlog'!$B$5:$B$504,$J97)),"",INDEX('Product Backlog'!$B$5:$B$504,$J97)))</f>
        <v/>
      </c>
      <c r="C97" s="46" t="str">
        <f>IF($J97="","",IF(ISBLANK(INDEX('Product Backlog'!$C$5:$C$504,$J97)),"",INDEX('Product Backlog'!$C$5:$C$504,$J97)))</f>
        <v/>
      </c>
      <c r="D97" s="46" t="str">
        <f>IF($J97="","",IF(ISBLANK(INDEX('Product Backlog'!$D$5:$D$504,$J97)),"",INDEX('Product Backlog'!$D$5:$D$504,$J97)))</f>
        <v/>
      </c>
      <c r="E97" s="46" t="str">
        <f>IF($J97="","",IF(ISBLANK(INDEX('Product Backlog'!$E$5:$E$504,$J97)),"",INDEX('Product Backlog'!$E$5:$E$504,$J97)))</f>
        <v/>
      </c>
      <c r="F97" s="47" t="str">
        <f>IF($J97="","",IF(ISBLANK(INDEX('Product Backlog'!$F$5:$F$504,$J97)),"",INDEX('Product Backlog'!$F$5:$F$504,$J97)))</f>
        <v/>
      </c>
      <c r="G97" s="47" t="str">
        <f>IF($J97="","",IF(ISBLANK(INDEX('Product Backlog'!$G$5:$G$504,$J97)),"",INDEX('Product Backlog'!$G$5:$G$504,$J97)))</f>
        <v/>
      </c>
      <c r="H97" s="48" t="str">
        <f>IF($J97="","",IF(ISBLANK(INDEX('Product Backlog'!$H$5:$H$504,$J97)),"",INDEX('Product Backlog'!$H$5:$H$504,$J97)))</f>
        <v/>
      </c>
      <c r="I97" s="48" t="str">
        <f>IF($J97="","",IF(ISBLANK(INDEX('Product Backlog'!$I$5:$I$504,$J97)),"",INDEX('Product Backlog'!$I$5:$I$504,$J97)))</f>
        <v/>
      </c>
      <c r="J97" t="str">
        <f>IFERROR(MATCH($B$4&amp;"-"&amp;ROWS($A$10:A97),'Product Backlog'!$J$5:$J$504,0),"")</f>
        <v/>
      </c>
    </row>
    <row r="98" spans="1:10" ht="21" customHeight="1" x14ac:dyDescent="0.2">
      <c r="A98" s="46" t="str">
        <f>IF($J98="","",IF(ISBLANK(INDEX('Product Backlog'!$A$5:$A$504,$J98)),"",INDEX('Product Backlog'!$A$5:$A$504,$J98)))</f>
        <v/>
      </c>
      <c r="B98" s="46" t="str">
        <f>IF($J98="","",IF(ISBLANK(INDEX('Product Backlog'!$B$5:$B$504,$J98)),"",INDEX('Product Backlog'!$B$5:$B$504,$J98)))</f>
        <v/>
      </c>
      <c r="C98" s="46" t="str">
        <f>IF($J98="","",IF(ISBLANK(INDEX('Product Backlog'!$C$5:$C$504,$J98)),"",INDEX('Product Backlog'!$C$5:$C$504,$J98)))</f>
        <v/>
      </c>
      <c r="D98" s="46" t="str">
        <f>IF($J98="","",IF(ISBLANK(INDEX('Product Backlog'!$D$5:$D$504,$J98)),"",INDEX('Product Backlog'!$D$5:$D$504,$J98)))</f>
        <v/>
      </c>
      <c r="E98" s="46" t="str">
        <f>IF($J98="","",IF(ISBLANK(INDEX('Product Backlog'!$E$5:$E$504,$J98)),"",INDEX('Product Backlog'!$E$5:$E$504,$J98)))</f>
        <v/>
      </c>
      <c r="F98" s="47" t="str">
        <f>IF($J98="","",IF(ISBLANK(INDEX('Product Backlog'!$F$5:$F$504,$J98)),"",INDEX('Product Backlog'!$F$5:$F$504,$J98)))</f>
        <v/>
      </c>
      <c r="G98" s="47" t="str">
        <f>IF($J98="","",IF(ISBLANK(INDEX('Product Backlog'!$G$5:$G$504,$J98)),"",INDEX('Product Backlog'!$G$5:$G$504,$J98)))</f>
        <v/>
      </c>
      <c r="H98" s="48" t="str">
        <f>IF($J98="","",IF(ISBLANK(INDEX('Product Backlog'!$H$5:$H$504,$J98)),"",INDEX('Product Backlog'!$H$5:$H$504,$J98)))</f>
        <v/>
      </c>
      <c r="I98" s="48" t="str">
        <f>IF($J98="","",IF(ISBLANK(INDEX('Product Backlog'!$I$5:$I$504,$J98)),"",INDEX('Product Backlog'!$I$5:$I$504,$J98)))</f>
        <v/>
      </c>
      <c r="J98" t="str">
        <f>IFERROR(MATCH($B$4&amp;"-"&amp;ROWS($A$10:A98),'Product Backlog'!$J$5:$J$504,0),"")</f>
        <v/>
      </c>
    </row>
    <row r="99" spans="1:10" ht="21" customHeight="1" x14ac:dyDescent="0.2">
      <c r="A99" s="46" t="str">
        <f>IF($J99="","",IF(ISBLANK(INDEX('Product Backlog'!$A$5:$A$504,$J99)),"",INDEX('Product Backlog'!$A$5:$A$504,$J99)))</f>
        <v/>
      </c>
      <c r="B99" s="46" t="str">
        <f>IF($J99="","",IF(ISBLANK(INDEX('Product Backlog'!$B$5:$B$504,$J99)),"",INDEX('Product Backlog'!$B$5:$B$504,$J99)))</f>
        <v/>
      </c>
      <c r="C99" s="46" t="str">
        <f>IF($J99="","",IF(ISBLANK(INDEX('Product Backlog'!$C$5:$C$504,$J99)),"",INDEX('Product Backlog'!$C$5:$C$504,$J99)))</f>
        <v/>
      </c>
      <c r="D99" s="46" t="str">
        <f>IF($J99="","",IF(ISBLANK(INDEX('Product Backlog'!$D$5:$D$504,$J99)),"",INDEX('Product Backlog'!$D$5:$D$504,$J99)))</f>
        <v/>
      </c>
      <c r="E99" s="46" t="str">
        <f>IF($J99="","",IF(ISBLANK(INDEX('Product Backlog'!$E$5:$E$504,$J99)),"",INDEX('Product Backlog'!$E$5:$E$504,$J99)))</f>
        <v/>
      </c>
      <c r="F99" s="47" t="str">
        <f>IF($J99="","",IF(ISBLANK(INDEX('Product Backlog'!$F$5:$F$504,$J99)),"",INDEX('Product Backlog'!$F$5:$F$504,$J99)))</f>
        <v/>
      </c>
      <c r="G99" s="47" t="str">
        <f>IF($J99="","",IF(ISBLANK(INDEX('Product Backlog'!$G$5:$G$504,$J99)),"",INDEX('Product Backlog'!$G$5:$G$504,$J99)))</f>
        <v/>
      </c>
      <c r="H99" s="48" t="str">
        <f>IF($J99="","",IF(ISBLANK(INDEX('Product Backlog'!$H$5:$H$504,$J99)),"",INDEX('Product Backlog'!$H$5:$H$504,$J99)))</f>
        <v/>
      </c>
      <c r="I99" s="48" t="str">
        <f>IF($J99="","",IF(ISBLANK(INDEX('Product Backlog'!$I$5:$I$504,$J99)),"",INDEX('Product Backlog'!$I$5:$I$504,$J99)))</f>
        <v/>
      </c>
      <c r="J99" t="str">
        <f>IFERROR(MATCH($B$4&amp;"-"&amp;ROWS($A$10:A99),'Product Backlog'!$J$5:$J$504,0),"")</f>
        <v/>
      </c>
    </row>
    <row r="100" spans="1:10" ht="21" customHeight="1" x14ac:dyDescent="0.2">
      <c r="A100" s="46" t="str">
        <f>IF($J100="","",IF(ISBLANK(INDEX('Product Backlog'!$A$5:$A$504,$J100)),"",INDEX('Product Backlog'!$A$5:$A$504,$J100)))</f>
        <v/>
      </c>
      <c r="B100" s="46" t="str">
        <f>IF($J100="","",IF(ISBLANK(INDEX('Product Backlog'!$B$5:$B$504,$J100)),"",INDEX('Product Backlog'!$B$5:$B$504,$J100)))</f>
        <v/>
      </c>
      <c r="C100" s="46" t="str">
        <f>IF($J100="","",IF(ISBLANK(INDEX('Product Backlog'!$C$5:$C$504,$J100)),"",INDEX('Product Backlog'!$C$5:$C$504,$J100)))</f>
        <v/>
      </c>
      <c r="D100" s="46" t="str">
        <f>IF($J100="","",IF(ISBLANK(INDEX('Product Backlog'!$D$5:$D$504,$J100)),"",INDEX('Product Backlog'!$D$5:$D$504,$J100)))</f>
        <v/>
      </c>
      <c r="E100" s="46" t="str">
        <f>IF($J100="","",IF(ISBLANK(INDEX('Product Backlog'!$E$5:$E$504,$J100)),"",INDEX('Product Backlog'!$E$5:$E$504,$J100)))</f>
        <v/>
      </c>
      <c r="F100" s="47" t="str">
        <f>IF($J100="","",IF(ISBLANK(INDEX('Product Backlog'!$F$5:$F$504,$J100)),"",INDEX('Product Backlog'!$F$5:$F$504,$J100)))</f>
        <v/>
      </c>
      <c r="G100" s="47" t="str">
        <f>IF($J100="","",IF(ISBLANK(INDEX('Product Backlog'!$G$5:$G$504,$J100)),"",INDEX('Product Backlog'!$G$5:$G$504,$J100)))</f>
        <v/>
      </c>
      <c r="H100" s="48" t="str">
        <f>IF($J100="","",IF(ISBLANK(INDEX('Product Backlog'!$H$5:$H$504,$J100)),"",INDEX('Product Backlog'!$H$5:$H$504,$J100)))</f>
        <v/>
      </c>
      <c r="I100" s="48" t="str">
        <f>IF($J100="","",IF(ISBLANK(INDEX('Product Backlog'!$I$5:$I$504,$J100)),"",INDEX('Product Backlog'!$I$5:$I$504,$J100)))</f>
        <v/>
      </c>
      <c r="J100" t="str">
        <f>IFERROR(MATCH($B$4&amp;"-"&amp;ROWS($A$10:A100),'Product Backlog'!$J$5:$J$504,0),"")</f>
        <v/>
      </c>
    </row>
    <row r="101" spans="1:10" ht="21" customHeight="1" x14ac:dyDescent="0.2">
      <c r="A101" s="46" t="str">
        <f>IF($J101="","",IF(ISBLANK(INDEX('Product Backlog'!$A$5:$A$504,$J101)),"",INDEX('Product Backlog'!$A$5:$A$504,$J101)))</f>
        <v/>
      </c>
      <c r="B101" s="46" t="str">
        <f>IF($J101="","",IF(ISBLANK(INDEX('Product Backlog'!$B$5:$B$504,$J101)),"",INDEX('Product Backlog'!$B$5:$B$504,$J101)))</f>
        <v/>
      </c>
      <c r="C101" s="46" t="str">
        <f>IF($J101="","",IF(ISBLANK(INDEX('Product Backlog'!$C$5:$C$504,$J101)),"",INDEX('Product Backlog'!$C$5:$C$504,$J101)))</f>
        <v/>
      </c>
      <c r="D101" s="46" t="str">
        <f>IF($J101="","",IF(ISBLANK(INDEX('Product Backlog'!$D$5:$D$504,$J101)),"",INDEX('Product Backlog'!$D$5:$D$504,$J101)))</f>
        <v/>
      </c>
      <c r="E101" s="46" t="str">
        <f>IF($J101="","",IF(ISBLANK(INDEX('Product Backlog'!$E$5:$E$504,$J101)),"",INDEX('Product Backlog'!$E$5:$E$504,$J101)))</f>
        <v/>
      </c>
      <c r="F101" s="47" t="str">
        <f>IF($J101="","",IF(ISBLANK(INDEX('Product Backlog'!$F$5:$F$504,$J101)),"",INDEX('Product Backlog'!$F$5:$F$504,$J101)))</f>
        <v/>
      </c>
      <c r="G101" s="47" t="str">
        <f>IF($J101="","",IF(ISBLANK(INDEX('Product Backlog'!$G$5:$G$504,$J101)),"",INDEX('Product Backlog'!$G$5:$G$504,$J101)))</f>
        <v/>
      </c>
      <c r="H101" s="48" t="str">
        <f>IF($J101="","",IF(ISBLANK(INDEX('Product Backlog'!$H$5:$H$504,$J101)),"",INDEX('Product Backlog'!$H$5:$H$504,$J101)))</f>
        <v/>
      </c>
      <c r="I101" s="48" t="str">
        <f>IF($J101="","",IF(ISBLANK(INDEX('Product Backlog'!$I$5:$I$504,$J101)),"",INDEX('Product Backlog'!$I$5:$I$504,$J101)))</f>
        <v/>
      </c>
      <c r="J101" t="str">
        <f>IFERROR(MATCH($B$4&amp;"-"&amp;ROWS($A$10:A101),'Product Backlog'!$J$5:$J$504,0),"")</f>
        <v/>
      </c>
    </row>
    <row r="102" spans="1:10" ht="21" customHeight="1" x14ac:dyDescent="0.2">
      <c r="A102" s="46" t="str">
        <f>IF($J102="","",IF(ISBLANK(INDEX('Product Backlog'!$A$5:$A$504,$J102)),"",INDEX('Product Backlog'!$A$5:$A$504,$J102)))</f>
        <v/>
      </c>
      <c r="B102" s="46" t="str">
        <f>IF($J102="","",IF(ISBLANK(INDEX('Product Backlog'!$B$5:$B$504,$J102)),"",INDEX('Product Backlog'!$B$5:$B$504,$J102)))</f>
        <v/>
      </c>
      <c r="C102" s="46" t="str">
        <f>IF($J102="","",IF(ISBLANK(INDEX('Product Backlog'!$C$5:$C$504,$J102)),"",INDEX('Product Backlog'!$C$5:$C$504,$J102)))</f>
        <v/>
      </c>
      <c r="D102" s="46" t="str">
        <f>IF($J102="","",IF(ISBLANK(INDEX('Product Backlog'!$D$5:$D$504,$J102)),"",INDEX('Product Backlog'!$D$5:$D$504,$J102)))</f>
        <v/>
      </c>
      <c r="E102" s="46" t="str">
        <f>IF($J102="","",IF(ISBLANK(INDEX('Product Backlog'!$E$5:$E$504,$J102)),"",INDEX('Product Backlog'!$E$5:$E$504,$J102)))</f>
        <v/>
      </c>
      <c r="F102" s="47" t="str">
        <f>IF($J102="","",IF(ISBLANK(INDEX('Product Backlog'!$F$5:$F$504,$J102)),"",INDEX('Product Backlog'!$F$5:$F$504,$J102)))</f>
        <v/>
      </c>
      <c r="G102" s="47" t="str">
        <f>IF($J102="","",IF(ISBLANK(INDEX('Product Backlog'!$G$5:$G$504,$J102)),"",INDEX('Product Backlog'!$G$5:$G$504,$J102)))</f>
        <v/>
      </c>
      <c r="H102" s="48" t="str">
        <f>IF($J102="","",IF(ISBLANK(INDEX('Product Backlog'!$H$5:$H$504,$J102)),"",INDEX('Product Backlog'!$H$5:$H$504,$J102)))</f>
        <v/>
      </c>
      <c r="I102" s="48" t="str">
        <f>IF($J102="","",IF(ISBLANK(INDEX('Product Backlog'!$I$5:$I$504,$J102)),"",INDEX('Product Backlog'!$I$5:$I$504,$J102)))</f>
        <v/>
      </c>
      <c r="J102" t="str">
        <f>IFERROR(MATCH($B$4&amp;"-"&amp;ROWS($A$10:A102),'Product Backlog'!$J$5:$J$504,0),"")</f>
        <v/>
      </c>
    </row>
    <row r="103" spans="1:10" ht="21" customHeight="1" x14ac:dyDescent="0.2">
      <c r="A103" s="46" t="str">
        <f>IF($J103="","",IF(ISBLANK(INDEX('Product Backlog'!$A$5:$A$504,$J103)),"",INDEX('Product Backlog'!$A$5:$A$504,$J103)))</f>
        <v/>
      </c>
      <c r="B103" s="46" t="str">
        <f>IF($J103="","",IF(ISBLANK(INDEX('Product Backlog'!$B$5:$B$504,$J103)),"",INDEX('Product Backlog'!$B$5:$B$504,$J103)))</f>
        <v/>
      </c>
      <c r="C103" s="46" t="str">
        <f>IF($J103="","",IF(ISBLANK(INDEX('Product Backlog'!$C$5:$C$504,$J103)),"",INDEX('Product Backlog'!$C$5:$C$504,$J103)))</f>
        <v/>
      </c>
      <c r="D103" s="46" t="str">
        <f>IF($J103="","",IF(ISBLANK(INDEX('Product Backlog'!$D$5:$D$504,$J103)),"",INDEX('Product Backlog'!$D$5:$D$504,$J103)))</f>
        <v/>
      </c>
      <c r="E103" s="46" t="str">
        <f>IF($J103="","",IF(ISBLANK(INDEX('Product Backlog'!$E$5:$E$504,$J103)),"",INDEX('Product Backlog'!$E$5:$E$504,$J103)))</f>
        <v/>
      </c>
      <c r="F103" s="47" t="str">
        <f>IF($J103="","",IF(ISBLANK(INDEX('Product Backlog'!$F$5:$F$504,$J103)),"",INDEX('Product Backlog'!$F$5:$F$504,$J103)))</f>
        <v/>
      </c>
      <c r="G103" s="47" t="str">
        <f>IF($J103="","",IF(ISBLANK(INDEX('Product Backlog'!$G$5:$G$504,$J103)),"",INDEX('Product Backlog'!$G$5:$G$504,$J103)))</f>
        <v/>
      </c>
      <c r="H103" s="48" t="str">
        <f>IF($J103="","",IF(ISBLANK(INDEX('Product Backlog'!$H$5:$H$504,$J103)),"",INDEX('Product Backlog'!$H$5:$H$504,$J103)))</f>
        <v/>
      </c>
      <c r="I103" s="48" t="str">
        <f>IF($J103="","",IF(ISBLANK(INDEX('Product Backlog'!$I$5:$I$504,$J103)),"",INDEX('Product Backlog'!$I$5:$I$504,$J103)))</f>
        <v/>
      </c>
      <c r="J103" t="str">
        <f>IFERROR(MATCH($B$4&amp;"-"&amp;ROWS($A$10:A103),'Product Backlog'!$J$5:$J$504,0),"")</f>
        <v/>
      </c>
    </row>
    <row r="104" spans="1:10" ht="21" customHeight="1" x14ac:dyDescent="0.2">
      <c r="A104" s="46" t="str">
        <f>IF($J104="","",IF(ISBLANK(INDEX('Product Backlog'!$A$5:$A$504,$J104)),"",INDEX('Product Backlog'!$A$5:$A$504,$J104)))</f>
        <v/>
      </c>
      <c r="B104" s="46" t="str">
        <f>IF($J104="","",IF(ISBLANK(INDEX('Product Backlog'!$B$5:$B$504,$J104)),"",INDEX('Product Backlog'!$B$5:$B$504,$J104)))</f>
        <v/>
      </c>
      <c r="C104" s="46" t="str">
        <f>IF($J104="","",IF(ISBLANK(INDEX('Product Backlog'!$C$5:$C$504,$J104)),"",INDEX('Product Backlog'!$C$5:$C$504,$J104)))</f>
        <v/>
      </c>
      <c r="D104" s="46" t="str">
        <f>IF($J104="","",IF(ISBLANK(INDEX('Product Backlog'!$D$5:$D$504,$J104)),"",INDEX('Product Backlog'!$D$5:$D$504,$J104)))</f>
        <v/>
      </c>
      <c r="E104" s="46" t="str">
        <f>IF($J104="","",IF(ISBLANK(INDEX('Product Backlog'!$E$5:$E$504,$J104)),"",INDEX('Product Backlog'!$E$5:$E$504,$J104)))</f>
        <v/>
      </c>
      <c r="F104" s="47" t="str">
        <f>IF($J104="","",IF(ISBLANK(INDEX('Product Backlog'!$F$5:$F$504,$J104)),"",INDEX('Product Backlog'!$F$5:$F$504,$J104)))</f>
        <v/>
      </c>
      <c r="G104" s="47" t="str">
        <f>IF($J104="","",IF(ISBLANK(INDEX('Product Backlog'!$G$5:$G$504,$J104)),"",INDEX('Product Backlog'!$G$5:$G$504,$J104)))</f>
        <v/>
      </c>
      <c r="H104" s="48" t="str">
        <f>IF($J104="","",IF(ISBLANK(INDEX('Product Backlog'!$H$5:$H$504,$J104)),"",INDEX('Product Backlog'!$H$5:$H$504,$J104)))</f>
        <v/>
      </c>
      <c r="I104" s="48" t="str">
        <f>IF($J104="","",IF(ISBLANK(INDEX('Product Backlog'!$I$5:$I$504,$J104)),"",INDEX('Product Backlog'!$I$5:$I$504,$J104)))</f>
        <v/>
      </c>
      <c r="J104" t="str">
        <f>IFERROR(MATCH($B$4&amp;"-"&amp;ROWS($A$10:A104),'Product Backlog'!$J$5:$J$504,0),"")</f>
        <v/>
      </c>
    </row>
    <row r="105" spans="1:10" ht="21" customHeight="1" x14ac:dyDescent="0.2">
      <c r="A105" s="46" t="str">
        <f>IF($J105="","",IF(ISBLANK(INDEX('Product Backlog'!$A$5:$A$504,$J105)),"",INDEX('Product Backlog'!$A$5:$A$504,$J105)))</f>
        <v/>
      </c>
      <c r="B105" s="46" t="str">
        <f>IF($J105="","",IF(ISBLANK(INDEX('Product Backlog'!$B$5:$B$504,$J105)),"",INDEX('Product Backlog'!$B$5:$B$504,$J105)))</f>
        <v/>
      </c>
      <c r="C105" s="46" t="str">
        <f>IF($J105="","",IF(ISBLANK(INDEX('Product Backlog'!$C$5:$C$504,$J105)),"",INDEX('Product Backlog'!$C$5:$C$504,$J105)))</f>
        <v/>
      </c>
      <c r="D105" s="46" t="str">
        <f>IF($J105="","",IF(ISBLANK(INDEX('Product Backlog'!$D$5:$D$504,$J105)),"",INDEX('Product Backlog'!$D$5:$D$504,$J105)))</f>
        <v/>
      </c>
      <c r="E105" s="46" t="str">
        <f>IF($J105="","",IF(ISBLANK(INDEX('Product Backlog'!$E$5:$E$504,$J105)),"",INDEX('Product Backlog'!$E$5:$E$504,$J105)))</f>
        <v/>
      </c>
      <c r="F105" s="47" t="str">
        <f>IF($J105="","",IF(ISBLANK(INDEX('Product Backlog'!$F$5:$F$504,$J105)),"",INDEX('Product Backlog'!$F$5:$F$504,$J105)))</f>
        <v/>
      </c>
      <c r="G105" s="47" t="str">
        <f>IF($J105="","",IF(ISBLANK(INDEX('Product Backlog'!$G$5:$G$504,$J105)),"",INDEX('Product Backlog'!$G$5:$G$504,$J105)))</f>
        <v/>
      </c>
      <c r="H105" s="48" t="str">
        <f>IF($J105="","",IF(ISBLANK(INDEX('Product Backlog'!$H$5:$H$504,$J105)),"",INDEX('Product Backlog'!$H$5:$H$504,$J105)))</f>
        <v/>
      </c>
      <c r="I105" s="48" t="str">
        <f>IF($J105="","",IF(ISBLANK(INDEX('Product Backlog'!$I$5:$I$504,$J105)),"",INDEX('Product Backlog'!$I$5:$I$504,$J105)))</f>
        <v/>
      </c>
      <c r="J105" t="str">
        <f>IFERROR(MATCH($B$4&amp;"-"&amp;ROWS($A$10:A105),'Product Backlog'!$J$5:$J$504,0),"")</f>
        <v/>
      </c>
    </row>
    <row r="106" spans="1:10" ht="21" customHeight="1" x14ac:dyDescent="0.2">
      <c r="A106" s="46" t="str">
        <f>IF($J106="","",IF(ISBLANK(INDEX('Product Backlog'!$A$5:$A$504,$J106)),"",INDEX('Product Backlog'!$A$5:$A$504,$J106)))</f>
        <v/>
      </c>
      <c r="B106" s="46" t="str">
        <f>IF($J106="","",IF(ISBLANK(INDEX('Product Backlog'!$B$5:$B$504,$J106)),"",INDEX('Product Backlog'!$B$5:$B$504,$J106)))</f>
        <v/>
      </c>
      <c r="C106" s="46" t="str">
        <f>IF($J106="","",IF(ISBLANK(INDEX('Product Backlog'!$C$5:$C$504,$J106)),"",INDEX('Product Backlog'!$C$5:$C$504,$J106)))</f>
        <v/>
      </c>
      <c r="D106" s="46" t="str">
        <f>IF($J106="","",IF(ISBLANK(INDEX('Product Backlog'!$D$5:$D$504,$J106)),"",INDEX('Product Backlog'!$D$5:$D$504,$J106)))</f>
        <v/>
      </c>
      <c r="E106" s="46" t="str">
        <f>IF($J106="","",IF(ISBLANK(INDEX('Product Backlog'!$E$5:$E$504,$J106)),"",INDEX('Product Backlog'!$E$5:$E$504,$J106)))</f>
        <v/>
      </c>
      <c r="F106" s="47" t="str">
        <f>IF($J106="","",IF(ISBLANK(INDEX('Product Backlog'!$F$5:$F$504,$J106)),"",INDEX('Product Backlog'!$F$5:$F$504,$J106)))</f>
        <v/>
      </c>
      <c r="G106" s="47" t="str">
        <f>IF($J106="","",IF(ISBLANK(INDEX('Product Backlog'!$G$5:$G$504,$J106)),"",INDEX('Product Backlog'!$G$5:$G$504,$J106)))</f>
        <v/>
      </c>
      <c r="H106" s="48" t="str">
        <f>IF($J106="","",IF(ISBLANK(INDEX('Product Backlog'!$H$5:$H$504,$J106)),"",INDEX('Product Backlog'!$H$5:$H$504,$J106)))</f>
        <v/>
      </c>
      <c r="I106" s="48" t="str">
        <f>IF($J106="","",IF(ISBLANK(INDEX('Product Backlog'!$I$5:$I$504,$J106)),"",INDEX('Product Backlog'!$I$5:$I$504,$J106)))</f>
        <v/>
      </c>
      <c r="J106" t="str">
        <f>IFERROR(MATCH($B$4&amp;"-"&amp;ROWS($A$10:A106),'Product Backlog'!$J$5:$J$504,0),"")</f>
        <v/>
      </c>
    </row>
    <row r="107" spans="1:10" ht="21" customHeight="1" x14ac:dyDescent="0.2">
      <c r="A107" s="46" t="str">
        <f>IF($J107="","",IF(ISBLANK(INDEX('Product Backlog'!$A$5:$A$504,$J107)),"",INDEX('Product Backlog'!$A$5:$A$504,$J107)))</f>
        <v/>
      </c>
      <c r="B107" s="46" t="str">
        <f>IF($J107="","",IF(ISBLANK(INDEX('Product Backlog'!$B$5:$B$504,$J107)),"",INDEX('Product Backlog'!$B$5:$B$504,$J107)))</f>
        <v/>
      </c>
      <c r="C107" s="46" t="str">
        <f>IF($J107="","",IF(ISBLANK(INDEX('Product Backlog'!$C$5:$C$504,$J107)),"",INDEX('Product Backlog'!$C$5:$C$504,$J107)))</f>
        <v/>
      </c>
      <c r="D107" s="46" t="str">
        <f>IF($J107="","",IF(ISBLANK(INDEX('Product Backlog'!$D$5:$D$504,$J107)),"",INDEX('Product Backlog'!$D$5:$D$504,$J107)))</f>
        <v/>
      </c>
      <c r="E107" s="46" t="str">
        <f>IF($J107="","",IF(ISBLANK(INDEX('Product Backlog'!$E$5:$E$504,$J107)),"",INDEX('Product Backlog'!$E$5:$E$504,$J107)))</f>
        <v/>
      </c>
      <c r="F107" s="47" t="str">
        <f>IF($J107="","",IF(ISBLANK(INDEX('Product Backlog'!$F$5:$F$504,$J107)),"",INDEX('Product Backlog'!$F$5:$F$504,$J107)))</f>
        <v/>
      </c>
      <c r="G107" s="47" t="str">
        <f>IF($J107="","",IF(ISBLANK(INDEX('Product Backlog'!$G$5:$G$504,$J107)),"",INDEX('Product Backlog'!$G$5:$G$504,$J107)))</f>
        <v/>
      </c>
      <c r="H107" s="48" t="str">
        <f>IF($J107="","",IF(ISBLANK(INDEX('Product Backlog'!$H$5:$H$504,$J107)),"",INDEX('Product Backlog'!$H$5:$H$504,$J107)))</f>
        <v/>
      </c>
      <c r="I107" s="48" t="str">
        <f>IF($J107="","",IF(ISBLANK(INDEX('Product Backlog'!$I$5:$I$504,$J107)),"",INDEX('Product Backlog'!$I$5:$I$504,$J107)))</f>
        <v/>
      </c>
      <c r="J107" t="str">
        <f>IFERROR(MATCH($B$4&amp;"-"&amp;ROWS($A$10:A107),'Product Backlog'!$J$5:$J$504,0),"")</f>
        <v/>
      </c>
    </row>
    <row r="108" spans="1:10" ht="21" customHeight="1" x14ac:dyDescent="0.2">
      <c r="A108" s="46" t="str">
        <f>IF($J108="","",IF(ISBLANK(INDEX('Product Backlog'!$A$5:$A$504,$J108)),"",INDEX('Product Backlog'!$A$5:$A$504,$J108)))</f>
        <v/>
      </c>
      <c r="B108" s="46" t="str">
        <f>IF($J108="","",IF(ISBLANK(INDEX('Product Backlog'!$B$5:$B$504,$J108)),"",INDEX('Product Backlog'!$B$5:$B$504,$J108)))</f>
        <v/>
      </c>
      <c r="C108" s="46" t="str">
        <f>IF($J108="","",IF(ISBLANK(INDEX('Product Backlog'!$C$5:$C$504,$J108)),"",INDEX('Product Backlog'!$C$5:$C$504,$J108)))</f>
        <v/>
      </c>
      <c r="D108" s="46" t="str">
        <f>IF($J108="","",IF(ISBLANK(INDEX('Product Backlog'!$D$5:$D$504,$J108)),"",INDEX('Product Backlog'!$D$5:$D$504,$J108)))</f>
        <v/>
      </c>
      <c r="E108" s="46" t="str">
        <f>IF($J108="","",IF(ISBLANK(INDEX('Product Backlog'!$E$5:$E$504,$J108)),"",INDEX('Product Backlog'!$E$5:$E$504,$J108)))</f>
        <v/>
      </c>
      <c r="F108" s="47" t="str">
        <f>IF($J108="","",IF(ISBLANK(INDEX('Product Backlog'!$F$5:$F$504,$J108)),"",INDEX('Product Backlog'!$F$5:$F$504,$J108)))</f>
        <v/>
      </c>
      <c r="G108" s="47" t="str">
        <f>IF($J108="","",IF(ISBLANK(INDEX('Product Backlog'!$G$5:$G$504,$J108)),"",INDEX('Product Backlog'!$G$5:$G$504,$J108)))</f>
        <v/>
      </c>
      <c r="H108" s="48" t="str">
        <f>IF($J108="","",IF(ISBLANK(INDEX('Product Backlog'!$H$5:$H$504,$J108)),"",INDEX('Product Backlog'!$H$5:$H$504,$J108)))</f>
        <v/>
      </c>
      <c r="I108" s="48" t="str">
        <f>IF($J108="","",IF(ISBLANK(INDEX('Product Backlog'!$I$5:$I$504,$J108)),"",INDEX('Product Backlog'!$I$5:$I$504,$J108)))</f>
        <v/>
      </c>
      <c r="J108" t="str">
        <f>IFERROR(MATCH($B$4&amp;"-"&amp;ROWS($A$10:A108),'Product Backlog'!$J$5:$J$504,0),"")</f>
        <v/>
      </c>
    </row>
    <row r="109" spans="1:10" ht="21" customHeight="1" x14ac:dyDescent="0.2">
      <c r="A109" s="46" t="str">
        <f>IF($J109="","",IF(ISBLANK(INDEX('Product Backlog'!$A$5:$A$504,$J109)),"",INDEX('Product Backlog'!$A$5:$A$504,$J109)))</f>
        <v/>
      </c>
      <c r="B109" s="46" t="str">
        <f>IF($J109="","",IF(ISBLANK(INDEX('Product Backlog'!$B$5:$B$504,$J109)),"",INDEX('Product Backlog'!$B$5:$B$504,$J109)))</f>
        <v/>
      </c>
      <c r="C109" s="46" t="str">
        <f>IF($J109="","",IF(ISBLANK(INDEX('Product Backlog'!$C$5:$C$504,$J109)),"",INDEX('Product Backlog'!$C$5:$C$504,$J109)))</f>
        <v/>
      </c>
      <c r="D109" s="46" t="str">
        <f>IF($J109="","",IF(ISBLANK(INDEX('Product Backlog'!$D$5:$D$504,$J109)),"",INDEX('Product Backlog'!$D$5:$D$504,$J109)))</f>
        <v/>
      </c>
      <c r="E109" s="46" t="str">
        <f>IF($J109="","",IF(ISBLANK(INDEX('Product Backlog'!$E$5:$E$504,$J109)),"",INDEX('Product Backlog'!$E$5:$E$504,$J109)))</f>
        <v/>
      </c>
      <c r="F109" s="47" t="str">
        <f>IF($J109="","",IF(ISBLANK(INDEX('Product Backlog'!$F$5:$F$504,$J109)),"",INDEX('Product Backlog'!$F$5:$F$504,$J109)))</f>
        <v/>
      </c>
      <c r="G109" s="47" t="str">
        <f>IF($J109="","",IF(ISBLANK(INDEX('Product Backlog'!$G$5:$G$504,$J109)),"",INDEX('Product Backlog'!$G$5:$G$504,$J109)))</f>
        <v/>
      </c>
      <c r="H109" s="48" t="str">
        <f>IF($J109="","",IF(ISBLANK(INDEX('Product Backlog'!$H$5:$H$504,$J109)),"",INDEX('Product Backlog'!$H$5:$H$504,$J109)))</f>
        <v/>
      </c>
      <c r="I109" s="48" t="str">
        <f>IF($J109="","",IF(ISBLANK(INDEX('Product Backlog'!$I$5:$I$504,$J109)),"",INDEX('Product Backlog'!$I$5:$I$504,$J109)))</f>
        <v/>
      </c>
      <c r="J109" t="str">
        <f>IFERROR(MATCH($B$4&amp;"-"&amp;ROWS($A$10:A109),'Product Backlog'!$J$5:$J$504,0),"")</f>
        <v/>
      </c>
    </row>
    <row r="110" spans="1:10" ht="21" customHeight="1" x14ac:dyDescent="0.2">
      <c r="A110" s="46"/>
      <c r="B110" s="46"/>
      <c r="C110" s="46"/>
      <c r="D110" s="46"/>
      <c r="E110" s="46"/>
      <c r="F110" s="47"/>
      <c r="G110" s="47"/>
      <c r="H110" s="48"/>
      <c r="I110" s="48"/>
    </row>
    <row r="111" spans="1:10" ht="21" customHeight="1" x14ac:dyDescent="0.2">
      <c r="A111" s="46"/>
      <c r="B111" s="46"/>
      <c r="C111" s="46"/>
      <c r="D111" s="46"/>
      <c r="E111" s="46"/>
      <c r="F111" s="47"/>
      <c r="G111" s="47"/>
      <c r="H111" s="48"/>
      <c r="I111" s="48"/>
    </row>
    <row r="112" spans="1:10" ht="21" customHeight="1" x14ac:dyDescent="0.2">
      <c r="A112" s="46"/>
      <c r="B112" s="46"/>
      <c r="C112" s="46"/>
      <c r="D112" s="46"/>
      <c r="E112" s="46"/>
      <c r="F112" s="47"/>
      <c r="G112" s="47"/>
      <c r="H112" s="48"/>
      <c r="I112" s="48"/>
    </row>
    <row r="113" spans="1:9" ht="21" customHeight="1" x14ac:dyDescent="0.2">
      <c r="A113" s="46"/>
      <c r="B113" s="46"/>
      <c r="C113" s="46"/>
      <c r="D113" s="46"/>
      <c r="E113" s="46"/>
      <c r="F113" s="47"/>
      <c r="G113" s="47"/>
      <c r="H113" s="48"/>
      <c r="I113" s="48"/>
    </row>
    <row r="114" spans="1:9" ht="21" customHeight="1" x14ac:dyDescent="0.2">
      <c r="A114" s="46"/>
      <c r="B114" s="46"/>
      <c r="C114" s="46"/>
      <c r="D114" s="46"/>
      <c r="E114" s="46"/>
      <c r="F114" s="47"/>
      <c r="G114" s="47"/>
      <c r="H114" s="48"/>
      <c r="I114" s="48"/>
    </row>
    <row r="115" spans="1:9" ht="21" customHeight="1" x14ac:dyDescent="0.2">
      <c r="A115" s="46"/>
      <c r="B115" s="46"/>
      <c r="C115" s="46"/>
      <c r="D115" s="46"/>
      <c r="E115" s="46"/>
      <c r="F115" s="47"/>
      <c r="G115" s="47"/>
      <c r="H115" s="48"/>
      <c r="I115" s="48"/>
    </row>
    <row r="116" spans="1:9" ht="21" customHeight="1" x14ac:dyDescent="0.2">
      <c r="A116" s="46"/>
      <c r="B116" s="46"/>
      <c r="C116" s="46"/>
      <c r="D116" s="46"/>
      <c r="E116" s="46"/>
      <c r="F116" s="47"/>
      <c r="G116" s="47"/>
      <c r="H116" s="48"/>
      <c r="I116" s="48"/>
    </row>
    <row r="117" spans="1:9" ht="21" customHeight="1" x14ac:dyDescent="0.2">
      <c r="A117" s="46"/>
      <c r="B117" s="46"/>
      <c r="C117" s="46"/>
      <c r="D117" s="46"/>
      <c r="E117" s="46"/>
      <c r="F117" s="47"/>
      <c r="G117" s="47"/>
      <c r="H117" s="48"/>
      <c r="I117" s="48"/>
    </row>
    <row r="118" spans="1:9" ht="21" customHeight="1" x14ac:dyDescent="0.2">
      <c r="A118" s="46"/>
      <c r="B118" s="46"/>
      <c r="C118" s="46"/>
      <c r="D118" s="46"/>
      <c r="E118" s="46"/>
      <c r="F118" s="47"/>
      <c r="G118" s="47"/>
      <c r="H118" s="48"/>
      <c r="I118" s="48"/>
    </row>
    <row r="119" spans="1:9" ht="21" customHeight="1" x14ac:dyDescent="0.2">
      <c r="A119" s="46"/>
      <c r="B119" s="46"/>
      <c r="C119" s="46"/>
      <c r="D119" s="46"/>
      <c r="E119" s="46"/>
      <c r="F119" s="47"/>
      <c r="G119" s="47"/>
      <c r="H119" s="48"/>
      <c r="I119" s="48"/>
    </row>
    <row r="120" spans="1:9" ht="21" customHeight="1" x14ac:dyDescent="0.2">
      <c r="A120" s="46"/>
      <c r="B120" s="46"/>
      <c r="C120" s="46"/>
      <c r="D120" s="46"/>
      <c r="E120" s="46"/>
      <c r="F120" s="47"/>
      <c r="G120" s="47"/>
      <c r="H120" s="48"/>
      <c r="I120" s="48"/>
    </row>
    <row r="121" spans="1:9" ht="21" customHeight="1" x14ac:dyDescent="0.2">
      <c r="A121" s="46"/>
      <c r="B121" s="46"/>
      <c r="C121" s="46"/>
      <c r="D121" s="46"/>
      <c r="E121" s="46"/>
      <c r="F121" s="47"/>
      <c r="G121" s="47"/>
      <c r="H121" s="48"/>
      <c r="I121" s="48"/>
    </row>
    <row r="122" spans="1:9" ht="21" customHeight="1" x14ac:dyDescent="0.2">
      <c r="A122" s="46"/>
      <c r="B122" s="46"/>
      <c r="C122" s="46"/>
      <c r="D122" s="46"/>
      <c r="E122" s="46"/>
      <c r="F122" s="47"/>
      <c r="G122" s="47"/>
      <c r="H122" s="48"/>
      <c r="I122" s="48"/>
    </row>
    <row r="123" spans="1:9" ht="21" customHeight="1" x14ac:dyDescent="0.2">
      <c r="A123" s="46"/>
      <c r="B123" s="46"/>
      <c r="C123" s="46"/>
      <c r="D123" s="46"/>
      <c r="E123" s="46"/>
      <c r="F123" s="47"/>
      <c r="G123" s="47"/>
      <c r="H123" s="48"/>
      <c r="I123" s="48"/>
    </row>
    <row r="124" spans="1:9" ht="21" customHeight="1" x14ac:dyDescent="0.2">
      <c r="A124" s="46"/>
      <c r="B124" s="46"/>
      <c r="C124" s="46"/>
      <c r="D124" s="46"/>
      <c r="E124" s="46"/>
      <c r="F124" s="47"/>
      <c r="G124" s="47"/>
      <c r="H124" s="48"/>
      <c r="I124" s="48"/>
    </row>
    <row r="125" spans="1:9" ht="21" customHeight="1" x14ac:dyDescent="0.2">
      <c r="A125" s="46"/>
      <c r="B125" s="46"/>
      <c r="C125" s="46"/>
      <c r="D125" s="46"/>
      <c r="E125" s="46"/>
      <c r="F125" s="47"/>
      <c r="G125" s="47"/>
      <c r="H125" s="48"/>
      <c r="I125" s="48"/>
    </row>
    <row r="126" spans="1:9" ht="21" customHeight="1" x14ac:dyDescent="0.2">
      <c r="A126" s="46"/>
      <c r="B126" s="46"/>
      <c r="C126" s="46"/>
      <c r="D126" s="46"/>
      <c r="E126" s="46"/>
      <c r="F126" s="47"/>
      <c r="G126" s="47"/>
      <c r="H126" s="48"/>
      <c r="I126" s="48"/>
    </row>
    <row r="127" spans="1:9" ht="21" customHeight="1" x14ac:dyDescent="0.2">
      <c r="A127" s="46"/>
      <c r="B127" s="46"/>
      <c r="C127" s="46"/>
      <c r="D127" s="46"/>
      <c r="E127" s="46"/>
      <c r="F127" s="47"/>
      <c r="G127" s="47"/>
      <c r="H127" s="48"/>
      <c r="I127" s="48"/>
    </row>
    <row r="128" spans="1:9" ht="21" customHeight="1" x14ac:dyDescent="0.2">
      <c r="A128" s="46"/>
      <c r="B128" s="46"/>
      <c r="C128" s="46"/>
      <c r="D128" s="46"/>
      <c r="E128" s="46"/>
      <c r="F128" s="47"/>
      <c r="G128" s="47"/>
      <c r="H128" s="48"/>
      <c r="I128" s="48"/>
    </row>
    <row r="129" spans="1:9" ht="21" customHeight="1" x14ac:dyDescent="0.2">
      <c r="A129" s="46"/>
      <c r="B129" s="46"/>
      <c r="C129" s="46"/>
      <c r="D129" s="46"/>
      <c r="E129" s="46"/>
      <c r="F129" s="47"/>
      <c r="G129" s="47"/>
      <c r="H129" s="48"/>
      <c r="I129" s="48"/>
    </row>
    <row r="130" spans="1:9" ht="21" customHeight="1" x14ac:dyDescent="0.2">
      <c r="A130" s="46"/>
      <c r="B130" s="46"/>
      <c r="C130" s="46"/>
      <c r="D130" s="46"/>
      <c r="E130" s="46"/>
      <c r="F130" s="47"/>
      <c r="G130" s="47"/>
      <c r="H130" s="48"/>
      <c r="I130" s="48"/>
    </row>
    <row r="131" spans="1:9" ht="21" customHeight="1" x14ac:dyDescent="0.2">
      <c r="A131" s="46"/>
      <c r="B131" s="46"/>
      <c r="C131" s="46"/>
      <c r="D131" s="46"/>
      <c r="E131" s="46"/>
      <c r="F131" s="47"/>
      <c r="G131" s="47"/>
      <c r="H131" s="48"/>
      <c r="I131" s="48"/>
    </row>
    <row r="132" spans="1:9" ht="21" customHeight="1" x14ac:dyDescent="0.2">
      <c r="A132" s="46"/>
      <c r="B132" s="46"/>
      <c r="C132" s="46"/>
      <c r="D132" s="46"/>
      <c r="E132" s="46"/>
      <c r="F132" s="47"/>
      <c r="G132" s="47"/>
      <c r="H132" s="48"/>
      <c r="I132" s="48"/>
    </row>
    <row r="133" spans="1:9" ht="21" customHeight="1" x14ac:dyDescent="0.2">
      <c r="A133" s="46"/>
      <c r="B133" s="46"/>
      <c r="C133" s="46"/>
      <c r="D133" s="46"/>
      <c r="E133" s="46"/>
      <c r="F133" s="47"/>
      <c r="G133" s="47"/>
      <c r="H133" s="48"/>
      <c r="I133" s="48"/>
    </row>
    <row r="134" spans="1:9" ht="21" customHeight="1" x14ac:dyDescent="0.2">
      <c r="A134" s="46"/>
      <c r="B134" s="46"/>
      <c r="C134" s="46"/>
      <c r="D134" s="46"/>
      <c r="E134" s="46"/>
      <c r="F134" s="47"/>
      <c r="G134" s="47"/>
      <c r="H134" s="48"/>
      <c r="I134" s="48"/>
    </row>
    <row r="135" spans="1:9" ht="21" customHeight="1" x14ac:dyDescent="0.2">
      <c r="A135" s="46"/>
      <c r="B135" s="46"/>
      <c r="C135" s="46"/>
      <c r="D135" s="46"/>
      <c r="E135" s="46"/>
      <c r="F135" s="47"/>
      <c r="G135" s="47"/>
      <c r="H135" s="48"/>
      <c r="I135" s="48"/>
    </row>
    <row r="136" spans="1:9" ht="21" customHeight="1" x14ac:dyDescent="0.2">
      <c r="A136" s="46"/>
      <c r="B136" s="46"/>
      <c r="C136" s="46"/>
      <c r="D136" s="46"/>
      <c r="E136" s="46"/>
      <c r="F136" s="47"/>
      <c r="G136" s="47"/>
      <c r="H136" s="48"/>
      <c r="I136" s="48"/>
    </row>
    <row r="137" spans="1:9" ht="21" customHeight="1" x14ac:dyDescent="0.2">
      <c r="A137" s="46"/>
      <c r="B137" s="46"/>
      <c r="C137" s="46"/>
      <c r="D137" s="46"/>
      <c r="E137" s="46"/>
      <c r="F137" s="47"/>
      <c r="G137" s="47"/>
      <c r="H137" s="48"/>
      <c r="I137" s="48"/>
    </row>
    <row r="138" spans="1:9" ht="21" customHeight="1" x14ac:dyDescent="0.2">
      <c r="A138" s="46"/>
      <c r="B138" s="46"/>
      <c r="C138" s="46"/>
      <c r="D138" s="46"/>
      <c r="E138" s="46"/>
      <c r="F138" s="47"/>
      <c r="G138" s="47"/>
      <c r="H138" s="48"/>
      <c r="I138" s="48"/>
    </row>
    <row r="139" spans="1:9" ht="21" customHeight="1" x14ac:dyDescent="0.2">
      <c r="A139" s="46"/>
      <c r="B139" s="46"/>
      <c r="C139" s="46"/>
      <c r="D139" s="46"/>
      <c r="E139" s="46"/>
      <c r="F139" s="47"/>
      <c r="G139" s="47"/>
      <c r="H139" s="48"/>
      <c r="I139" s="48"/>
    </row>
    <row r="140" spans="1:9" ht="21" customHeight="1" x14ac:dyDescent="0.2">
      <c r="A140" s="46"/>
      <c r="B140" s="46"/>
      <c r="C140" s="46"/>
      <c r="D140" s="46"/>
      <c r="E140" s="46"/>
      <c r="F140" s="47"/>
      <c r="G140" s="47"/>
      <c r="H140" s="48"/>
      <c r="I140" s="48"/>
    </row>
    <row r="141" spans="1:9" ht="21" customHeight="1" x14ac:dyDescent="0.2">
      <c r="A141" s="46"/>
      <c r="B141" s="46"/>
      <c r="C141" s="46"/>
      <c r="D141" s="46"/>
      <c r="E141" s="46"/>
      <c r="F141" s="47"/>
      <c r="G141" s="47"/>
      <c r="H141" s="48"/>
      <c r="I141" s="48"/>
    </row>
    <row r="142" spans="1:9" ht="21" customHeight="1" x14ac:dyDescent="0.2">
      <c r="A142" s="46"/>
      <c r="B142" s="46"/>
      <c r="C142" s="46"/>
      <c r="D142" s="46"/>
      <c r="E142" s="46"/>
      <c r="F142" s="47"/>
      <c r="G142" s="47"/>
      <c r="H142" s="48"/>
      <c r="I142" s="48"/>
    </row>
    <row r="143" spans="1:9" ht="21" customHeight="1" x14ac:dyDescent="0.2">
      <c r="A143" s="46"/>
      <c r="B143" s="46"/>
      <c r="C143" s="46"/>
      <c r="D143" s="46"/>
      <c r="E143" s="46"/>
      <c r="F143" s="47"/>
      <c r="G143" s="47"/>
      <c r="H143" s="48"/>
      <c r="I143" s="48"/>
    </row>
    <row r="144" spans="1:9" ht="21" customHeight="1" x14ac:dyDescent="0.2">
      <c r="A144" s="46"/>
      <c r="B144" s="46"/>
      <c r="C144" s="46"/>
      <c r="D144" s="46"/>
      <c r="E144" s="46"/>
      <c r="F144" s="47"/>
      <c r="G144" s="47"/>
      <c r="H144" s="48"/>
      <c r="I144" s="48"/>
    </row>
    <row r="145" spans="1:9" ht="21" customHeight="1" x14ac:dyDescent="0.2">
      <c r="A145" s="46"/>
      <c r="B145" s="46"/>
      <c r="C145" s="46"/>
      <c r="D145" s="46"/>
      <c r="E145" s="46"/>
      <c r="F145" s="47"/>
      <c r="G145" s="47"/>
      <c r="H145" s="48"/>
      <c r="I145" s="48"/>
    </row>
    <row r="146" spans="1:9" ht="21" customHeight="1" x14ac:dyDescent="0.2">
      <c r="A146" s="46"/>
      <c r="B146" s="46"/>
      <c r="C146" s="46"/>
      <c r="D146" s="46"/>
      <c r="E146" s="46"/>
      <c r="F146" s="47"/>
      <c r="G146" s="47"/>
      <c r="H146" s="48"/>
      <c r="I146" s="48"/>
    </row>
    <row r="147" spans="1:9" ht="21" customHeight="1" x14ac:dyDescent="0.2">
      <c r="A147" s="46"/>
      <c r="B147" s="46"/>
      <c r="C147" s="46"/>
      <c r="D147" s="46"/>
      <c r="E147" s="46"/>
      <c r="F147" s="47"/>
      <c r="G147" s="47"/>
      <c r="H147" s="48"/>
      <c r="I147" s="48"/>
    </row>
    <row r="148" spans="1:9" ht="21" customHeight="1" x14ac:dyDescent="0.2">
      <c r="A148" s="46"/>
      <c r="B148" s="46"/>
      <c r="C148" s="46"/>
      <c r="D148" s="46"/>
      <c r="E148" s="46"/>
      <c r="F148" s="47"/>
      <c r="G148" s="47"/>
      <c r="H148" s="48"/>
      <c r="I148" s="48"/>
    </row>
    <row r="149" spans="1:9" ht="21" customHeight="1" x14ac:dyDescent="0.2">
      <c r="A149" s="46"/>
      <c r="B149" s="46"/>
      <c r="C149" s="46"/>
      <c r="D149" s="46"/>
      <c r="E149" s="46"/>
      <c r="F149" s="47"/>
      <c r="G149" s="47"/>
      <c r="H149" s="48"/>
      <c r="I149" s="48"/>
    </row>
    <row r="150" spans="1:9" ht="21" customHeight="1" x14ac:dyDescent="0.2">
      <c r="A150" s="46"/>
      <c r="B150" s="46"/>
      <c r="C150" s="46"/>
      <c r="D150" s="46"/>
      <c r="E150" s="46"/>
      <c r="F150" s="47"/>
      <c r="G150" s="47"/>
      <c r="H150" s="48"/>
      <c r="I150" s="48"/>
    </row>
    <row r="151" spans="1:9" ht="21" customHeight="1" x14ac:dyDescent="0.2">
      <c r="A151" s="46"/>
      <c r="B151" s="46"/>
      <c r="C151" s="46"/>
      <c r="D151" s="46"/>
      <c r="E151" s="46"/>
      <c r="F151" s="47"/>
      <c r="G151" s="47"/>
      <c r="H151" s="48"/>
      <c r="I151" s="48"/>
    </row>
    <row r="152" spans="1:9" ht="21" customHeight="1" x14ac:dyDescent="0.2">
      <c r="A152" s="46"/>
      <c r="B152" s="46"/>
      <c r="C152" s="46"/>
      <c r="D152" s="46"/>
      <c r="E152" s="46"/>
      <c r="F152" s="47"/>
      <c r="G152" s="47"/>
      <c r="H152" s="48"/>
      <c r="I152" s="48"/>
    </row>
    <row r="153" spans="1:9" ht="21" customHeight="1" x14ac:dyDescent="0.2">
      <c r="A153" s="46"/>
      <c r="B153" s="46"/>
      <c r="C153" s="46"/>
      <c r="D153" s="46"/>
      <c r="E153" s="46"/>
      <c r="F153" s="47"/>
      <c r="G153" s="47"/>
      <c r="H153" s="48"/>
      <c r="I153" s="48"/>
    </row>
    <row r="154" spans="1:9" ht="21" customHeight="1" x14ac:dyDescent="0.2">
      <c r="A154" s="46"/>
      <c r="B154" s="46"/>
      <c r="C154" s="46"/>
      <c r="D154" s="46"/>
      <c r="E154" s="46"/>
      <c r="F154" s="47"/>
      <c r="G154" s="47"/>
      <c r="H154" s="48"/>
      <c r="I154" s="48"/>
    </row>
    <row r="155" spans="1:9" ht="21" customHeight="1" x14ac:dyDescent="0.2">
      <c r="A155" s="46"/>
      <c r="B155" s="46"/>
      <c r="C155" s="46"/>
      <c r="D155" s="46"/>
      <c r="E155" s="46"/>
      <c r="F155" s="47"/>
      <c r="G155" s="47"/>
      <c r="H155" s="48"/>
      <c r="I155" s="48"/>
    </row>
    <row r="156" spans="1:9" ht="21" customHeight="1" x14ac:dyDescent="0.2">
      <c r="A156" s="46"/>
      <c r="B156" s="46"/>
      <c r="C156" s="46"/>
      <c r="D156" s="46"/>
      <c r="E156" s="46"/>
      <c r="F156" s="47"/>
      <c r="G156" s="47"/>
      <c r="H156" s="48"/>
      <c r="I156" s="48"/>
    </row>
    <row r="157" spans="1:9" ht="21" customHeight="1" x14ac:dyDescent="0.2">
      <c r="A157" s="46"/>
      <c r="B157" s="46"/>
      <c r="C157" s="46"/>
      <c r="D157" s="46"/>
      <c r="E157" s="46"/>
      <c r="F157" s="47"/>
      <c r="G157" s="47"/>
      <c r="H157" s="48"/>
      <c r="I157" s="48"/>
    </row>
    <row r="158" spans="1:9" ht="21" customHeight="1" x14ac:dyDescent="0.2">
      <c r="A158" s="46"/>
      <c r="B158" s="46"/>
      <c r="C158" s="46"/>
      <c r="D158" s="46"/>
      <c r="E158" s="46"/>
      <c r="F158" s="47"/>
      <c r="G158" s="47"/>
      <c r="H158" s="48"/>
      <c r="I158" s="48"/>
    </row>
    <row r="159" spans="1:9" ht="21" customHeight="1" x14ac:dyDescent="0.2">
      <c r="A159" s="46"/>
      <c r="B159" s="46"/>
      <c r="C159" s="46"/>
      <c r="D159" s="46"/>
      <c r="E159" s="46"/>
      <c r="F159" s="47"/>
      <c r="G159" s="47"/>
      <c r="H159" s="48"/>
      <c r="I159" s="48"/>
    </row>
    <row r="160" spans="1:9" ht="21" customHeight="1" x14ac:dyDescent="0.2">
      <c r="A160" s="46"/>
      <c r="B160" s="46"/>
      <c r="C160" s="46"/>
      <c r="D160" s="46"/>
      <c r="E160" s="46"/>
      <c r="F160" s="47"/>
      <c r="G160" s="47"/>
      <c r="H160" s="48"/>
      <c r="I160" s="48"/>
    </row>
    <row r="161" spans="1:9" ht="21" customHeight="1" x14ac:dyDescent="0.2">
      <c r="A161" s="46"/>
      <c r="B161" s="46"/>
      <c r="C161" s="46"/>
      <c r="D161" s="46"/>
      <c r="E161" s="46"/>
      <c r="F161" s="47"/>
      <c r="G161" s="47"/>
      <c r="H161" s="48"/>
      <c r="I161" s="48"/>
    </row>
    <row r="162" spans="1:9" ht="21" customHeight="1" x14ac:dyDescent="0.2">
      <c r="A162" s="46"/>
      <c r="B162" s="46"/>
      <c r="C162" s="46"/>
      <c r="D162" s="46"/>
      <c r="E162" s="46"/>
      <c r="F162" s="47"/>
      <c r="G162" s="47"/>
      <c r="H162" s="48"/>
      <c r="I162" s="48"/>
    </row>
    <row r="163" spans="1:9" ht="21" customHeight="1" x14ac:dyDescent="0.2">
      <c r="A163" s="46"/>
      <c r="B163" s="46"/>
      <c r="C163" s="46"/>
      <c r="D163" s="46"/>
      <c r="E163" s="46"/>
      <c r="F163" s="47"/>
      <c r="G163" s="47"/>
      <c r="H163" s="48"/>
      <c r="I163" s="48"/>
    </row>
    <row r="164" spans="1:9" ht="21" customHeight="1" x14ac:dyDescent="0.2">
      <c r="A164" s="46"/>
      <c r="B164" s="46"/>
      <c r="C164" s="46"/>
      <c r="D164" s="46"/>
      <c r="E164" s="46"/>
      <c r="F164" s="47"/>
      <c r="G164" s="47"/>
      <c r="H164" s="48"/>
      <c r="I164" s="48"/>
    </row>
    <row r="165" spans="1:9" ht="21" customHeight="1" x14ac:dyDescent="0.2">
      <c r="A165" s="46"/>
      <c r="B165" s="46"/>
      <c r="C165" s="46"/>
      <c r="D165" s="46"/>
      <c r="E165" s="46"/>
      <c r="F165" s="47"/>
      <c r="G165" s="47"/>
      <c r="H165" s="48"/>
      <c r="I165" s="48"/>
    </row>
    <row r="166" spans="1:9" ht="21" customHeight="1" x14ac:dyDescent="0.2">
      <c r="A166" s="46"/>
      <c r="B166" s="46"/>
      <c r="C166" s="46"/>
      <c r="D166" s="46"/>
      <c r="E166" s="46"/>
      <c r="F166" s="47"/>
      <c r="G166" s="47"/>
      <c r="H166" s="48"/>
      <c r="I166" s="48"/>
    </row>
    <row r="167" spans="1:9" ht="21" customHeight="1" x14ac:dyDescent="0.2">
      <c r="A167" s="46"/>
      <c r="B167" s="46"/>
      <c r="C167" s="46"/>
      <c r="D167" s="46"/>
      <c r="E167" s="46"/>
      <c r="F167" s="47"/>
      <c r="G167" s="47"/>
      <c r="H167" s="48"/>
      <c r="I167" s="48"/>
    </row>
    <row r="168" spans="1:9" ht="21" customHeight="1" x14ac:dyDescent="0.2">
      <c r="A168" s="46"/>
      <c r="B168" s="46"/>
      <c r="C168" s="46"/>
      <c r="D168" s="46"/>
      <c r="E168" s="46"/>
      <c r="F168" s="47"/>
      <c r="G168" s="47"/>
      <c r="H168" s="48"/>
      <c r="I168" s="48"/>
    </row>
    <row r="169" spans="1:9" ht="21" customHeight="1" x14ac:dyDescent="0.2">
      <c r="A169" s="46"/>
      <c r="B169" s="46"/>
      <c r="C169" s="46"/>
      <c r="D169" s="46"/>
      <c r="E169" s="46"/>
      <c r="F169" s="47"/>
      <c r="G169" s="47"/>
      <c r="H169" s="48"/>
      <c r="I169" s="48"/>
    </row>
    <row r="170" spans="1:9" ht="21" customHeight="1" x14ac:dyDescent="0.2">
      <c r="A170" s="46"/>
      <c r="B170" s="46"/>
      <c r="C170" s="46"/>
      <c r="D170" s="46"/>
      <c r="E170" s="46"/>
      <c r="F170" s="47"/>
      <c r="G170" s="47"/>
      <c r="H170" s="48"/>
      <c r="I170" s="48"/>
    </row>
    <row r="171" spans="1:9" ht="21" customHeight="1" x14ac:dyDescent="0.2">
      <c r="A171" s="46"/>
      <c r="B171" s="46"/>
      <c r="C171" s="46"/>
      <c r="D171" s="46"/>
      <c r="E171" s="46"/>
      <c r="F171" s="47"/>
      <c r="G171" s="47"/>
      <c r="H171" s="48"/>
      <c r="I171" s="48"/>
    </row>
    <row r="172" spans="1:9" ht="21" customHeight="1" x14ac:dyDescent="0.2">
      <c r="A172" s="46"/>
      <c r="B172" s="46"/>
      <c r="C172" s="46"/>
      <c r="D172" s="46"/>
      <c r="E172" s="46"/>
      <c r="F172" s="47"/>
      <c r="G172" s="47"/>
      <c r="H172" s="48"/>
      <c r="I172" s="48"/>
    </row>
    <row r="173" spans="1:9" ht="21" customHeight="1" x14ac:dyDescent="0.2">
      <c r="A173" s="46"/>
      <c r="B173" s="46"/>
      <c r="C173" s="46"/>
      <c r="D173" s="46"/>
      <c r="E173" s="46"/>
      <c r="F173" s="47"/>
      <c r="G173" s="47"/>
      <c r="H173" s="48"/>
      <c r="I173" s="48"/>
    </row>
    <row r="174" spans="1:9" ht="21" customHeight="1" x14ac:dyDescent="0.2">
      <c r="A174" s="46"/>
      <c r="B174" s="46"/>
      <c r="C174" s="46"/>
      <c r="D174" s="46"/>
      <c r="E174" s="46"/>
      <c r="F174" s="47"/>
      <c r="G174" s="47"/>
      <c r="H174" s="48"/>
      <c r="I174" s="48"/>
    </row>
    <row r="175" spans="1:9" ht="21" customHeight="1" x14ac:dyDescent="0.2">
      <c r="A175" s="46"/>
      <c r="B175" s="46"/>
      <c r="C175" s="46"/>
      <c r="D175" s="46"/>
      <c r="E175" s="46"/>
      <c r="F175" s="47"/>
      <c r="G175" s="47"/>
      <c r="H175" s="48"/>
      <c r="I175" s="48"/>
    </row>
    <row r="176" spans="1:9" ht="21" customHeight="1" x14ac:dyDescent="0.2">
      <c r="A176" s="46"/>
      <c r="B176" s="46"/>
      <c r="C176" s="46"/>
      <c r="D176" s="46"/>
      <c r="E176" s="46"/>
      <c r="F176" s="47"/>
      <c r="G176" s="47"/>
      <c r="H176" s="48"/>
      <c r="I176" s="48"/>
    </row>
    <row r="177" spans="1:9" ht="21" customHeight="1" x14ac:dyDescent="0.2">
      <c r="A177" s="46"/>
      <c r="B177" s="46"/>
      <c r="C177" s="46"/>
      <c r="D177" s="46"/>
      <c r="E177" s="46"/>
      <c r="F177" s="47"/>
      <c r="G177" s="47"/>
      <c r="H177" s="48"/>
      <c r="I177" s="48"/>
    </row>
    <row r="178" spans="1:9" ht="21" customHeight="1" x14ac:dyDescent="0.2">
      <c r="A178" s="46"/>
      <c r="B178" s="46"/>
      <c r="C178" s="46"/>
      <c r="D178" s="46"/>
      <c r="E178" s="46"/>
      <c r="F178" s="47"/>
      <c r="G178" s="47"/>
      <c r="H178" s="48"/>
      <c r="I178" s="48"/>
    </row>
    <row r="179" spans="1:9" ht="21" customHeight="1" x14ac:dyDescent="0.2">
      <c r="A179" s="46"/>
      <c r="B179" s="46"/>
      <c r="C179" s="46"/>
      <c r="D179" s="46"/>
      <c r="E179" s="46"/>
      <c r="F179" s="47"/>
      <c r="G179" s="47"/>
      <c r="H179" s="48"/>
      <c r="I179" s="48"/>
    </row>
    <row r="180" spans="1:9" ht="21" customHeight="1" x14ac:dyDescent="0.2">
      <c r="A180" s="46"/>
      <c r="B180" s="46"/>
      <c r="C180" s="46"/>
      <c r="D180" s="46"/>
      <c r="E180" s="46"/>
      <c r="F180" s="47"/>
      <c r="G180" s="47"/>
      <c r="H180" s="48"/>
      <c r="I180" s="48"/>
    </row>
    <row r="181" spans="1:9" ht="21" customHeight="1" x14ac:dyDescent="0.2">
      <c r="A181" s="46"/>
      <c r="B181" s="46"/>
      <c r="C181" s="46"/>
      <c r="D181" s="46"/>
      <c r="E181" s="46"/>
      <c r="F181" s="47"/>
      <c r="G181" s="47"/>
      <c r="H181" s="48"/>
      <c r="I181" s="48"/>
    </row>
    <row r="182" spans="1:9" ht="21" customHeight="1" x14ac:dyDescent="0.2">
      <c r="A182" s="46"/>
      <c r="B182" s="46"/>
      <c r="C182" s="46"/>
      <c r="D182" s="46"/>
      <c r="E182" s="46"/>
      <c r="F182" s="47"/>
      <c r="G182" s="47"/>
      <c r="H182" s="48"/>
      <c r="I182" s="48"/>
    </row>
    <row r="183" spans="1:9" ht="21" customHeight="1" x14ac:dyDescent="0.2">
      <c r="A183" s="46"/>
      <c r="B183" s="46"/>
      <c r="C183" s="46"/>
      <c r="D183" s="46"/>
      <c r="E183" s="46"/>
      <c r="F183" s="47"/>
      <c r="G183" s="47"/>
      <c r="H183" s="48"/>
      <c r="I183" s="48"/>
    </row>
    <row r="184" spans="1:9" ht="21" customHeight="1" x14ac:dyDescent="0.2">
      <c r="A184" s="46"/>
      <c r="B184" s="46"/>
      <c r="C184" s="46"/>
      <c r="D184" s="46"/>
      <c r="E184" s="46"/>
      <c r="F184" s="47"/>
      <c r="G184" s="47"/>
      <c r="H184" s="48"/>
      <c r="I184" s="48"/>
    </row>
    <row r="185" spans="1:9" ht="21" customHeight="1" x14ac:dyDescent="0.2">
      <c r="A185" s="46"/>
      <c r="B185" s="46"/>
      <c r="C185" s="46"/>
      <c r="D185" s="46"/>
      <c r="E185" s="46"/>
      <c r="F185" s="47"/>
      <c r="G185" s="47"/>
      <c r="H185" s="48"/>
      <c r="I185" s="48"/>
    </row>
    <row r="186" spans="1:9" ht="21" customHeight="1" x14ac:dyDescent="0.2">
      <c r="A186" s="46"/>
      <c r="B186" s="46"/>
      <c r="C186" s="46"/>
      <c r="D186" s="46"/>
      <c r="E186" s="46"/>
      <c r="F186" s="47"/>
      <c r="G186" s="47"/>
      <c r="H186" s="48"/>
      <c r="I186" s="48"/>
    </row>
    <row r="187" spans="1:9" ht="21" customHeight="1" x14ac:dyDescent="0.2">
      <c r="A187" s="46"/>
      <c r="B187" s="46"/>
      <c r="C187" s="46"/>
      <c r="D187" s="46"/>
      <c r="E187" s="46"/>
      <c r="F187" s="47"/>
      <c r="G187" s="47"/>
      <c r="H187" s="48"/>
      <c r="I187" s="48"/>
    </row>
    <row r="188" spans="1:9" ht="21" customHeight="1" x14ac:dyDescent="0.2">
      <c r="A188" s="46"/>
      <c r="B188" s="46"/>
      <c r="C188" s="46"/>
      <c r="D188" s="46"/>
      <c r="E188" s="46"/>
      <c r="F188" s="47"/>
      <c r="G188" s="47"/>
      <c r="H188" s="48"/>
      <c r="I188" s="48"/>
    </row>
    <row r="189" spans="1:9" ht="21" customHeight="1" x14ac:dyDescent="0.2">
      <c r="A189" s="46"/>
      <c r="B189" s="46"/>
      <c r="C189" s="46"/>
      <c r="D189" s="46"/>
      <c r="E189" s="46"/>
      <c r="F189" s="47"/>
      <c r="G189" s="47"/>
      <c r="H189" s="48"/>
      <c r="I189" s="48"/>
    </row>
    <row r="190" spans="1:9" ht="21" customHeight="1" x14ac:dyDescent="0.2">
      <c r="A190" s="46"/>
      <c r="B190" s="46"/>
      <c r="C190" s="46"/>
      <c r="D190" s="46"/>
      <c r="E190" s="46"/>
      <c r="F190" s="47"/>
      <c r="G190" s="47"/>
      <c r="H190" s="48"/>
      <c r="I190" s="48"/>
    </row>
    <row r="191" spans="1:9" ht="21" customHeight="1" x14ac:dyDescent="0.2">
      <c r="A191" s="46"/>
      <c r="B191" s="46"/>
      <c r="C191" s="46"/>
      <c r="D191" s="46"/>
      <c r="E191" s="46"/>
      <c r="F191" s="47"/>
      <c r="G191" s="47"/>
      <c r="H191" s="48"/>
      <c r="I191" s="48"/>
    </row>
    <row r="192" spans="1:9" ht="21" customHeight="1" x14ac:dyDescent="0.2">
      <c r="A192" s="46"/>
      <c r="B192" s="46"/>
      <c r="C192" s="46"/>
      <c r="D192" s="46"/>
      <c r="E192" s="46"/>
      <c r="F192" s="47"/>
      <c r="G192" s="47"/>
      <c r="H192" s="48"/>
      <c r="I192" s="48"/>
    </row>
    <row r="193" spans="1:9" ht="21" customHeight="1" x14ac:dyDescent="0.2">
      <c r="A193" s="46"/>
      <c r="B193" s="46"/>
      <c r="C193" s="46"/>
      <c r="D193" s="46"/>
      <c r="E193" s="46"/>
      <c r="F193" s="47"/>
      <c r="G193" s="47"/>
      <c r="H193" s="48"/>
      <c r="I193" s="48"/>
    </row>
    <row r="194" spans="1:9" ht="21" customHeight="1" x14ac:dyDescent="0.2">
      <c r="A194" s="46"/>
      <c r="B194" s="46"/>
      <c r="C194" s="46"/>
      <c r="D194" s="46"/>
      <c r="E194" s="46"/>
      <c r="F194" s="47"/>
      <c r="G194" s="47"/>
      <c r="H194" s="48"/>
      <c r="I194" s="48"/>
    </row>
    <row r="195" spans="1:9" ht="21" customHeight="1" x14ac:dyDescent="0.2">
      <c r="A195" s="46"/>
      <c r="B195" s="46"/>
      <c r="C195" s="46"/>
      <c r="D195" s="46"/>
      <c r="E195" s="46"/>
      <c r="F195" s="47"/>
      <c r="G195" s="47"/>
      <c r="H195" s="48"/>
      <c r="I195" s="48"/>
    </row>
    <row r="196" spans="1:9" ht="21" customHeight="1" x14ac:dyDescent="0.2">
      <c r="A196" s="46"/>
      <c r="B196" s="46"/>
      <c r="C196" s="46"/>
      <c r="D196" s="46"/>
      <c r="E196" s="46"/>
      <c r="F196" s="47"/>
      <c r="G196" s="47"/>
      <c r="H196" s="48"/>
      <c r="I196" s="48"/>
    </row>
    <row r="197" spans="1:9" ht="21" customHeight="1" x14ac:dyDescent="0.2">
      <c r="A197" s="46"/>
      <c r="B197" s="46"/>
      <c r="C197" s="46"/>
      <c r="D197" s="46"/>
      <c r="E197" s="46"/>
      <c r="F197" s="47"/>
      <c r="G197" s="47"/>
      <c r="H197" s="48"/>
      <c r="I197" s="48"/>
    </row>
    <row r="198" spans="1:9" ht="21" customHeight="1" x14ac:dyDescent="0.2">
      <c r="A198" s="46"/>
      <c r="B198" s="46"/>
      <c r="C198" s="46"/>
      <c r="D198" s="46"/>
      <c r="E198" s="46"/>
      <c r="F198" s="47"/>
      <c r="G198" s="47"/>
      <c r="H198" s="48"/>
      <c r="I198" s="48"/>
    </row>
    <row r="199" spans="1:9" ht="21" customHeight="1" x14ac:dyDescent="0.2">
      <c r="A199" s="46"/>
      <c r="B199" s="46"/>
      <c r="C199" s="46"/>
      <c r="D199" s="46"/>
      <c r="E199" s="46"/>
      <c r="F199" s="47"/>
      <c r="G199" s="47"/>
      <c r="H199" s="48"/>
      <c r="I199" s="48"/>
    </row>
    <row r="200" spans="1:9" ht="21" customHeight="1" x14ac:dyDescent="0.2">
      <c r="A200" s="46"/>
      <c r="B200" s="46"/>
      <c r="C200" s="46"/>
      <c r="D200" s="46"/>
      <c r="E200" s="46"/>
      <c r="F200" s="47"/>
      <c r="G200" s="47"/>
      <c r="H200" s="48"/>
      <c r="I200" s="48"/>
    </row>
    <row r="201" spans="1:9" ht="21" customHeight="1" x14ac:dyDescent="0.2">
      <c r="A201" s="46"/>
      <c r="B201" s="46"/>
      <c r="C201" s="46"/>
      <c r="D201" s="46"/>
      <c r="E201" s="46"/>
      <c r="F201" s="47"/>
      <c r="G201" s="47"/>
      <c r="H201" s="48"/>
      <c r="I201" s="48"/>
    </row>
    <row r="202" spans="1:9" ht="21" customHeight="1" x14ac:dyDescent="0.2">
      <c r="A202" s="46"/>
      <c r="B202" s="46"/>
      <c r="C202" s="46"/>
      <c r="D202" s="46"/>
      <c r="E202" s="46"/>
      <c r="F202" s="47"/>
      <c r="G202" s="47"/>
      <c r="H202" s="48"/>
      <c r="I202" s="48"/>
    </row>
    <row r="203" spans="1:9" ht="21" customHeight="1" x14ac:dyDescent="0.2">
      <c r="A203" s="46"/>
      <c r="B203" s="46"/>
      <c r="C203" s="46"/>
      <c r="D203" s="46"/>
      <c r="E203" s="46"/>
      <c r="F203" s="47"/>
      <c r="G203" s="47"/>
      <c r="H203" s="48"/>
      <c r="I203" s="48"/>
    </row>
    <row r="204" spans="1:9" ht="21" customHeight="1" x14ac:dyDescent="0.2">
      <c r="A204" s="46"/>
      <c r="B204" s="46"/>
      <c r="C204" s="46"/>
      <c r="D204" s="46"/>
      <c r="E204" s="46"/>
      <c r="F204" s="47"/>
      <c r="G204" s="47"/>
      <c r="H204" s="48"/>
      <c r="I204" s="48"/>
    </row>
    <row r="205" spans="1:9" ht="21" customHeight="1" x14ac:dyDescent="0.2">
      <c r="A205" s="46"/>
      <c r="B205" s="46"/>
      <c r="C205" s="46"/>
      <c r="D205" s="46"/>
      <c r="E205" s="46"/>
      <c r="F205" s="47"/>
      <c r="G205" s="47"/>
      <c r="H205" s="48"/>
      <c r="I205" s="48"/>
    </row>
    <row r="206" spans="1:9" ht="21" customHeight="1" x14ac:dyDescent="0.2">
      <c r="A206" s="46"/>
      <c r="B206" s="46"/>
      <c r="C206" s="46"/>
      <c r="D206" s="46"/>
      <c r="E206" s="46"/>
      <c r="F206" s="47"/>
      <c r="G206" s="47"/>
      <c r="H206" s="48"/>
      <c r="I206" s="48"/>
    </row>
    <row r="207" spans="1:9" ht="21" customHeight="1" x14ac:dyDescent="0.2">
      <c r="A207" s="46"/>
      <c r="B207" s="46"/>
      <c r="C207" s="46"/>
      <c r="D207" s="46"/>
      <c r="E207" s="46"/>
      <c r="F207" s="47"/>
      <c r="G207" s="47"/>
      <c r="H207" s="48"/>
      <c r="I207" s="48"/>
    </row>
    <row r="208" spans="1:9" ht="21" customHeight="1" x14ac:dyDescent="0.2">
      <c r="A208" s="46"/>
      <c r="B208" s="46"/>
      <c r="C208" s="46"/>
      <c r="D208" s="46"/>
      <c r="E208" s="46"/>
      <c r="F208" s="47"/>
      <c r="G208" s="47"/>
      <c r="H208" s="48"/>
      <c r="I208" s="48"/>
    </row>
    <row r="209" spans="1:9" ht="21" customHeight="1" x14ac:dyDescent="0.2">
      <c r="A209" s="46"/>
      <c r="B209" s="46"/>
      <c r="C209" s="46"/>
      <c r="D209" s="46"/>
      <c r="E209" s="46"/>
      <c r="F209" s="47"/>
      <c r="G209" s="47"/>
      <c r="H209" s="48"/>
      <c r="I209" s="48"/>
    </row>
    <row r="210" spans="1:9" ht="21" customHeight="1" x14ac:dyDescent="0.2">
      <c r="A210" s="46"/>
      <c r="B210" s="46"/>
      <c r="C210" s="46"/>
      <c r="D210" s="46"/>
      <c r="E210" s="46"/>
      <c r="F210" s="47"/>
      <c r="G210" s="47"/>
      <c r="H210" s="48"/>
      <c r="I210" s="48"/>
    </row>
    <row r="211" spans="1:9" ht="21" customHeight="1" x14ac:dyDescent="0.2">
      <c r="A211" s="46"/>
      <c r="B211" s="46"/>
      <c r="C211" s="46"/>
      <c r="D211" s="46"/>
      <c r="E211" s="46"/>
      <c r="F211" s="47"/>
      <c r="G211" s="47"/>
      <c r="H211" s="48"/>
      <c r="I211" s="48"/>
    </row>
    <row r="212" spans="1:9" ht="21" customHeight="1" x14ac:dyDescent="0.2">
      <c r="A212" s="46"/>
      <c r="B212" s="46"/>
      <c r="C212" s="46"/>
      <c r="D212" s="46"/>
      <c r="E212" s="46"/>
      <c r="F212" s="47"/>
      <c r="G212" s="47"/>
      <c r="H212" s="48"/>
      <c r="I212" s="48"/>
    </row>
    <row r="213" spans="1:9" ht="21" customHeight="1" x14ac:dyDescent="0.2">
      <c r="A213" s="46"/>
      <c r="B213" s="46"/>
      <c r="C213" s="46"/>
      <c r="D213" s="46"/>
      <c r="E213" s="46"/>
      <c r="F213" s="47"/>
      <c r="G213" s="47"/>
      <c r="H213" s="48"/>
      <c r="I213" s="48"/>
    </row>
    <row r="214" spans="1:9" ht="21" customHeight="1" x14ac:dyDescent="0.2">
      <c r="A214" s="46"/>
      <c r="B214" s="46"/>
      <c r="C214" s="46"/>
      <c r="D214" s="46"/>
      <c r="E214" s="46"/>
      <c r="F214" s="47"/>
      <c r="G214" s="47"/>
      <c r="H214" s="48"/>
      <c r="I214" s="48"/>
    </row>
    <row r="215" spans="1:9" ht="21" customHeight="1" x14ac:dyDescent="0.2">
      <c r="A215" s="46"/>
      <c r="B215" s="46"/>
      <c r="C215" s="46"/>
      <c r="D215" s="46"/>
      <c r="E215" s="46"/>
      <c r="F215" s="47"/>
      <c r="G215" s="47"/>
      <c r="H215" s="48"/>
      <c r="I215" s="48"/>
    </row>
    <row r="216" spans="1:9" ht="21" customHeight="1" x14ac:dyDescent="0.2">
      <c r="A216" s="46"/>
      <c r="B216" s="46"/>
      <c r="C216" s="46"/>
      <c r="D216" s="46"/>
      <c r="E216" s="46"/>
      <c r="F216" s="47"/>
      <c r="G216" s="47"/>
      <c r="H216" s="48"/>
      <c r="I216" s="48"/>
    </row>
    <row r="217" spans="1:9" ht="21" customHeight="1" x14ac:dyDescent="0.2">
      <c r="A217" s="46"/>
      <c r="B217" s="46"/>
      <c r="C217" s="46"/>
      <c r="D217" s="46"/>
      <c r="E217" s="46"/>
      <c r="F217" s="47"/>
      <c r="G217" s="47"/>
      <c r="H217" s="48"/>
      <c r="I217" s="48"/>
    </row>
    <row r="218" spans="1:9" ht="21" customHeight="1" x14ac:dyDescent="0.2">
      <c r="A218" s="46"/>
      <c r="B218" s="46"/>
      <c r="C218" s="46"/>
      <c r="D218" s="46"/>
      <c r="E218" s="46"/>
      <c r="F218" s="47"/>
      <c r="G218" s="47"/>
      <c r="H218" s="48"/>
      <c r="I218" s="48"/>
    </row>
    <row r="219" spans="1:9" ht="21" customHeight="1" x14ac:dyDescent="0.2">
      <c r="A219" s="46"/>
      <c r="B219" s="46"/>
      <c r="C219" s="46"/>
      <c r="D219" s="46"/>
      <c r="E219" s="46"/>
      <c r="F219" s="47"/>
      <c r="G219" s="47"/>
      <c r="H219" s="48"/>
      <c r="I219" s="48"/>
    </row>
    <row r="220" spans="1:9" ht="21" customHeight="1" x14ac:dyDescent="0.2">
      <c r="A220" s="46"/>
      <c r="B220" s="46"/>
      <c r="C220" s="46"/>
      <c r="D220" s="46"/>
      <c r="E220" s="46"/>
      <c r="F220" s="47"/>
      <c r="G220" s="47"/>
      <c r="H220" s="48"/>
      <c r="I220" s="48"/>
    </row>
    <row r="221" spans="1:9" ht="21" customHeight="1" x14ac:dyDescent="0.2">
      <c r="A221" s="46"/>
      <c r="B221" s="46"/>
      <c r="C221" s="46"/>
      <c r="D221" s="46"/>
      <c r="E221" s="46"/>
      <c r="F221" s="47"/>
      <c r="G221" s="47"/>
      <c r="H221" s="48"/>
      <c r="I221" s="48"/>
    </row>
    <row r="222" spans="1:9" ht="21" customHeight="1" x14ac:dyDescent="0.2">
      <c r="A222" s="46"/>
      <c r="B222" s="46"/>
      <c r="C222" s="46"/>
      <c r="D222" s="46"/>
      <c r="E222" s="46"/>
      <c r="F222" s="47"/>
      <c r="G222" s="47"/>
      <c r="H222" s="48"/>
      <c r="I222" s="48"/>
    </row>
    <row r="223" spans="1:9" ht="21" customHeight="1" x14ac:dyDescent="0.2">
      <c r="A223" s="46"/>
      <c r="B223" s="46"/>
      <c r="C223" s="46"/>
      <c r="D223" s="46"/>
      <c r="E223" s="46"/>
      <c r="F223" s="47"/>
      <c r="G223" s="47"/>
      <c r="H223" s="48"/>
      <c r="I223" s="48"/>
    </row>
    <row r="224" spans="1:9" ht="21" customHeight="1" x14ac:dyDescent="0.2">
      <c r="A224" s="46"/>
      <c r="B224" s="46"/>
      <c r="C224" s="46"/>
      <c r="D224" s="46"/>
      <c r="E224" s="46"/>
      <c r="F224" s="47"/>
      <c r="G224" s="47"/>
      <c r="H224" s="48"/>
      <c r="I224" s="48"/>
    </row>
    <row r="225" spans="1:9" ht="21" customHeight="1" x14ac:dyDescent="0.2">
      <c r="A225" s="46"/>
      <c r="B225" s="46"/>
      <c r="C225" s="46"/>
      <c r="D225" s="46"/>
      <c r="E225" s="46"/>
      <c r="F225" s="47"/>
      <c r="G225" s="47"/>
      <c r="H225" s="48"/>
      <c r="I225" s="48"/>
    </row>
    <row r="226" spans="1:9" ht="21" customHeight="1" x14ac:dyDescent="0.2">
      <c r="A226" s="46"/>
      <c r="B226" s="46"/>
      <c r="C226" s="46"/>
      <c r="D226" s="46"/>
      <c r="E226" s="46"/>
      <c r="F226" s="47"/>
      <c r="G226" s="47"/>
      <c r="H226" s="48"/>
      <c r="I226" s="48"/>
    </row>
    <row r="227" spans="1:9" ht="21" customHeight="1" x14ac:dyDescent="0.2">
      <c r="A227" s="46"/>
      <c r="B227" s="46"/>
      <c r="C227" s="46"/>
      <c r="D227" s="46"/>
      <c r="E227" s="46"/>
      <c r="F227" s="47"/>
      <c r="G227" s="47"/>
      <c r="H227" s="48"/>
      <c r="I227" s="48"/>
    </row>
    <row r="228" spans="1:9" ht="21" customHeight="1" x14ac:dyDescent="0.2">
      <c r="A228" s="46"/>
      <c r="B228" s="46"/>
      <c r="C228" s="46"/>
      <c r="D228" s="46"/>
      <c r="E228" s="46"/>
      <c r="F228" s="47"/>
      <c r="G228" s="47"/>
      <c r="H228" s="48"/>
      <c r="I228" s="48"/>
    </row>
    <row r="229" spans="1:9" ht="21" customHeight="1" x14ac:dyDescent="0.2">
      <c r="A229" s="46"/>
      <c r="B229" s="46"/>
      <c r="C229" s="46"/>
      <c r="D229" s="46"/>
      <c r="E229" s="46"/>
      <c r="F229" s="47"/>
      <c r="G229" s="47"/>
      <c r="H229" s="48"/>
      <c r="I229" s="48"/>
    </row>
    <row r="230" spans="1:9" ht="21" customHeight="1" x14ac:dyDescent="0.2">
      <c r="A230" s="46"/>
      <c r="B230" s="46"/>
      <c r="C230" s="46"/>
      <c r="D230" s="46"/>
      <c r="E230" s="46"/>
      <c r="F230" s="47"/>
      <c r="G230" s="47"/>
      <c r="H230" s="48"/>
      <c r="I230" s="48"/>
    </row>
    <row r="231" spans="1:9" ht="21" customHeight="1" x14ac:dyDescent="0.2">
      <c r="A231" s="46"/>
      <c r="B231" s="46"/>
      <c r="C231" s="46"/>
      <c r="D231" s="46"/>
      <c r="E231" s="46"/>
      <c r="F231" s="47"/>
      <c r="G231" s="47"/>
      <c r="H231" s="48"/>
      <c r="I231" s="48"/>
    </row>
    <row r="232" spans="1:9" ht="21" customHeight="1" x14ac:dyDescent="0.2">
      <c r="A232" s="46"/>
      <c r="B232" s="46"/>
      <c r="C232" s="46"/>
      <c r="D232" s="46"/>
      <c r="E232" s="46"/>
      <c r="F232" s="47"/>
      <c r="G232" s="47"/>
      <c r="H232" s="48"/>
      <c r="I232" s="48"/>
    </row>
    <row r="233" spans="1:9" ht="21" customHeight="1" x14ac:dyDescent="0.2">
      <c r="A233" s="46"/>
      <c r="B233" s="46"/>
      <c r="C233" s="46"/>
      <c r="D233" s="46"/>
      <c r="E233" s="46"/>
      <c r="F233" s="47"/>
      <c r="G233" s="47"/>
      <c r="H233" s="48"/>
      <c r="I233" s="48"/>
    </row>
    <row r="234" spans="1:9" ht="21" customHeight="1" x14ac:dyDescent="0.2">
      <c r="A234" s="46"/>
      <c r="B234" s="46"/>
      <c r="C234" s="46"/>
      <c r="D234" s="46"/>
      <c r="E234" s="46"/>
      <c r="F234" s="47"/>
      <c r="G234" s="47"/>
      <c r="H234" s="48"/>
      <c r="I234" s="48"/>
    </row>
    <row r="235" spans="1:9" ht="21" customHeight="1" x14ac:dyDescent="0.2">
      <c r="A235" s="46"/>
      <c r="B235" s="46"/>
      <c r="C235" s="46"/>
      <c r="D235" s="46"/>
      <c r="E235" s="46"/>
      <c r="F235" s="47"/>
      <c r="G235" s="47"/>
      <c r="H235" s="48"/>
      <c r="I235" s="48"/>
    </row>
    <row r="236" spans="1:9" ht="21" customHeight="1" x14ac:dyDescent="0.2">
      <c r="A236" s="46"/>
      <c r="B236" s="46"/>
      <c r="C236" s="46"/>
      <c r="D236" s="46"/>
      <c r="E236" s="46"/>
      <c r="F236" s="47"/>
      <c r="G236" s="47"/>
      <c r="H236" s="48"/>
      <c r="I236" s="48"/>
    </row>
    <row r="237" spans="1:9" ht="21" customHeight="1" x14ac:dyDescent="0.2">
      <c r="A237" s="46"/>
      <c r="B237" s="46"/>
      <c r="C237" s="46"/>
      <c r="D237" s="46"/>
      <c r="E237" s="46"/>
      <c r="F237" s="47"/>
      <c r="G237" s="47"/>
      <c r="H237" s="48"/>
      <c r="I237" s="48"/>
    </row>
    <row r="238" spans="1:9" ht="21" customHeight="1" x14ac:dyDescent="0.2">
      <c r="A238" s="46"/>
      <c r="B238" s="46"/>
      <c r="C238" s="46"/>
      <c r="D238" s="46"/>
      <c r="E238" s="46"/>
      <c r="F238" s="47"/>
      <c r="G238" s="47"/>
      <c r="H238" s="48"/>
      <c r="I238" s="48"/>
    </row>
    <row r="239" spans="1:9" ht="21" customHeight="1" x14ac:dyDescent="0.2">
      <c r="A239" s="46"/>
      <c r="B239" s="46"/>
      <c r="C239" s="46"/>
      <c r="D239" s="46"/>
      <c r="E239" s="46"/>
      <c r="F239" s="47"/>
      <c r="G239" s="47"/>
      <c r="H239" s="48"/>
      <c r="I239" s="48"/>
    </row>
    <row r="240" spans="1:9" ht="21" customHeight="1" x14ac:dyDescent="0.2">
      <c r="A240" s="46"/>
      <c r="B240" s="46"/>
      <c r="C240" s="46"/>
      <c r="D240" s="46"/>
      <c r="E240" s="46"/>
      <c r="F240" s="47"/>
      <c r="G240" s="47"/>
      <c r="H240" s="48"/>
      <c r="I240" s="48"/>
    </row>
    <row r="241" spans="1:9" ht="21" customHeight="1" x14ac:dyDescent="0.2">
      <c r="A241" s="46"/>
      <c r="B241" s="46"/>
      <c r="C241" s="46"/>
      <c r="D241" s="46"/>
      <c r="E241" s="46"/>
      <c r="F241" s="47"/>
      <c r="G241" s="47"/>
      <c r="H241" s="48"/>
      <c r="I241" s="48"/>
    </row>
    <row r="242" spans="1:9" ht="21" customHeight="1" x14ac:dyDescent="0.2">
      <c r="A242" s="46"/>
      <c r="B242" s="46"/>
      <c r="C242" s="46"/>
      <c r="D242" s="46"/>
      <c r="E242" s="46"/>
      <c r="F242" s="47"/>
      <c r="G242" s="47"/>
      <c r="H242" s="48"/>
      <c r="I242" s="48"/>
    </row>
    <row r="243" spans="1:9" ht="21" customHeight="1" x14ac:dyDescent="0.2">
      <c r="A243" s="46"/>
      <c r="B243" s="46"/>
      <c r="C243" s="46"/>
      <c r="D243" s="46"/>
      <c r="E243" s="46"/>
      <c r="F243" s="47"/>
      <c r="G243" s="47"/>
      <c r="H243" s="48"/>
      <c r="I243" s="48"/>
    </row>
    <row r="244" spans="1:9" ht="21" customHeight="1" x14ac:dyDescent="0.2">
      <c r="A244" s="46"/>
      <c r="B244" s="46"/>
      <c r="C244" s="46"/>
      <c r="D244" s="46"/>
      <c r="E244" s="46"/>
      <c r="F244" s="47"/>
      <c r="G244" s="47"/>
      <c r="H244" s="48"/>
      <c r="I244" s="48"/>
    </row>
    <row r="245" spans="1:9" ht="21" customHeight="1" x14ac:dyDescent="0.2">
      <c r="A245" s="46"/>
      <c r="B245" s="46"/>
      <c r="C245" s="46"/>
      <c r="D245" s="46"/>
      <c r="E245" s="46"/>
      <c r="F245" s="47"/>
      <c r="G245" s="47"/>
      <c r="H245" s="48"/>
      <c r="I245" s="48"/>
    </row>
    <row r="246" spans="1:9" ht="21" customHeight="1" x14ac:dyDescent="0.2">
      <c r="A246" s="46"/>
      <c r="B246" s="46"/>
      <c r="C246" s="46"/>
      <c r="D246" s="46"/>
      <c r="E246" s="46"/>
      <c r="F246" s="47"/>
      <c r="G246" s="47"/>
      <c r="H246" s="48"/>
      <c r="I246" s="48"/>
    </row>
    <row r="247" spans="1:9" ht="21" customHeight="1" x14ac:dyDescent="0.2">
      <c r="A247" s="46"/>
      <c r="B247" s="46"/>
      <c r="C247" s="46"/>
      <c r="D247" s="46"/>
      <c r="E247" s="46"/>
      <c r="F247" s="47"/>
      <c r="G247" s="47"/>
      <c r="H247" s="48"/>
      <c r="I247" s="48"/>
    </row>
    <row r="248" spans="1:9" ht="21" customHeight="1" x14ac:dyDescent="0.2">
      <c r="A248" s="46"/>
      <c r="B248" s="46"/>
      <c r="C248" s="46"/>
      <c r="D248" s="46"/>
      <c r="E248" s="46"/>
      <c r="F248" s="47"/>
      <c r="G248" s="47"/>
      <c r="H248" s="48"/>
      <c r="I248" s="48"/>
    </row>
    <row r="249" spans="1:9" ht="21" customHeight="1" x14ac:dyDescent="0.2">
      <c r="A249" s="46"/>
      <c r="B249" s="46"/>
      <c r="C249" s="46"/>
      <c r="D249" s="46"/>
      <c r="E249" s="46"/>
      <c r="F249" s="47"/>
      <c r="G249" s="47"/>
      <c r="H249" s="48"/>
      <c r="I249" s="48"/>
    </row>
    <row r="250" spans="1:9" ht="21" customHeight="1" x14ac:dyDescent="0.2">
      <c r="A250" s="46"/>
      <c r="B250" s="46"/>
      <c r="C250" s="46"/>
      <c r="D250" s="46"/>
      <c r="E250" s="46"/>
      <c r="F250" s="47"/>
      <c r="G250" s="47"/>
      <c r="H250" s="48"/>
      <c r="I250" s="48"/>
    </row>
    <row r="251" spans="1:9" ht="21" customHeight="1" x14ac:dyDescent="0.2">
      <c r="A251" s="46"/>
      <c r="B251" s="46"/>
      <c r="C251" s="46"/>
      <c r="D251" s="46"/>
      <c r="E251" s="46"/>
      <c r="F251" s="47"/>
      <c r="G251" s="47"/>
      <c r="H251" s="48"/>
      <c r="I251" s="48"/>
    </row>
    <row r="252" spans="1:9" ht="21" customHeight="1" x14ac:dyDescent="0.2">
      <c r="A252" s="46"/>
      <c r="B252" s="46"/>
      <c r="C252" s="46"/>
      <c r="D252" s="46"/>
      <c r="E252" s="46"/>
      <c r="F252" s="47"/>
      <c r="G252" s="47"/>
      <c r="H252" s="48"/>
      <c r="I252" s="48"/>
    </row>
    <row r="253" spans="1:9" ht="21" customHeight="1" x14ac:dyDescent="0.2">
      <c r="A253" s="46"/>
      <c r="B253" s="46"/>
      <c r="C253" s="46"/>
      <c r="D253" s="46"/>
      <c r="E253" s="46"/>
      <c r="F253" s="47"/>
      <c r="G253" s="47"/>
      <c r="H253" s="48"/>
      <c r="I253" s="48"/>
    </row>
    <row r="254" spans="1:9" ht="21" customHeight="1" x14ac:dyDescent="0.2">
      <c r="A254" s="46"/>
      <c r="B254" s="46"/>
      <c r="C254" s="46"/>
      <c r="D254" s="46"/>
      <c r="E254" s="46"/>
      <c r="F254" s="47"/>
      <c r="G254" s="47"/>
      <c r="H254" s="48"/>
      <c r="I254" s="48"/>
    </row>
    <row r="255" spans="1:9" ht="21" customHeight="1" x14ac:dyDescent="0.2">
      <c r="A255" s="46"/>
      <c r="B255" s="46"/>
      <c r="C255" s="46"/>
      <c r="D255" s="46"/>
      <c r="E255" s="46"/>
      <c r="F255" s="47"/>
      <c r="G255" s="47"/>
      <c r="H255" s="48"/>
      <c r="I255" s="48"/>
    </row>
    <row r="256" spans="1:9" ht="21" customHeight="1" x14ac:dyDescent="0.2">
      <c r="A256" s="46"/>
      <c r="B256" s="46"/>
      <c r="C256" s="46"/>
      <c r="D256" s="46"/>
      <c r="E256" s="46"/>
      <c r="F256" s="47"/>
      <c r="G256" s="47"/>
      <c r="H256" s="48"/>
      <c r="I256" s="48"/>
    </row>
    <row r="257" spans="1:9" ht="21" customHeight="1" x14ac:dyDescent="0.2">
      <c r="A257" s="46"/>
      <c r="B257" s="46"/>
      <c r="C257" s="46"/>
      <c r="D257" s="46"/>
      <c r="E257" s="46"/>
      <c r="F257" s="47"/>
      <c r="G257" s="47"/>
      <c r="H257" s="48"/>
      <c r="I257" s="48"/>
    </row>
    <row r="258" spans="1:9" ht="21" customHeight="1" x14ac:dyDescent="0.2">
      <c r="A258" s="46"/>
      <c r="B258" s="46"/>
      <c r="C258" s="46"/>
      <c r="D258" s="46"/>
      <c r="E258" s="46"/>
      <c r="F258" s="47"/>
      <c r="G258" s="47"/>
      <c r="H258" s="48"/>
      <c r="I258" s="48"/>
    </row>
    <row r="259" spans="1:9" ht="21" customHeight="1" x14ac:dyDescent="0.2">
      <c r="A259" s="46"/>
      <c r="B259" s="46"/>
      <c r="C259" s="46"/>
      <c r="D259" s="46"/>
      <c r="E259" s="46"/>
      <c r="F259" s="47"/>
      <c r="G259" s="47"/>
      <c r="H259" s="48"/>
      <c r="I259" s="48"/>
    </row>
    <row r="260" spans="1:9" ht="21" customHeight="1" x14ac:dyDescent="0.2">
      <c r="A260" s="46"/>
      <c r="B260" s="46"/>
      <c r="C260" s="46"/>
      <c r="D260" s="46"/>
      <c r="E260" s="46"/>
      <c r="F260" s="47"/>
      <c r="G260" s="47"/>
      <c r="H260" s="48"/>
      <c r="I260" s="48"/>
    </row>
    <row r="261" spans="1:9" ht="21" customHeight="1" x14ac:dyDescent="0.2">
      <c r="A261" s="46"/>
      <c r="B261" s="46"/>
      <c r="C261" s="46"/>
      <c r="D261" s="46"/>
      <c r="E261" s="46"/>
      <c r="F261" s="47"/>
      <c r="G261" s="47"/>
      <c r="H261" s="48"/>
      <c r="I261" s="48"/>
    </row>
    <row r="262" spans="1:9" ht="21" customHeight="1" x14ac:dyDescent="0.2">
      <c r="A262" s="46"/>
      <c r="B262" s="46"/>
      <c r="C262" s="46"/>
      <c r="D262" s="46"/>
      <c r="E262" s="46"/>
      <c r="F262" s="47"/>
      <c r="G262" s="47"/>
      <c r="H262" s="48"/>
      <c r="I262" s="48"/>
    </row>
    <row r="263" spans="1:9" ht="21" customHeight="1" x14ac:dyDescent="0.2">
      <c r="A263" s="46"/>
      <c r="B263" s="46"/>
      <c r="C263" s="46"/>
      <c r="D263" s="46"/>
      <c r="E263" s="46"/>
      <c r="F263" s="47"/>
      <c r="G263" s="47"/>
      <c r="H263" s="48"/>
      <c r="I263" s="48"/>
    </row>
    <row r="264" spans="1:9" ht="21" customHeight="1" x14ac:dyDescent="0.2">
      <c r="A264" s="46"/>
      <c r="B264" s="46"/>
      <c r="C264" s="46"/>
      <c r="D264" s="46"/>
      <c r="E264" s="46"/>
      <c r="F264" s="47"/>
      <c r="G264" s="47"/>
      <c r="H264" s="48"/>
      <c r="I264" s="48"/>
    </row>
    <row r="265" spans="1:9" ht="21" customHeight="1" x14ac:dyDescent="0.2">
      <c r="A265" s="46"/>
      <c r="B265" s="46"/>
      <c r="C265" s="46"/>
      <c r="D265" s="46"/>
      <c r="E265" s="46"/>
      <c r="F265" s="47"/>
      <c r="G265" s="47"/>
      <c r="H265" s="48"/>
      <c r="I265" s="48"/>
    </row>
    <row r="266" spans="1:9" ht="21" customHeight="1" x14ac:dyDescent="0.2">
      <c r="A266" s="46"/>
      <c r="B266" s="46"/>
      <c r="C266" s="46"/>
      <c r="D266" s="46"/>
      <c r="E266" s="46"/>
      <c r="F266" s="47"/>
      <c r="G266" s="47"/>
      <c r="H266" s="48"/>
      <c r="I266" s="48"/>
    </row>
    <row r="267" spans="1:9" ht="21" customHeight="1" x14ac:dyDescent="0.2">
      <c r="A267" s="46"/>
      <c r="B267" s="46"/>
      <c r="C267" s="46"/>
      <c r="D267" s="46"/>
      <c r="E267" s="46"/>
      <c r="F267" s="47"/>
      <c r="G267" s="47"/>
      <c r="H267" s="48"/>
      <c r="I267" s="48"/>
    </row>
    <row r="268" spans="1:9" ht="21" customHeight="1" x14ac:dyDescent="0.2">
      <c r="A268" s="46"/>
      <c r="B268" s="46"/>
      <c r="C268" s="46"/>
      <c r="D268" s="46"/>
      <c r="E268" s="46"/>
      <c r="F268" s="47"/>
      <c r="G268" s="47"/>
      <c r="H268" s="48"/>
      <c r="I268" s="48"/>
    </row>
    <row r="269" spans="1:9" ht="21" customHeight="1" x14ac:dyDescent="0.2">
      <c r="A269" s="46"/>
      <c r="B269" s="46"/>
      <c r="C269" s="46"/>
      <c r="D269" s="46"/>
      <c r="E269" s="46"/>
      <c r="F269" s="47"/>
      <c r="G269" s="47"/>
      <c r="H269" s="48"/>
      <c r="I269" s="48"/>
    </row>
    <row r="270" spans="1:9" ht="21" customHeight="1" x14ac:dyDescent="0.2">
      <c r="A270" s="46"/>
      <c r="B270" s="46"/>
      <c r="C270" s="46"/>
      <c r="D270" s="46"/>
      <c r="E270" s="46"/>
      <c r="F270" s="47"/>
      <c r="G270" s="47"/>
      <c r="H270" s="48"/>
      <c r="I270" s="48"/>
    </row>
    <row r="271" spans="1:9" ht="21" customHeight="1" x14ac:dyDescent="0.2">
      <c r="A271" s="46"/>
      <c r="B271" s="46"/>
      <c r="C271" s="46"/>
      <c r="D271" s="46"/>
      <c r="E271" s="46"/>
      <c r="F271" s="47"/>
      <c r="G271" s="47"/>
      <c r="H271" s="48"/>
      <c r="I271" s="48"/>
    </row>
    <row r="272" spans="1:9" ht="21" customHeight="1" x14ac:dyDescent="0.2">
      <c r="A272" s="46"/>
      <c r="B272" s="46"/>
      <c r="C272" s="46"/>
      <c r="D272" s="46"/>
      <c r="E272" s="46"/>
      <c r="F272" s="47"/>
      <c r="G272" s="47"/>
      <c r="H272" s="48"/>
      <c r="I272" s="48"/>
    </row>
    <row r="273" spans="1:9" ht="21" customHeight="1" x14ac:dyDescent="0.2">
      <c r="A273" s="46"/>
      <c r="B273" s="46"/>
      <c r="C273" s="46"/>
      <c r="D273" s="46"/>
      <c r="E273" s="46"/>
      <c r="F273" s="47"/>
      <c r="G273" s="47"/>
      <c r="H273" s="48"/>
      <c r="I273" s="48"/>
    </row>
    <row r="274" spans="1:9" ht="21" customHeight="1" x14ac:dyDescent="0.2">
      <c r="A274" s="46"/>
      <c r="B274" s="46"/>
      <c r="C274" s="46"/>
      <c r="D274" s="46"/>
      <c r="E274" s="46"/>
      <c r="F274" s="47"/>
      <c r="G274" s="47"/>
      <c r="H274" s="48"/>
      <c r="I274" s="48"/>
    </row>
    <row r="275" spans="1:9" ht="21" customHeight="1" x14ac:dyDescent="0.2">
      <c r="A275" s="46"/>
      <c r="B275" s="46"/>
      <c r="C275" s="46"/>
      <c r="D275" s="46"/>
      <c r="E275" s="46"/>
      <c r="F275" s="47"/>
      <c r="G275" s="47"/>
      <c r="H275" s="48"/>
      <c r="I275" s="48"/>
    </row>
    <row r="276" spans="1:9" ht="21" customHeight="1" x14ac:dyDescent="0.2">
      <c r="A276" s="46"/>
      <c r="B276" s="46"/>
      <c r="C276" s="46"/>
      <c r="D276" s="46"/>
      <c r="E276" s="46"/>
      <c r="F276" s="47"/>
      <c r="G276" s="47"/>
      <c r="H276" s="48"/>
      <c r="I276" s="48"/>
    </row>
    <row r="277" spans="1:9" ht="21" customHeight="1" x14ac:dyDescent="0.2">
      <c r="A277" s="46"/>
      <c r="B277" s="46"/>
      <c r="C277" s="46"/>
      <c r="D277" s="46"/>
      <c r="E277" s="46"/>
      <c r="F277" s="47"/>
      <c r="G277" s="47"/>
      <c r="H277" s="48"/>
      <c r="I277" s="48"/>
    </row>
    <row r="278" spans="1:9" ht="21" customHeight="1" x14ac:dyDescent="0.2">
      <c r="A278" s="46"/>
      <c r="B278" s="46"/>
      <c r="C278" s="46"/>
      <c r="D278" s="46"/>
      <c r="E278" s="46"/>
      <c r="F278" s="47"/>
      <c r="G278" s="47"/>
      <c r="H278" s="48"/>
      <c r="I278" s="48"/>
    </row>
    <row r="279" spans="1:9" ht="21" customHeight="1" x14ac:dyDescent="0.2">
      <c r="A279" s="46"/>
      <c r="B279" s="46"/>
      <c r="C279" s="46"/>
      <c r="D279" s="46"/>
      <c r="E279" s="46"/>
      <c r="F279" s="47"/>
      <c r="G279" s="47"/>
      <c r="H279" s="48"/>
      <c r="I279" s="48"/>
    </row>
    <row r="280" spans="1:9" ht="21" customHeight="1" x14ac:dyDescent="0.2">
      <c r="A280" s="46"/>
      <c r="B280" s="46"/>
      <c r="C280" s="46"/>
      <c r="D280" s="46"/>
      <c r="E280" s="46"/>
      <c r="F280" s="47"/>
      <c r="G280" s="47"/>
      <c r="H280" s="48"/>
      <c r="I280" s="48"/>
    </row>
    <row r="281" spans="1:9" ht="21" customHeight="1" x14ac:dyDescent="0.2">
      <c r="A281" s="46"/>
      <c r="B281" s="46"/>
      <c r="C281" s="46"/>
      <c r="D281" s="46"/>
      <c r="E281" s="46"/>
      <c r="F281" s="47"/>
      <c r="G281" s="47"/>
      <c r="H281" s="48"/>
      <c r="I281" s="48"/>
    </row>
    <row r="282" spans="1:9" ht="21" customHeight="1" x14ac:dyDescent="0.2">
      <c r="A282" s="46"/>
      <c r="B282" s="46"/>
      <c r="C282" s="46"/>
      <c r="D282" s="46"/>
      <c r="E282" s="46"/>
      <c r="F282" s="47"/>
      <c r="G282" s="47"/>
      <c r="H282" s="48"/>
      <c r="I282" s="48"/>
    </row>
    <row r="283" spans="1:9" ht="21" customHeight="1" x14ac:dyDescent="0.2">
      <c r="A283" s="46"/>
      <c r="B283" s="46"/>
      <c r="C283" s="46"/>
      <c r="D283" s="46"/>
      <c r="E283" s="46"/>
      <c r="F283" s="47"/>
      <c r="G283" s="47"/>
      <c r="H283" s="48"/>
      <c r="I283" s="48"/>
    </row>
    <row r="284" spans="1:9" ht="21" customHeight="1" x14ac:dyDescent="0.2">
      <c r="A284" s="46"/>
      <c r="B284" s="46"/>
      <c r="C284" s="46"/>
      <c r="D284" s="46"/>
      <c r="E284" s="46"/>
      <c r="F284" s="47"/>
      <c r="G284" s="47"/>
      <c r="H284" s="48"/>
      <c r="I284" s="48"/>
    </row>
    <row r="285" spans="1:9" ht="21" customHeight="1" x14ac:dyDescent="0.2">
      <c r="A285" s="46"/>
      <c r="B285" s="46"/>
      <c r="C285" s="46"/>
      <c r="D285" s="46"/>
      <c r="E285" s="46"/>
      <c r="F285" s="47"/>
      <c r="G285" s="47"/>
      <c r="H285" s="48"/>
      <c r="I285" s="48"/>
    </row>
    <row r="286" spans="1:9" ht="21" customHeight="1" x14ac:dyDescent="0.2">
      <c r="A286" s="46"/>
      <c r="B286" s="46"/>
      <c r="C286" s="46"/>
      <c r="D286" s="46"/>
      <c r="E286" s="46"/>
      <c r="F286" s="47"/>
      <c r="G286" s="47"/>
      <c r="H286" s="48"/>
      <c r="I286" s="48"/>
    </row>
    <row r="287" spans="1:9" ht="21" customHeight="1" x14ac:dyDescent="0.2">
      <c r="A287" s="46"/>
      <c r="B287" s="46"/>
      <c r="C287" s="46"/>
      <c r="D287" s="46"/>
      <c r="E287" s="46"/>
      <c r="F287" s="47"/>
      <c r="G287" s="47"/>
      <c r="H287" s="48"/>
      <c r="I287" s="48"/>
    </row>
    <row r="288" spans="1:9" ht="21" customHeight="1" x14ac:dyDescent="0.2">
      <c r="A288" s="46"/>
      <c r="B288" s="46"/>
      <c r="C288" s="46"/>
      <c r="D288" s="46"/>
      <c r="E288" s="46"/>
      <c r="F288" s="47"/>
      <c r="G288" s="47"/>
      <c r="H288" s="48"/>
      <c r="I288" s="48"/>
    </row>
    <row r="289" spans="1:9" ht="21" customHeight="1" x14ac:dyDescent="0.2">
      <c r="A289" s="46"/>
      <c r="B289" s="46"/>
      <c r="C289" s="46"/>
      <c r="D289" s="46"/>
      <c r="E289" s="46"/>
      <c r="F289" s="47"/>
      <c r="G289" s="47"/>
      <c r="H289" s="48"/>
      <c r="I289" s="48"/>
    </row>
    <row r="290" spans="1:9" ht="21" customHeight="1" x14ac:dyDescent="0.2">
      <c r="A290" s="46"/>
      <c r="B290" s="46"/>
      <c r="C290" s="46"/>
      <c r="D290" s="46"/>
      <c r="E290" s="46"/>
      <c r="F290" s="47"/>
      <c r="G290" s="47"/>
      <c r="H290" s="48"/>
      <c r="I290" s="48"/>
    </row>
    <row r="291" spans="1:9" ht="21" customHeight="1" x14ac:dyDescent="0.2">
      <c r="A291" s="46"/>
      <c r="B291" s="46"/>
      <c r="C291" s="46"/>
      <c r="D291" s="46"/>
      <c r="E291" s="46"/>
      <c r="F291" s="47"/>
      <c r="G291" s="47"/>
      <c r="H291" s="48"/>
      <c r="I291" s="48"/>
    </row>
    <row r="292" spans="1:9" ht="21" customHeight="1" x14ac:dyDescent="0.2">
      <c r="A292" s="46"/>
      <c r="B292" s="46"/>
      <c r="C292" s="46"/>
      <c r="D292" s="46"/>
      <c r="E292" s="46"/>
      <c r="F292" s="47"/>
      <c r="G292" s="47"/>
      <c r="H292" s="48"/>
      <c r="I292" s="48"/>
    </row>
    <row r="293" spans="1:9" ht="21" customHeight="1" x14ac:dyDescent="0.2">
      <c r="A293" s="46"/>
      <c r="B293" s="46"/>
      <c r="C293" s="46"/>
      <c r="D293" s="46"/>
      <c r="E293" s="46"/>
      <c r="F293" s="47"/>
      <c r="G293" s="47"/>
      <c r="H293" s="48"/>
      <c r="I293" s="48"/>
    </row>
    <row r="294" spans="1:9" ht="21" customHeight="1" x14ac:dyDescent="0.2">
      <c r="A294" s="46"/>
      <c r="B294" s="46"/>
      <c r="C294" s="46"/>
      <c r="D294" s="46"/>
      <c r="E294" s="46"/>
      <c r="F294" s="47"/>
      <c r="G294" s="47"/>
      <c r="H294" s="48"/>
      <c r="I294" s="48"/>
    </row>
    <row r="295" spans="1:9" ht="21" customHeight="1" x14ac:dyDescent="0.2">
      <c r="A295" s="46"/>
      <c r="B295" s="46"/>
      <c r="C295" s="46"/>
      <c r="D295" s="46"/>
      <c r="E295" s="46"/>
      <c r="F295" s="47"/>
      <c r="G295" s="47"/>
      <c r="H295" s="48"/>
      <c r="I295" s="48"/>
    </row>
    <row r="296" spans="1:9" ht="21" customHeight="1" x14ac:dyDescent="0.2">
      <c r="A296" s="46"/>
      <c r="B296" s="46"/>
      <c r="C296" s="46"/>
      <c r="D296" s="46"/>
      <c r="E296" s="46"/>
      <c r="F296" s="47"/>
      <c r="G296" s="47"/>
      <c r="H296" s="48"/>
      <c r="I296" s="48"/>
    </row>
    <row r="297" spans="1:9" ht="21" customHeight="1" x14ac:dyDescent="0.2">
      <c r="A297" s="46"/>
      <c r="B297" s="46"/>
      <c r="C297" s="46"/>
      <c r="D297" s="46"/>
      <c r="E297" s="46"/>
      <c r="F297" s="47"/>
      <c r="G297" s="47"/>
      <c r="H297" s="48"/>
      <c r="I297" s="48"/>
    </row>
    <row r="298" spans="1:9" ht="21" customHeight="1" x14ac:dyDescent="0.2">
      <c r="A298" s="46"/>
      <c r="B298" s="46"/>
      <c r="C298" s="46"/>
      <c r="D298" s="46"/>
      <c r="E298" s="46"/>
      <c r="F298" s="47"/>
      <c r="G298" s="47"/>
      <c r="H298" s="48"/>
      <c r="I298" s="48"/>
    </row>
    <row r="299" spans="1:9" ht="21" customHeight="1" x14ac:dyDescent="0.2">
      <c r="A299" s="46"/>
      <c r="B299" s="46"/>
      <c r="C299" s="46"/>
      <c r="D299" s="46"/>
      <c r="E299" s="46"/>
      <c r="F299" s="47"/>
      <c r="G299" s="47"/>
      <c r="H299" s="48"/>
      <c r="I299" s="48"/>
    </row>
    <row r="300" spans="1:9" ht="21" customHeight="1" x14ac:dyDescent="0.2">
      <c r="A300" s="46"/>
      <c r="B300" s="46"/>
      <c r="C300" s="46"/>
      <c r="D300" s="46"/>
      <c r="E300" s="46"/>
      <c r="F300" s="47"/>
      <c r="G300" s="47"/>
      <c r="H300" s="48"/>
      <c r="I300" s="48"/>
    </row>
    <row r="301" spans="1:9" ht="21" customHeight="1" x14ac:dyDescent="0.2">
      <c r="A301" s="46"/>
      <c r="B301" s="46"/>
      <c r="C301" s="46"/>
      <c r="D301" s="46"/>
      <c r="E301" s="46"/>
      <c r="F301" s="47"/>
      <c r="G301" s="47"/>
      <c r="H301" s="48"/>
      <c r="I301" s="48"/>
    </row>
    <row r="302" spans="1:9" ht="21" customHeight="1" x14ac:dyDescent="0.2">
      <c r="A302" s="46"/>
      <c r="B302" s="46"/>
      <c r="C302" s="46"/>
      <c r="D302" s="46"/>
      <c r="E302" s="46"/>
      <c r="F302" s="47"/>
      <c r="G302" s="47"/>
      <c r="H302" s="48"/>
      <c r="I302" s="48"/>
    </row>
    <row r="303" spans="1:9" ht="21" customHeight="1" x14ac:dyDescent="0.2">
      <c r="A303" s="46"/>
      <c r="B303" s="46"/>
      <c r="C303" s="46"/>
      <c r="D303" s="46"/>
      <c r="E303" s="46"/>
      <c r="F303" s="47"/>
      <c r="G303" s="47"/>
      <c r="H303" s="48"/>
      <c r="I303" s="48"/>
    </row>
    <row r="304" spans="1:9" ht="21" customHeight="1" x14ac:dyDescent="0.2">
      <c r="A304" s="46"/>
      <c r="B304" s="46"/>
      <c r="C304" s="46"/>
      <c r="D304" s="46"/>
      <c r="E304" s="46"/>
      <c r="F304" s="47"/>
      <c r="G304" s="47"/>
      <c r="H304" s="48"/>
      <c r="I304" s="48"/>
    </row>
    <row r="305" spans="1:9" ht="21" customHeight="1" x14ac:dyDescent="0.2">
      <c r="A305" s="46"/>
      <c r="B305" s="46"/>
      <c r="C305" s="46"/>
      <c r="D305" s="46"/>
      <c r="E305" s="46"/>
      <c r="F305" s="47"/>
      <c r="G305" s="47"/>
      <c r="H305" s="48"/>
      <c r="I305" s="48"/>
    </row>
    <row r="306" spans="1:9" ht="21" customHeight="1" x14ac:dyDescent="0.2">
      <c r="A306" s="46"/>
      <c r="B306" s="46"/>
      <c r="C306" s="46"/>
      <c r="D306" s="46"/>
      <c r="E306" s="46"/>
      <c r="F306" s="47"/>
      <c r="G306" s="47"/>
      <c r="H306" s="48"/>
      <c r="I306" s="48"/>
    </row>
    <row r="307" spans="1:9" ht="21" customHeight="1" x14ac:dyDescent="0.2">
      <c r="A307" s="46"/>
      <c r="B307" s="46"/>
      <c r="C307" s="46"/>
      <c r="D307" s="46"/>
      <c r="E307" s="46"/>
      <c r="F307" s="47"/>
      <c r="G307" s="47"/>
      <c r="H307" s="48"/>
      <c r="I307" s="48"/>
    </row>
    <row r="308" spans="1:9" ht="21" customHeight="1" x14ac:dyDescent="0.2">
      <c r="A308" s="46"/>
      <c r="B308" s="46"/>
      <c r="C308" s="46"/>
      <c r="D308" s="46"/>
      <c r="E308" s="46"/>
      <c r="F308" s="47"/>
      <c r="G308" s="47"/>
      <c r="H308" s="48"/>
      <c r="I308" s="48"/>
    </row>
    <row r="309" spans="1:9" ht="21" customHeight="1" x14ac:dyDescent="0.2">
      <c r="A309" s="46"/>
      <c r="B309" s="46"/>
      <c r="C309" s="46"/>
      <c r="D309" s="46"/>
      <c r="E309" s="46"/>
      <c r="F309" s="47"/>
      <c r="G309" s="47"/>
      <c r="H309" s="48"/>
      <c r="I309" s="48"/>
    </row>
    <row r="310" spans="1:9" ht="21" customHeight="1" x14ac:dyDescent="0.2">
      <c r="A310" s="46"/>
      <c r="B310" s="46"/>
      <c r="C310" s="46"/>
      <c r="D310" s="46"/>
      <c r="E310" s="46"/>
      <c r="F310" s="47"/>
      <c r="G310" s="47"/>
      <c r="H310" s="48"/>
      <c r="I310" s="48"/>
    </row>
    <row r="311" spans="1:9" ht="21" customHeight="1" x14ac:dyDescent="0.2">
      <c r="A311" s="46"/>
      <c r="B311" s="46"/>
      <c r="C311" s="46"/>
      <c r="D311" s="46"/>
      <c r="E311" s="46"/>
      <c r="F311" s="47"/>
      <c r="G311" s="47"/>
      <c r="H311" s="48"/>
      <c r="I311" s="48"/>
    </row>
    <row r="312" spans="1:9" ht="21" customHeight="1" x14ac:dyDescent="0.2">
      <c r="A312" s="46"/>
      <c r="B312" s="46"/>
      <c r="C312" s="46"/>
      <c r="D312" s="46"/>
      <c r="E312" s="46"/>
      <c r="F312" s="47"/>
      <c r="G312" s="47"/>
      <c r="H312" s="48"/>
      <c r="I312" s="48"/>
    </row>
    <row r="313" spans="1:9" ht="21" customHeight="1" x14ac:dyDescent="0.2">
      <c r="A313" s="46"/>
      <c r="B313" s="46"/>
      <c r="C313" s="46"/>
      <c r="D313" s="46"/>
      <c r="E313" s="46"/>
      <c r="F313" s="47"/>
      <c r="G313" s="47"/>
      <c r="H313" s="48"/>
      <c r="I313" s="48"/>
    </row>
    <row r="314" spans="1:9" ht="21" customHeight="1" x14ac:dyDescent="0.2">
      <c r="A314" s="46"/>
      <c r="B314" s="46"/>
      <c r="C314" s="46"/>
      <c r="D314" s="46"/>
      <c r="E314" s="46"/>
      <c r="F314" s="47"/>
      <c r="G314" s="47"/>
      <c r="H314" s="48"/>
      <c r="I314" s="48"/>
    </row>
    <row r="315" spans="1:9" ht="21" customHeight="1" x14ac:dyDescent="0.2">
      <c r="A315" s="46"/>
      <c r="B315" s="46"/>
      <c r="C315" s="46"/>
      <c r="D315" s="46"/>
      <c r="E315" s="46"/>
      <c r="F315" s="47"/>
      <c r="G315" s="47"/>
      <c r="H315" s="48"/>
      <c r="I315" s="48"/>
    </row>
    <row r="316" spans="1:9" ht="21" customHeight="1" x14ac:dyDescent="0.2">
      <c r="A316" s="46"/>
      <c r="B316" s="46"/>
      <c r="C316" s="46"/>
      <c r="D316" s="46"/>
      <c r="E316" s="46"/>
      <c r="F316" s="47"/>
      <c r="G316" s="47"/>
      <c r="H316" s="48"/>
      <c r="I316" s="48"/>
    </row>
    <row r="317" spans="1:9" ht="21" customHeight="1" x14ac:dyDescent="0.2">
      <c r="A317" s="46"/>
      <c r="B317" s="46"/>
      <c r="C317" s="46"/>
      <c r="D317" s="46"/>
      <c r="E317" s="46"/>
      <c r="F317" s="47"/>
      <c r="G317" s="47"/>
      <c r="H317" s="48"/>
      <c r="I317" s="48"/>
    </row>
    <row r="318" spans="1:9" ht="21" customHeight="1" x14ac:dyDescent="0.2">
      <c r="A318" s="46"/>
      <c r="B318" s="46"/>
      <c r="C318" s="46"/>
      <c r="D318" s="46"/>
      <c r="E318" s="46"/>
      <c r="F318" s="47"/>
      <c r="G318" s="47"/>
      <c r="H318" s="48"/>
      <c r="I318" s="48"/>
    </row>
    <row r="319" spans="1:9" ht="21" customHeight="1" x14ac:dyDescent="0.2">
      <c r="A319" s="46"/>
      <c r="B319" s="46"/>
      <c r="C319" s="46"/>
      <c r="D319" s="46"/>
      <c r="E319" s="46"/>
      <c r="F319" s="47"/>
      <c r="G319" s="47"/>
      <c r="H319" s="48"/>
      <c r="I319" s="48"/>
    </row>
    <row r="320" spans="1:9" ht="21" customHeight="1" x14ac:dyDescent="0.2">
      <c r="A320" s="46"/>
      <c r="B320" s="46"/>
      <c r="C320" s="46"/>
      <c r="D320" s="46"/>
      <c r="E320" s="46"/>
      <c r="F320" s="47"/>
      <c r="G320" s="47"/>
      <c r="H320" s="48"/>
      <c r="I320" s="48"/>
    </row>
    <row r="321" spans="1:9" ht="21" customHeight="1" x14ac:dyDescent="0.2">
      <c r="A321" s="46"/>
      <c r="B321" s="46"/>
      <c r="C321" s="46"/>
      <c r="D321" s="46"/>
      <c r="E321" s="46"/>
      <c r="F321" s="47"/>
      <c r="G321" s="47"/>
      <c r="H321" s="48"/>
      <c r="I321" s="48"/>
    </row>
    <row r="322" spans="1:9" ht="21" customHeight="1" x14ac:dyDescent="0.2">
      <c r="A322" s="46"/>
      <c r="B322" s="46"/>
      <c r="C322" s="46"/>
      <c r="D322" s="46"/>
      <c r="E322" s="46"/>
      <c r="F322" s="47"/>
      <c r="G322" s="47"/>
      <c r="H322" s="48"/>
      <c r="I322" s="48"/>
    </row>
    <row r="323" spans="1:9" ht="21" customHeight="1" x14ac:dyDescent="0.2">
      <c r="A323" s="46"/>
      <c r="B323" s="46"/>
      <c r="C323" s="46"/>
      <c r="D323" s="46"/>
      <c r="E323" s="46"/>
      <c r="F323" s="47"/>
      <c r="G323" s="47"/>
      <c r="H323" s="48"/>
      <c r="I323" s="48"/>
    </row>
    <row r="324" spans="1:9" ht="21" customHeight="1" x14ac:dyDescent="0.2">
      <c r="A324" s="46"/>
      <c r="B324" s="46"/>
      <c r="C324" s="46"/>
      <c r="D324" s="46"/>
      <c r="E324" s="46"/>
      <c r="F324" s="47"/>
      <c r="G324" s="47"/>
      <c r="H324" s="48"/>
      <c r="I324" s="48"/>
    </row>
    <row r="325" spans="1:9" ht="21" customHeight="1" x14ac:dyDescent="0.2">
      <c r="A325" s="46"/>
      <c r="B325" s="46"/>
      <c r="C325" s="46"/>
      <c r="D325" s="46"/>
      <c r="E325" s="46"/>
      <c r="F325" s="47"/>
      <c r="G325" s="47"/>
      <c r="H325" s="48"/>
      <c r="I325" s="48"/>
    </row>
    <row r="326" spans="1:9" ht="21" customHeight="1" x14ac:dyDescent="0.2">
      <c r="A326" s="46"/>
      <c r="B326" s="46"/>
      <c r="C326" s="46"/>
      <c r="D326" s="46"/>
      <c r="E326" s="46"/>
      <c r="F326" s="47"/>
      <c r="G326" s="47"/>
      <c r="H326" s="48"/>
      <c r="I326" s="48"/>
    </row>
    <row r="327" spans="1:9" ht="21" customHeight="1" x14ac:dyDescent="0.2">
      <c r="A327" s="46"/>
      <c r="B327" s="46"/>
      <c r="C327" s="46"/>
      <c r="D327" s="46"/>
      <c r="E327" s="46"/>
      <c r="F327" s="47"/>
      <c r="G327" s="47"/>
      <c r="H327" s="48"/>
      <c r="I327" s="48"/>
    </row>
    <row r="328" spans="1:9" ht="21" customHeight="1" x14ac:dyDescent="0.2">
      <c r="A328" s="46"/>
      <c r="B328" s="46"/>
      <c r="C328" s="46"/>
      <c r="D328" s="46"/>
      <c r="E328" s="46"/>
      <c r="F328" s="47"/>
      <c r="G328" s="47"/>
      <c r="H328" s="48"/>
      <c r="I328" s="48"/>
    </row>
    <row r="329" spans="1:9" ht="21" customHeight="1" x14ac:dyDescent="0.2">
      <c r="A329" s="46"/>
      <c r="B329" s="46"/>
      <c r="C329" s="46"/>
      <c r="D329" s="46"/>
      <c r="E329" s="46"/>
      <c r="F329" s="47"/>
      <c r="G329" s="47"/>
      <c r="H329" s="48"/>
      <c r="I329" s="48"/>
    </row>
    <row r="330" spans="1:9" ht="21" customHeight="1" x14ac:dyDescent="0.2">
      <c r="A330" s="46"/>
      <c r="B330" s="46"/>
      <c r="C330" s="46"/>
      <c r="D330" s="46"/>
      <c r="E330" s="46"/>
      <c r="F330" s="47"/>
      <c r="G330" s="47"/>
      <c r="H330" s="48"/>
      <c r="I330" s="48"/>
    </row>
    <row r="331" spans="1:9" ht="21" customHeight="1" x14ac:dyDescent="0.2">
      <c r="A331" s="46"/>
      <c r="B331" s="46"/>
      <c r="C331" s="46"/>
      <c r="D331" s="46"/>
      <c r="E331" s="46"/>
      <c r="F331" s="47"/>
      <c r="G331" s="47"/>
      <c r="H331" s="48"/>
      <c r="I331" s="48"/>
    </row>
    <row r="332" spans="1:9" ht="21" customHeight="1" x14ac:dyDescent="0.2">
      <c r="A332" s="46"/>
      <c r="B332" s="46"/>
      <c r="C332" s="46"/>
      <c r="D332" s="46"/>
      <c r="E332" s="46"/>
      <c r="F332" s="47"/>
      <c r="G332" s="47"/>
      <c r="H332" s="48"/>
      <c r="I332" s="48"/>
    </row>
    <row r="333" spans="1:9" ht="21" customHeight="1" x14ac:dyDescent="0.2">
      <c r="A333" s="46"/>
      <c r="B333" s="46"/>
      <c r="C333" s="46"/>
      <c r="D333" s="46"/>
      <c r="E333" s="46"/>
      <c r="F333" s="47"/>
      <c r="G333" s="47"/>
      <c r="H333" s="48"/>
      <c r="I333" s="48"/>
    </row>
    <row r="334" spans="1:9" ht="21" customHeight="1" x14ac:dyDescent="0.2">
      <c r="A334" s="46"/>
      <c r="B334" s="46"/>
      <c r="C334" s="46"/>
      <c r="D334" s="46"/>
      <c r="E334" s="46"/>
      <c r="F334" s="47"/>
      <c r="G334" s="47"/>
      <c r="H334" s="48"/>
      <c r="I334" s="48"/>
    </row>
    <row r="335" spans="1:9" ht="21" customHeight="1" x14ac:dyDescent="0.2">
      <c r="A335" s="46"/>
      <c r="B335" s="46"/>
      <c r="C335" s="46"/>
      <c r="D335" s="46"/>
      <c r="E335" s="46"/>
      <c r="F335" s="47"/>
      <c r="G335" s="47"/>
      <c r="H335" s="48"/>
      <c r="I335" s="48"/>
    </row>
    <row r="336" spans="1:9" ht="21" customHeight="1" x14ac:dyDescent="0.2">
      <c r="A336" s="46"/>
      <c r="B336" s="46"/>
      <c r="C336" s="46"/>
      <c r="D336" s="46"/>
      <c r="E336" s="46"/>
      <c r="F336" s="47"/>
      <c r="G336" s="47"/>
      <c r="H336" s="48"/>
      <c r="I336" s="48"/>
    </row>
    <row r="337" spans="1:9" ht="21" customHeight="1" x14ac:dyDescent="0.2">
      <c r="A337" s="46"/>
      <c r="B337" s="46"/>
      <c r="C337" s="46"/>
      <c r="D337" s="46"/>
      <c r="E337" s="46"/>
      <c r="F337" s="47"/>
      <c r="G337" s="47"/>
      <c r="H337" s="48"/>
      <c r="I337" s="48"/>
    </row>
    <row r="338" spans="1:9" ht="21" customHeight="1" x14ac:dyDescent="0.2">
      <c r="A338" s="46"/>
      <c r="B338" s="46"/>
      <c r="C338" s="46"/>
      <c r="D338" s="46"/>
      <c r="E338" s="46"/>
      <c r="F338" s="47"/>
      <c r="G338" s="47"/>
      <c r="H338" s="48"/>
      <c r="I338" s="48"/>
    </row>
    <row r="339" spans="1:9" ht="21" customHeight="1" x14ac:dyDescent="0.2">
      <c r="A339" s="46"/>
      <c r="B339" s="46"/>
      <c r="C339" s="46"/>
      <c r="D339" s="46"/>
      <c r="E339" s="46"/>
      <c r="F339" s="47"/>
      <c r="G339" s="47"/>
      <c r="H339" s="48"/>
      <c r="I339" s="48"/>
    </row>
    <row r="340" spans="1:9" ht="21" customHeight="1" x14ac:dyDescent="0.2">
      <c r="A340" s="46"/>
      <c r="B340" s="46"/>
      <c r="C340" s="46"/>
      <c r="D340" s="46"/>
      <c r="E340" s="46"/>
      <c r="F340" s="47"/>
      <c r="G340" s="47"/>
      <c r="H340" s="48"/>
      <c r="I340" s="48"/>
    </row>
    <row r="341" spans="1:9" ht="21" customHeight="1" x14ac:dyDescent="0.2">
      <c r="A341" s="46"/>
      <c r="B341" s="46"/>
      <c r="C341" s="46"/>
      <c r="D341" s="46"/>
      <c r="E341" s="46"/>
      <c r="F341" s="47"/>
      <c r="G341" s="47"/>
      <c r="H341" s="48"/>
      <c r="I341" s="48"/>
    </row>
    <row r="342" spans="1:9" ht="21" customHeight="1" x14ac:dyDescent="0.2">
      <c r="A342" s="46"/>
      <c r="B342" s="46"/>
      <c r="C342" s="46"/>
      <c r="D342" s="46"/>
      <c r="E342" s="46"/>
      <c r="F342" s="47"/>
      <c r="G342" s="47"/>
      <c r="H342" s="48"/>
      <c r="I342" s="48"/>
    </row>
    <row r="343" spans="1:9" ht="21" customHeight="1" x14ac:dyDescent="0.2">
      <c r="A343" s="46"/>
      <c r="B343" s="46"/>
      <c r="C343" s="46"/>
      <c r="D343" s="46"/>
      <c r="E343" s="46"/>
      <c r="F343" s="47"/>
      <c r="G343" s="47"/>
      <c r="H343" s="48"/>
      <c r="I343" s="48"/>
    </row>
    <row r="344" spans="1:9" ht="21" customHeight="1" x14ac:dyDescent="0.2">
      <c r="A344" s="46"/>
      <c r="B344" s="46"/>
      <c r="C344" s="46"/>
      <c r="D344" s="46"/>
      <c r="E344" s="46"/>
      <c r="F344" s="47"/>
      <c r="G344" s="47"/>
      <c r="H344" s="48"/>
      <c r="I344" s="48"/>
    </row>
    <row r="345" spans="1:9" ht="21" customHeight="1" x14ac:dyDescent="0.2">
      <c r="A345" s="46"/>
      <c r="B345" s="46"/>
      <c r="C345" s="46"/>
      <c r="D345" s="46"/>
      <c r="E345" s="46"/>
      <c r="F345" s="47"/>
      <c r="G345" s="47"/>
      <c r="H345" s="48"/>
      <c r="I345" s="48"/>
    </row>
    <row r="346" spans="1:9" ht="21" customHeight="1" x14ac:dyDescent="0.2">
      <c r="A346" s="46"/>
      <c r="B346" s="46"/>
      <c r="C346" s="46"/>
      <c r="D346" s="46"/>
      <c r="E346" s="46"/>
      <c r="F346" s="47"/>
      <c r="G346" s="47"/>
      <c r="H346" s="48"/>
      <c r="I346" s="48"/>
    </row>
    <row r="347" spans="1:9" ht="21" customHeight="1" x14ac:dyDescent="0.2">
      <c r="A347" s="46"/>
      <c r="B347" s="46"/>
      <c r="C347" s="46"/>
      <c r="D347" s="46"/>
      <c r="E347" s="46"/>
      <c r="F347" s="47"/>
      <c r="G347" s="47"/>
      <c r="H347" s="48"/>
      <c r="I347" s="48"/>
    </row>
    <row r="348" spans="1:9" ht="21" customHeight="1" x14ac:dyDescent="0.2">
      <c r="A348" s="46"/>
      <c r="B348" s="46"/>
      <c r="C348" s="46"/>
      <c r="D348" s="46"/>
      <c r="E348" s="46"/>
      <c r="F348" s="47"/>
      <c r="G348" s="47"/>
      <c r="H348" s="48"/>
      <c r="I348" s="48"/>
    </row>
    <row r="349" spans="1:9" ht="21" customHeight="1" x14ac:dyDescent="0.2">
      <c r="A349" s="46"/>
      <c r="B349" s="46"/>
      <c r="C349" s="46"/>
      <c r="D349" s="46"/>
      <c r="E349" s="46"/>
      <c r="F349" s="47"/>
      <c r="G349" s="47"/>
      <c r="H349" s="48"/>
      <c r="I349" s="48"/>
    </row>
    <row r="350" spans="1:9" ht="21" customHeight="1" x14ac:dyDescent="0.2">
      <c r="A350" s="46"/>
      <c r="B350" s="46"/>
      <c r="C350" s="46"/>
      <c r="D350" s="46"/>
      <c r="E350" s="46"/>
      <c r="F350" s="47"/>
      <c r="G350" s="47"/>
      <c r="H350" s="48"/>
      <c r="I350" s="48"/>
    </row>
    <row r="351" spans="1:9" ht="21" customHeight="1" x14ac:dyDescent="0.2">
      <c r="A351" s="46"/>
      <c r="B351" s="46"/>
      <c r="C351" s="46"/>
      <c r="D351" s="46"/>
      <c r="E351" s="46"/>
      <c r="F351" s="47"/>
      <c r="G351" s="47"/>
      <c r="H351" s="48"/>
      <c r="I351" s="48"/>
    </row>
    <row r="352" spans="1:9" ht="21" customHeight="1" x14ac:dyDescent="0.2">
      <c r="A352" s="46"/>
      <c r="B352" s="46"/>
      <c r="C352" s="46"/>
      <c r="D352" s="46"/>
      <c r="E352" s="46"/>
      <c r="F352" s="47"/>
      <c r="G352" s="47"/>
      <c r="H352" s="48"/>
      <c r="I352" s="48"/>
    </row>
    <row r="353" spans="1:9" ht="21" customHeight="1" x14ac:dyDescent="0.2">
      <c r="A353" s="46"/>
      <c r="B353" s="46"/>
      <c r="C353" s="46"/>
      <c r="D353" s="46"/>
      <c r="E353" s="46"/>
      <c r="F353" s="47"/>
      <c r="G353" s="47"/>
      <c r="H353" s="48"/>
      <c r="I353" s="48"/>
    </row>
    <row r="354" spans="1:9" ht="21" customHeight="1" x14ac:dyDescent="0.2">
      <c r="A354" s="46"/>
      <c r="B354" s="46"/>
      <c r="C354" s="46"/>
      <c r="D354" s="46"/>
      <c r="E354" s="46"/>
      <c r="F354" s="47"/>
      <c r="G354" s="47"/>
      <c r="H354" s="48"/>
      <c r="I354" s="48"/>
    </row>
    <row r="355" spans="1:9" ht="21" customHeight="1" x14ac:dyDescent="0.2">
      <c r="A355" s="46"/>
      <c r="B355" s="46"/>
      <c r="C355" s="46"/>
      <c r="D355" s="46"/>
      <c r="E355" s="46"/>
      <c r="F355" s="47"/>
      <c r="G355" s="47"/>
      <c r="H355" s="48"/>
      <c r="I355" s="48"/>
    </row>
    <row r="356" spans="1:9" ht="21" customHeight="1" x14ac:dyDescent="0.2">
      <c r="A356" s="46"/>
      <c r="B356" s="46"/>
      <c r="C356" s="46"/>
      <c r="D356" s="46"/>
      <c r="E356" s="46"/>
      <c r="F356" s="47"/>
      <c r="G356" s="47"/>
      <c r="H356" s="48"/>
      <c r="I356" s="48"/>
    </row>
    <row r="357" spans="1:9" ht="21" customHeight="1" x14ac:dyDescent="0.2">
      <c r="A357" s="46"/>
      <c r="B357" s="46"/>
      <c r="C357" s="46"/>
      <c r="D357" s="46"/>
      <c r="E357" s="46"/>
      <c r="F357" s="47"/>
      <c r="G357" s="47"/>
      <c r="H357" s="48"/>
      <c r="I357" s="48"/>
    </row>
    <row r="358" spans="1:9" ht="21" customHeight="1" x14ac:dyDescent="0.2">
      <c r="A358" s="46"/>
      <c r="B358" s="46"/>
      <c r="C358" s="46"/>
      <c r="D358" s="46"/>
      <c r="E358" s="46"/>
      <c r="F358" s="47"/>
      <c r="G358" s="47"/>
      <c r="H358" s="48"/>
      <c r="I358" s="48"/>
    </row>
    <row r="359" spans="1:9" ht="21" customHeight="1" x14ac:dyDescent="0.2">
      <c r="A359" s="46"/>
      <c r="B359" s="46"/>
      <c r="C359" s="46"/>
      <c r="D359" s="46"/>
      <c r="E359" s="46"/>
      <c r="F359" s="47"/>
      <c r="G359" s="47"/>
      <c r="H359" s="48"/>
      <c r="I359" s="48"/>
    </row>
    <row r="360" spans="1:9" ht="21" customHeight="1" x14ac:dyDescent="0.2">
      <c r="A360" s="46"/>
      <c r="B360" s="46"/>
      <c r="C360" s="46"/>
      <c r="D360" s="46"/>
      <c r="E360" s="46"/>
      <c r="F360" s="47"/>
      <c r="G360" s="47"/>
      <c r="H360" s="48"/>
      <c r="I360" s="48"/>
    </row>
    <row r="361" spans="1:9" ht="21" customHeight="1" x14ac:dyDescent="0.2">
      <c r="A361" s="46"/>
      <c r="B361" s="46"/>
      <c r="C361" s="46"/>
      <c r="D361" s="46"/>
      <c r="E361" s="46"/>
      <c r="F361" s="47"/>
      <c r="G361" s="47"/>
      <c r="H361" s="48"/>
      <c r="I361" s="48"/>
    </row>
    <row r="362" spans="1:9" ht="21" customHeight="1" x14ac:dyDescent="0.2">
      <c r="A362" s="46"/>
      <c r="B362" s="46"/>
      <c r="C362" s="46"/>
      <c r="D362" s="46"/>
      <c r="E362" s="46"/>
      <c r="F362" s="47"/>
      <c r="G362" s="47"/>
      <c r="H362" s="48"/>
      <c r="I362" s="48"/>
    </row>
    <row r="363" spans="1:9" ht="21" customHeight="1" x14ac:dyDescent="0.2">
      <c r="A363" s="46"/>
      <c r="B363" s="46"/>
      <c r="C363" s="46"/>
      <c r="D363" s="46"/>
      <c r="E363" s="46"/>
      <c r="F363" s="47"/>
      <c r="G363" s="47"/>
      <c r="H363" s="48"/>
      <c r="I363" s="48"/>
    </row>
    <row r="364" spans="1:9" ht="21" customHeight="1" x14ac:dyDescent="0.2">
      <c r="A364" s="46"/>
      <c r="B364" s="46"/>
      <c r="C364" s="46"/>
      <c r="D364" s="46"/>
      <c r="E364" s="46"/>
      <c r="F364" s="47"/>
      <c r="G364" s="47"/>
      <c r="H364" s="48"/>
      <c r="I364" s="48"/>
    </row>
    <row r="365" spans="1:9" ht="21" customHeight="1" x14ac:dyDescent="0.2">
      <c r="A365" s="46"/>
      <c r="B365" s="46"/>
      <c r="C365" s="46"/>
      <c r="D365" s="46"/>
      <c r="E365" s="46"/>
      <c r="F365" s="47"/>
      <c r="G365" s="47"/>
      <c r="H365" s="48"/>
      <c r="I365" s="48"/>
    </row>
    <row r="366" spans="1:9" ht="21" customHeight="1" x14ac:dyDescent="0.2">
      <c r="A366" s="46"/>
      <c r="B366" s="46"/>
      <c r="C366" s="46"/>
      <c r="D366" s="46"/>
      <c r="E366" s="46"/>
      <c r="F366" s="47"/>
      <c r="G366" s="47"/>
      <c r="H366" s="48"/>
      <c r="I366" s="48"/>
    </row>
    <row r="367" spans="1:9" ht="21" customHeight="1" x14ac:dyDescent="0.2">
      <c r="A367" s="46"/>
      <c r="B367" s="46"/>
      <c r="C367" s="46"/>
      <c r="D367" s="46"/>
      <c r="E367" s="46"/>
      <c r="F367" s="47"/>
      <c r="G367" s="47"/>
      <c r="H367" s="48"/>
      <c r="I367" s="48"/>
    </row>
    <row r="368" spans="1:9" ht="21" customHeight="1" x14ac:dyDescent="0.2">
      <c r="A368" s="46"/>
      <c r="B368" s="46"/>
      <c r="C368" s="46"/>
      <c r="D368" s="46"/>
      <c r="E368" s="46"/>
      <c r="F368" s="47"/>
      <c r="G368" s="47"/>
      <c r="H368" s="48"/>
      <c r="I368" s="48"/>
    </row>
    <row r="369" spans="1:9" ht="21" customHeight="1" x14ac:dyDescent="0.2">
      <c r="A369" s="46"/>
      <c r="B369" s="46"/>
      <c r="C369" s="46"/>
      <c r="D369" s="46"/>
      <c r="E369" s="46"/>
      <c r="F369" s="47"/>
      <c r="G369" s="47"/>
      <c r="H369" s="48"/>
      <c r="I369" s="48"/>
    </row>
    <row r="370" spans="1:9" ht="21" customHeight="1" x14ac:dyDescent="0.2">
      <c r="A370" s="46"/>
      <c r="B370" s="46"/>
      <c r="C370" s="46"/>
      <c r="D370" s="46"/>
      <c r="E370" s="46"/>
      <c r="F370" s="47"/>
      <c r="G370" s="47"/>
      <c r="H370" s="48"/>
      <c r="I370" s="48"/>
    </row>
    <row r="371" spans="1:9" ht="21" customHeight="1" x14ac:dyDescent="0.2">
      <c r="A371" s="46"/>
      <c r="B371" s="46"/>
      <c r="C371" s="46"/>
      <c r="D371" s="46"/>
      <c r="E371" s="46"/>
      <c r="F371" s="47"/>
      <c r="G371" s="47"/>
      <c r="H371" s="48"/>
      <c r="I371" s="48"/>
    </row>
    <row r="372" spans="1:9" ht="21" customHeight="1" x14ac:dyDescent="0.2">
      <c r="A372" s="46"/>
      <c r="B372" s="46"/>
      <c r="C372" s="46"/>
      <c r="D372" s="46"/>
      <c r="E372" s="46"/>
      <c r="F372" s="47"/>
      <c r="G372" s="47"/>
      <c r="H372" s="48"/>
      <c r="I372" s="48"/>
    </row>
    <row r="373" spans="1:9" ht="21" customHeight="1" x14ac:dyDescent="0.2">
      <c r="A373" s="46"/>
      <c r="B373" s="46"/>
      <c r="C373" s="46"/>
      <c r="D373" s="46"/>
      <c r="E373" s="46"/>
      <c r="F373" s="47"/>
      <c r="G373" s="47"/>
      <c r="H373" s="48"/>
      <c r="I373" s="48"/>
    </row>
    <row r="374" spans="1:9" ht="21" customHeight="1" x14ac:dyDescent="0.2">
      <c r="A374" s="46"/>
      <c r="B374" s="46"/>
      <c r="C374" s="46"/>
      <c r="D374" s="46"/>
      <c r="E374" s="46"/>
      <c r="F374" s="47"/>
      <c r="G374" s="47"/>
      <c r="H374" s="48"/>
      <c r="I374" s="48"/>
    </row>
    <row r="375" spans="1:9" ht="21" customHeight="1" x14ac:dyDescent="0.2">
      <c r="A375" s="46"/>
      <c r="B375" s="46"/>
      <c r="C375" s="46"/>
      <c r="D375" s="46"/>
      <c r="E375" s="46"/>
      <c r="F375" s="47"/>
      <c r="G375" s="47"/>
      <c r="H375" s="48"/>
      <c r="I375" s="48"/>
    </row>
    <row r="376" spans="1:9" ht="21" customHeight="1" x14ac:dyDescent="0.2">
      <c r="A376" s="46"/>
      <c r="B376" s="46"/>
      <c r="C376" s="46"/>
      <c r="D376" s="46"/>
      <c r="E376" s="46"/>
      <c r="F376" s="47"/>
      <c r="G376" s="47"/>
      <c r="H376" s="48"/>
      <c r="I376" s="48"/>
    </row>
    <row r="377" spans="1:9" ht="21" customHeight="1" x14ac:dyDescent="0.2">
      <c r="A377" s="46"/>
      <c r="B377" s="46"/>
      <c r="C377" s="46"/>
      <c r="D377" s="46"/>
      <c r="E377" s="46"/>
      <c r="F377" s="47"/>
      <c r="G377" s="47"/>
      <c r="H377" s="48"/>
      <c r="I377" s="48"/>
    </row>
    <row r="378" spans="1:9" ht="21" customHeight="1" x14ac:dyDescent="0.2">
      <c r="A378" s="46"/>
      <c r="B378" s="46"/>
      <c r="C378" s="46"/>
      <c r="D378" s="46"/>
      <c r="E378" s="46"/>
      <c r="F378" s="47"/>
      <c r="G378" s="47"/>
      <c r="H378" s="48"/>
      <c r="I378" s="48"/>
    </row>
    <row r="379" spans="1:9" ht="21" customHeight="1" x14ac:dyDescent="0.2">
      <c r="A379" s="46"/>
      <c r="B379" s="46"/>
      <c r="C379" s="46"/>
      <c r="D379" s="46"/>
      <c r="E379" s="46"/>
      <c r="F379" s="47"/>
      <c r="G379" s="47"/>
      <c r="H379" s="48"/>
      <c r="I379" s="48"/>
    </row>
    <row r="380" spans="1:9" ht="21" customHeight="1" x14ac:dyDescent="0.2">
      <c r="A380" s="46"/>
      <c r="B380" s="46"/>
      <c r="C380" s="46"/>
      <c r="D380" s="46"/>
      <c r="E380" s="46"/>
      <c r="F380" s="47"/>
      <c r="G380" s="47"/>
      <c r="H380" s="48"/>
      <c r="I380" s="48"/>
    </row>
    <row r="381" spans="1:9" ht="21" customHeight="1" x14ac:dyDescent="0.2">
      <c r="A381" s="46"/>
      <c r="B381" s="46"/>
      <c r="C381" s="46"/>
      <c r="D381" s="46"/>
      <c r="E381" s="46"/>
      <c r="F381" s="47"/>
      <c r="G381" s="47"/>
      <c r="H381" s="48"/>
      <c r="I381" s="48"/>
    </row>
    <row r="382" spans="1:9" ht="21" customHeight="1" x14ac:dyDescent="0.2">
      <c r="A382" s="46"/>
      <c r="B382" s="46"/>
      <c r="C382" s="46"/>
      <c r="D382" s="46"/>
      <c r="E382" s="46"/>
      <c r="F382" s="47"/>
      <c r="G382" s="47"/>
      <c r="H382" s="48"/>
      <c r="I382" s="48"/>
    </row>
    <row r="383" spans="1:9" ht="21" customHeight="1" x14ac:dyDescent="0.2">
      <c r="A383" s="46"/>
      <c r="B383" s="46"/>
      <c r="C383" s="46"/>
      <c r="D383" s="46"/>
      <c r="E383" s="46"/>
      <c r="F383" s="47"/>
      <c r="G383" s="47"/>
      <c r="H383" s="48"/>
      <c r="I383" s="48"/>
    </row>
    <row r="384" spans="1:9" ht="21" customHeight="1" x14ac:dyDescent="0.2">
      <c r="A384" s="46"/>
      <c r="B384" s="46"/>
      <c r="C384" s="46"/>
      <c r="D384" s="46"/>
      <c r="E384" s="46"/>
      <c r="F384" s="47"/>
      <c r="G384" s="47"/>
      <c r="H384" s="48"/>
      <c r="I384" s="48"/>
    </row>
    <row r="385" spans="1:9" ht="21" customHeight="1" x14ac:dyDescent="0.2">
      <c r="A385" s="46"/>
      <c r="B385" s="46"/>
      <c r="C385" s="46"/>
      <c r="D385" s="46"/>
      <c r="E385" s="46"/>
      <c r="F385" s="47"/>
      <c r="G385" s="47"/>
      <c r="H385" s="48"/>
      <c r="I385" s="48"/>
    </row>
    <row r="386" spans="1:9" ht="21" customHeight="1" x14ac:dyDescent="0.2">
      <c r="A386" s="46"/>
      <c r="B386" s="46"/>
      <c r="C386" s="46"/>
      <c r="D386" s="46"/>
      <c r="E386" s="46"/>
      <c r="F386" s="47"/>
      <c r="G386" s="47"/>
      <c r="H386" s="48"/>
      <c r="I386" s="48"/>
    </row>
    <row r="387" spans="1:9" ht="21" customHeight="1" x14ac:dyDescent="0.2">
      <c r="A387" s="46"/>
      <c r="B387" s="46"/>
      <c r="C387" s="46"/>
      <c r="D387" s="46"/>
      <c r="E387" s="46"/>
      <c r="F387" s="47"/>
      <c r="G387" s="47"/>
      <c r="H387" s="48"/>
      <c r="I387" s="48"/>
    </row>
    <row r="388" spans="1:9" ht="21" customHeight="1" x14ac:dyDescent="0.2">
      <c r="A388" s="46"/>
      <c r="B388" s="46"/>
      <c r="C388" s="46"/>
      <c r="D388" s="46"/>
      <c r="E388" s="46"/>
      <c r="F388" s="47"/>
      <c r="G388" s="47"/>
      <c r="H388" s="48"/>
      <c r="I388" s="48"/>
    </row>
    <row r="389" spans="1:9" ht="21" customHeight="1" x14ac:dyDescent="0.2">
      <c r="A389" s="46"/>
      <c r="B389" s="46"/>
      <c r="C389" s="46"/>
      <c r="D389" s="46"/>
      <c r="E389" s="46"/>
      <c r="F389" s="47"/>
      <c r="G389" s="47"/>
      <c r="H389" s="48"/>
      <c r="I389" s="48"/>
    </row>
    <row r="390" spans="1:9" ht="21" customHeight="1" x14ac:dyDescent="0.2">
      <c r="A390" s="46"/>
      <c r="B390" s="46"/>
      <c r="C390" s="46"/>
      <c r="D390" s="46"/>
      <c r="E390" s="46"/>
      <c r="F390" s="47"/>
      <c r="G390" s="47"/>
      <c r="H390" s="48"/>
      <c r="I390" s="48"/>
    </row>
    <row r="391" spans="1:9" ht="21" customHeight="1" x14ac:dyDescent="0.2">
      <c r="A391" s="46"/>
      <c r="B391" s="46"/>
      <c r="C391" s="46"/>
      <c r="D391" s="46"/>
      <c r="E391" s="46"/>
      <c r="F391" s="47"/>
      <c r="G391" s="47"/>
      <c r="H391" s="48"/>
      <c r="I391" s="48"/>
    </row>
    <row r="392" spans="1:9" ht="21" customHeight="1" x14ac:dyDescent="0.2">
      <c r="A392" s="46"/>
      <c r="B392" s="46"/>
      <c r="C392" s="46"/>
      <c r="D392" s="46"/>
      <c r="E392" s="46"/>
      <c r="F392" s="47"/>
      <c r="G392" s="47"/>
      <c r="H392" s="48"/>
      <c r="I392" s="48"/>
    </row>
    <row r="393" spans="1:9" ht="21" customHeight="1" x14ac:dyDescent="0.2">
      <c r="A393" s="46"/>
      <c r="B393" s="46"/>
      <c r="C393" s="46"/>
      <c r="D393" s="46"/>
      <c r="E393" s="46"/>
      <c r="F393" s="47"/>
      <c r="G393" s="47"/>
      <c r="H393" s="48"/>
      <c r="I393" s="48"/>
    </row>
    <row r="394" spans="1:9" ht="21" customHeight="1" x14ac:dyDescent="0.2">
      <c r="A394" s="46"/>
      <c r="B394" s="46"/>
      <c r="C394" s="46"/>
      <c r="D394" s="46"/>
      <c r="E394" s="46"/>
      <c r="F394" s="47"/>
      <c r="G394" s="47"/>
      <c r="H394" s="48"/>
      <c r="I394" s="48"/>
    </row>
    <row r="395" spans="1:9" ht="21" customHeight="1" x14ac:dyDescent="0.2">
      <c r="A395" s="46"/>
      <c r="B395" s="46"/>
      <c r="C395" s="46"/>
      <c r="D395" s="46"/>
      <c r="E395" s="46"/>
      <c r="F395" s="47"/>
      <c r="G395" s="47"/>
      <c r="H395" s="48"/>
      <c r="I395" s="48"/>
    </row>
    <row r="396" spans="1:9" ht="21" customHeight="1" x14ac:dyDescent="0.2">
      <c r="A396" s="46"/>
      <c r="B396" s="46"/>
      <c r="C396" s="46"/>
      <c r="D396" s="46"/>
      <c r="E396" s="46"/>
      <c r="F396" s="47"/>
      <c r="G396" s="47"/>
      <c r="H396" s="48"/>
      <c r="I396" s="48"/>
    </row>
    <row r="397" spans="1:9" ht="21" customHeight="1" x14ac:dyDescent="0.2">
      <c r="A397" s="46"/>
      <c r="B397" s="46"/>
      <c r="C397" s="46"/>
      <c r="D397" s="46"/>
      <c r="E397" s="46"/>
      <c r="F397" s="47"/>
      <c r="G397" s="47"/>
      <c r="H397" s="48"/>
      <c r="I397" s="48"/>
    </row>
    <row r="398" spans="1:9" ht="21" customHeight="1" x14ac:dyDescent="0.2">
      <c r="A398" s="46"/>
      <c r="B398" s="46"/>
      <c r="C398" s="46"/>
      <c r="D398" s="46"/>
      <c r="E398" s="46"/>
      <c r="F398" s="47"/>
      <c r="G398" s="47"/>
      <c r="H398" s="48"/>
      <c r="I398" s="48"/>
    </row>
    <row r="399" spans="1:9" ht="21" customHeight="1" x14ac:dyDescent="0.2">
      <c r="A399" s="46"/>
      <c r="B399" s="46"/>
      <c r="C399" s="46"/>
      <c r="D399" s="46"/>
      <c r="E399" s="46"/>
      <c r="F399" s="47"/>
      <c r="G399" s="47"/>
      <c r="H399" s="48"/>
      <c r="I399" s="48"/>
    </row>
    <row r="400" spans="1:9" ht="21" customHeight="1" x14ac:dyDescent="0.2">
      <c r="A400" s="46"/>
      <c r="B400" s="46"/>
      <c r="C400" s="46"/>
      <c r="D400" s="46"/>
      <c r="E400" s="46"/>
      <c r="F400" s="47"/>
      <c r="G400" s="47"/>
      <c r="H400" s="48"/>
      <c r="I400" s="48"/>
    </row>
    <row r="401" spans="1:9" ht="21" customHeight="1" x14ac:dyDescent="0.2">
      <c r="A401" s="46"/>
      <c r="B401" s="46"/>
      <c r="C401" s="46"/>
      <c r="D401" s="46"/>
      <c r="E401" s="46"/>
      <c r="F401" s="47"/>
      <c r="G401" s="47"/>
      <c r="H401" s="48"/>
      <c r="I401" s="48"/>
    </row>
    <row r="402" spans="1:9" ht="21" customHeight="1" x14ac:dyDescent="0.2">
      <c r="A402" s="46"/>
      <c r="B402" s="46"/>
      <c r="C402" s="46"/>
      <c r="D402" s="46"/>
      <c r="E402" s="46"/>
      <c r="F402" s="47"/>
      <c r="G402" s="47"/>
      <c r="H402" s="48"/>
      <c r="I402" s="48"/>
    </row>
    <row r="403" spans="1:9" ht="21" customHeight="1" x14ac:dyDescent="0.2">
      <c r="A403" s="46"/>
      <c r="B403" s="46"/>
      <c r="C403" s="46"/>
      <c r="D403" s="46"/>
      <c r="E403" s="46"/>
      <c r="F403" s="47"/>
      <c r="G403" s="47"/>
      <c r="H403" s="48"/>
      <c r="I403" s="48"/>
    </row>
    <row r="404" spans="1:9" ht="21" customHeight="1" x14ac:dyDescent="0.2">
      <c r="A404" s="46"/>
      <c r="B404" s="46"/>
      <c r="C404" s="46"/>
      <c r="D404" s="46"/>
      <c r="E404" s="46"/>
      <c r="F404" s="47"/>
      <c r="G404" s="47"/>
      <c r="H404" s="48"/>
      <c r="I404" s="48"/>
    </row>
    <row r="405" spans="1:9" ht="21" customHeight="1" x14ac:dyDescent="0.2">
      <c r="A405" s="46"/>
      <c r="B405" s="46"/>
      <c r="C405" s="46"/>
      <c r="D405" s="46"/>
      <c r="E405" s="46"/>
      <c r="F405" s="47"/>
      <c r="G405" s="47"/>
      <c r="H405" s="48"/>
      <c r="I405" s="48"/>
    </row>
    <row r="406" spans="1:9" ht="21" customHeight="1" x14ac:dyDescent="0.2">
      <c r="A406" s="46"/>
      <c r="B406" s="46"/>
      <c r="C406" s="46"/>
      <c r="D406" s="46"/>
      <c r="E406" s="46"/>
      <c r="F406" s="47"/>
      <c r="G406" s="47"/>
      <c r="H406" s="48"/>
      <c r="I406" s="48"/>
    </row>
    <row r="407" spans="1:9" ht="21" customHeight="1" x14ac:dyDescent="0.2">
      <c r="A407" s="46"/>
      <c r="B407" s="46"/>
      <c r="C407" s="46"/>
      <c r="D407" s="46"/>
      <c r="E407" s="46"/>
      <c r="F407" s="47"/>
      <c r="G407" s="47"/>
      <c r="H407" s="48"/>
      <c r="I407" s="48"/>
    </row>
    <row r="408" spans="1:9" ht="21" customHeight="1" x14ac:dyDescent="0.2">
      <c r="A408" s="46"/>
      <c r="B408" s="46"/>
      <c r="C408" s="46"/>
      <c r="D408" s="46"/>
      <c r="E408" s="46"/>
      <c r="F408" s="47"/>
      <c r="G408" s="47"/>
      <c r="H408" s="48"/>
      <c r="I408" s="48"/>
    </row>
    <row r="409" spans="1:9" ht="21" customHeight="1" x14ac:dyDescent="0.2">
      <c r="A409" s="46"/>
      <c r="B409" s="46"/>
      <c r="C409" s="46"/>
      <c r="D409" s="46"/>
      <c r="E409" s="46"/>
      <c r="F409" s="47"/>
      <c r="G409" s="47"/>
      <c r="H409" s="48"/>
      <c r="I409" s="48"/>
    </row>
    <row r="410" spans="1:9" ht="21" customHeight="1" x14ac:dyDescent="0.2">
      <c r="A410" s="46"/>
      <c r="B410" s="46"/>
      <c r="C410" s="46"/>
      <c r="D410" s="46"/>
      <c r="E410" s="46"/>
      <c r="F410" s="47"/>
      <c r="G410" s="47"/>
      <c r="H410" s="48"/>
      <c r="I410" s="48"/>
    </row>
    <row r="411" spans="1:9" ht="21" customHeight="1" x14ac:dyDescent="0.2">
      <c r="A411" s="46"/>
      <c r="B411" s="46"/>
      <c r="C411" s="46"/>
      <c r="D411" s="46"/>
      <c r="E411" s="46"/>
      <c r="F411" s="47"/>
      <c r="G411" s="47"/>
      <c r="H411" s="48"/>
      <c r="I411" s="48"/>
    </row>
    <row r="412" spans="1:9" ht="21" customHeight="1" x14ac:dyDescent="0.2">
      <c r="A412" s="46"/>
      <c r="B412" s="46"/>
      <c r="C412" s="46"/>
      <c r="D412" s="46"/>
      <c r="E412" s="46"/>
      <c r="F412" s="47"/>
      <c r="G412" s="47"/>
      <c r="H412" s="48"/>
      <c r="I412" s="48"/>
    </row>
    <row r="413" spans="1:9" ht="21" customHeight="1" x14ac:dyDescent="0.2">
      <c r="A413" s="46"/>
      <c r="B413" s="46"/>
      <c r="C413" s="46"/>
      <c r="D413" s="46"/>
      <c r="E413" s="46"/>
      <c r="F413" s="47"/>
      <c r="G413" s="47"/>
      <c r="H413" s="48"/>
      <c r="I413" s="48"/>
    </row>
    <row r="414" spans="1:9" ht="21" customHeight="1" x14ac:dyDescent="0.2">
      <c r="A414" s="46"/>
      <c r="B414" s="46"/>
      <c r="C414" s="46"/>
      <c r="D414" s="46"/>
      <c r="E414" s="46"/>
      <c r="F414" s="47"/>
      <c r="G414" s="47"/>
      <c r="H414" s="48"/>
      <c r="I414" s="48"/>
    </row>
    <row r="415" spans="1:9" ht="21" customHeight="1" x14ac:dyDescent="0.2">
      <c r="A415" s="46"/>
      <c r="B415" s="46"/>
      <c r="C415" s="46"/>
      <c r="D415" s="46"/>
      <c r="E415" s="46"/>
      <c r="F415" s="47"/>
      <c r="G415" s="47"/>
      <c r="H415" s="48"/>
      <c r="I415" s="48"/>
    </row>
    <row r="416" spans="1:9" ht="21" customHeight="1" x14ac:dyDescent="0.2">
      <c r="A416" s="46"/>
      <c r="B416" s="46"/>
      <c r="C416" s="46"/>
      <c r="D416" s="46"/>
      <c r="E416" s="46"/>
      <c r="F416" s="47"/>
      <c r="G416" s="47"/>
      <c r="H416" s="48"/>
      <c r="I416" s="48"/>
    </row>
    <row r="417" spans="1:9" ht="21" customHeight="1" x14ac:dyDescent="0.2">
      <c r="A417" s="46"/>
      <c r="B417" s="46"/>
      <c r="C417" s="46"/>
      <c r="D417" s="46"/>
      <c r="E417" s="46"/>
      <c r="F417" s="47"/>
      <c r="G417" s="47"/>
      <c r="H417" s="48"/>
      <c r="I417" s="48"/>
    </row>
    <row r="418" spans="1:9" ht="21" customHeight="1" x14ac:dyDescent="0.2">
      <c r="A418" s="46"/>
      <c r="B418" s="46"/>
      <c r="C418" s="46"/>
      <c r="D418" s="46"/>
      <c r="E418" s="46"/>
      <c r="F418" s="47"/>
      <c r="G418" s="47"/>
      <c r="H418" s="48"/>
      <c r="I418" s="48"/>
    </row>
    <row r="419" spans="1:9" ht="21" customHeight="1" x14ac:dyDescent="0.2">
      <c r="A419" s="46"/>
      <c r="B419" s="46"/>
      <c r="C419" s="46"/>
      <c r="D419" s="46"/>
      <c r="E419" s="46"/>
      <c r="F419" s="47"/>
      <c r="G419" s="47"/>
      <c r="H419" s="48"/>
      <c r="I419" s="48"/>
    </row>
    <row r="420" spans="1:9" ht="21" customHeight="1" x14ac:dyDescent="0.2">
      <c r="A420" s="46"/>
      <c r="B420" s="46"/>
      <c r="C420" s="46"/>
      <c r="D420" s="46"/>
      <c r="E420" s="46"/>
      <c r="F420" s="47"/>
      <c r="G420" s="47"/>
      <c r="H420" s="48"/>
      <c r="I420" s="48"/>
    </row>
    <row r="421" spans="1:9" ht="21" customHeight="1" x14ac:dyDescent="0.2">
      <c r="A421" s="46"/>
      <c r="B421" s="46"/>
      <c r="C421" s="46"/>
      <c r="D421" s="46"/>
      <c r="E421" s="46"/>
      <c r="F421" s="47"/>
      <c r="G421" s="47"/>
      <c r="H421" s="48"/>
      <c r="I421" s="48"/>
    </row>
    <row r="422" spans="1:9" ht="21" customHeight="1" x14ac:dyDescent="0.2">
      <c r="A422" s="46"/>
      <c r="B422" s="46"/>
      <c r="C422" s="46"/>
      <c r="D422" s="46"/>
      <c r="E422" s="46"/>
      <c r="F422" s="47"/>
      <c r="G422" s="47"/>
      <c r="H422" s="48"/>
      <c r="I422" s="48"/>
    </row>
    <row r="423" spans="1:9" ht="21" customHeight="1" x14ac:dyDescent="0.2">
      <c r="A423" s="46"/>
      <c r="B423" s="46"/>
      <c r="C423" s="46"/>
      <c r="D423" s="46"/>
      <c r="E423" s="46"/>
      <c r="F423" s="47"/>
      <c r="G423" s="47"/>
      <c r="H423" s="48"/>
      <c r="I423" s="48"/>
    </row>
    <row r="424" spans="1:9" ht="21" customHeight="1" x14ac:dyDescent="0.2">
      <c r="A424" s="46"/>
      <c r="B424" s="46"/>
      <c r="C424" s="46"/>
      <c r="D424" s="46"/>
      <c r="E424" s="46"/>
      <c r="F424" s="47"/>
      <c r="G424" s="47"/>
      <c r="H424" s="48"/>
      <c r="I424" s="48"/>
    </row>
    <row r="425" spans="1:9" ht="21" customHeight="1" x14ac:dyDescent="0.2">
      <c r="A425" s="46"/>
      <c r="B425" s="46"/>
      <c r="C425" s="46"/>
      <c r="D425" s="46"/>
      <c r="E425" s="46"/>
      <c r="F425" s="47"/>
      <c r="G425" s="47"/>
      <c r="H425" s="48"/>
      <c r="I425" s="48"/>
    </row>
    <row r="426" spans="1:9" ht="21" customHeight="1" x14ac:dyDescent="0.2">
      <c r="A426" s="46"/>
      <c r="B426" s="46"/>
      <c r="C426" s="46"/>
      <c r="D426" s="46"/>
      <c r="E426" s="46"/>
      <c r="F426" s="47"/>
      <c r="G426" s="47"/>
      <c r="H426" s="48"/>
      <c r="I426" s="48"/>
    </row>
    <row r="427" spans="1:9" ht="21" customHeight="1" x14ac:dyDescent="0.2">
      <c r="A427" s="46"/>
      <c r="B427" s="46"/>
      <c r="C427" s="46"/>
      <c r="D427" s="46"/>
      <c r="E427" s="46"/>
      <c r="F427" s="47"/>
      <c r="G427" s="47"/>
      <c r="H427" s="48"/>
      <c r="I427" s="48"/>
    </row>
    <row r="428" spans="1:9" ht="21" customHeight="1" x14ac:dyDescent="0.2">
      <c r="A428" s="46"/>
      <c r="B428" s="46"/>
      <c r="C428" s="46"/>
      <c r="D428" s="46"/>
      <c r="E428" s="46"/>
      <c r="F428" s="47"/>
      <c r="G428" s="47"/>
      <c r="H428" s="48"/>
      <c r="I428" s="48"/>
    </row>
    <row r="429" spans="1:9" ht="21" customHeight="1" x14ac:dyDescent="0.2">
      <c r="A429" s="46"/>
      <c r="B429" s="46"/>
      <c r="C429" s="46"/>
      <c r="D429" s="46"/>
      <c r="E429" s="46"/>
      <c r="F429" s="47"/>
      <c r="G429" s="47"/>
      <c r="H429" s="48"/>
      <c r="I429" s="48"/>
    </row>
    <row r="430" spans="1:9" ht="21" customHeight="1" x14ac:dyDescent="0.2">
      <c r="A430" s="46"/>
      <c r="B430" s="46"/>
      <c r="C430" s="46"/>
      <c r="D430" s="46"/>
      <c r="E430" s="46"/>
      <c r="F430" s="47"/>
      <c r="G430" s="47"/>
      <c r="H430" s="48"/>
      <c r="I430" s="48"/>
    </row>
    <row r="431" spans="1:9" ht="21" customHeight="1" x14ac:dyDescent="0.2">
      <c r="A431" s="46"/>
      <c r="B431" s="46"/>
      <c r="C431" s="46"/>
      <c r="D431" s="46"/>
      <c r="E431" s="46"/>
      <c r="F431" s="47"/>
      <c r="G431" s="47"/>
      <c r="H431" s="48"/>
      <c r="I431" s="48"/>
    </row>
    <row r="432" spans="1:9" ht="21" customHeight="1" x14ac:dyDescent="0.2">
      <c r="A432" s="46"/>
      <c r="B432" s="46"/>
      <c r="C432" s="46"/>
      <c r="D432" s="46"/>
      <c r="E432" s="46"/>
      <c r="F432" s="47"/>
      <c r="G432" s="47"/>
      <c r="H432" s="48"/>
      <c r="I432" s="48"/>
    </row>
    <row r="433" spans="1:9" ht="21" customHeight="1" x14ac:dyDescent="0.2">
      <c r="A433" s="46"/>
      <c r="B433" s="46"/>
      <c r="C433" s="46"/>
      <c r="D433" s="46"/>
      <c r="E433" s="46"/>
      <c r="F433" s="47"/>
      <c r="G433" s="47"/>
      <c r="H433" s="48"/>
      <c r="I433" s="48"/>
    </row>
    <row r="434" spans="1:9" ht="21" customHeight="1" x14ac:dyDescent="0.2">
      <c r="A434" s="46"/>
      <c r="B434" s="46"/>
      <c r="C434" s="46"/>
      <c r="D434" s="46"/>
      <c r="E434" s="46"/>
      <c r="F434" s="47"/>
      <c r="G434" s="47"/>
      <c r="H434" s="48"/>
      <c r="I434" s="48"/>
    </row>
    <row r="435" spans="1:9" ht="21" customHeight="1" x14ac:dyDescent="0.2">
      <c r="A435" s="46"/>
      <c r="B435" s="46"/>
      <c r="C435" s="46"/>
      <c r="D435" s="46"/>
      <c r="E435" s="46"/>
      <c r="F435" s="47"/>
      <c r="G435" s="47"/>
      <c r="H435" s="48"/>
      <c r="I435" s="48"/>
    </row>
    <row r="436" spans="1:9" ht="21" customHeight="1" x14ac:dyDescent="0.2">
      <c r="A436" s="46"/>
      <c r="B436" s="46"/>
      <c r="C436" s="46"/>
      <c r="D436" s="46"/>
      <c r="E436" s="46"/>
      <c r="F436" s="47"/>
      <c r="G436" s="47"/>
      <c r="H436" s="48"/>
      <c r="I436" s="48"/>
    </row>
    <row r="437" spans="1:9" ht="21" customHeight="1" x14ac:dyDescent="0.2">
      <c r="A437" s="46"/>
      <c r="B437" s="46"/>
      <c r="C437" s="46"/>
      <c r="D437" s="46"/>
      <c r="E437" s="46"/>
      <c r="F437" s="47"/>
      <c r="G437" s="47"/>
      <c r="H437" s="48"/>
      <c r="I437" s="48"/>
    </row>
    <row r="438" spans="1:9" ht="21" customHeight="1" x14ac:dyDescent="0.2">
      <c r="A438" s="46"/>
      <c r="B438" s="46"/>
      <c r="C438" s="46"/>
      <c r="D438" s="46"/>
      <c r="E438" s="46"/>
      <c r="F438" s="47"/>
      <c r="G438" s="47"/>
      <c r="H438" s="48"/>
      <c r="I438" s="48"/>
    </row>
    <row r="439" spans="1:9" ht="21" customHeight="1" x14ac:dyDescent="0.2">
      <c r="A439" s="46"/>
      <c r="B439" s="46"/>
      <c r="C439" s="46"/>
      <c r="D439" s="46"/>
      <c r="E439" s="46"/>
      <c r="F439" s="47"/>
      <c r="G439" s="47"/>
      <c r="H439" s="48"/>
      <c r="I439" s="48"/>
    </row>
    <row r="440" spans="1:9" ht="21" customHeight="1" x14ac:dyDescent="0.2">
      <c r="A440" s="46"/>
      <c r="B440" s="46"/>
      <c r="C440" s="46"/>
      <c r="D440" s="46"/>
      <c r="E440" s="46"/>
      <c r="F440" s="47"/>
      <c r="G440" s="47"/>
      <c r="H440" s="48"/>
      <c r="I440" s="48"/>
    </row>
    <row r="441" spans="1:9" ht="21" customHeight="1" x14ac:dyDescent="0.2">
      <c r="A441" s="46"/>
      <c r="B441" s="46"/>
      <c r="C441" s="46"/>
      <c r="D441" s="46"/>
      <c r="E441" s="46"/>
      <c r="F441" s="47"/>
      <c r="G441" s="47"/>
      <c r="H441" s="48"/>
      <c r="I441" s="48"/>
    </row>
    <row r="442" spans="1:9" ht="21" customHeight="1" x14ac:dyDescent="0.2">
      <c r="A442" s="46"/>
      <c r="B442" s="46"/>
      <c r="C442" s="46"/>
      <c r="D442" s="46"/>
      <c r="E442" s="46"/>
      <c r="F442" s="47"/>
      <c r="G442" s="47"/>
      <c r="H442" s="48"/>
      <c r="I442" s="48"/>
    </row>
    <row r="443" spans="1:9" ht="21" customHeight="1" x14ac:dyDescent="0.2">
      <c r="A443" s="46"/>
      <c r="B443" s="46"/>
      <c r="C443" s="46"/>
      <c r="D443" s="46"/>
      <c r="E443" s="46"/>
      <c r="F443" s="47"/>
      <c r="G443" s="47"/>
      <c r="H443" s="48"/>
      <c r="I443" s="48"/>
    </row>
    <row r="444" spans="1:9" ht="21" customHeight="1" x14ac:dyDescent="0.2">
      <c r="A444" s="46"/>
      <c r="B444" s="46"/>
      <c r="C444" s="46"/>
      <c r="D444" s="46"/>
      <c r="E444" s="46"/>
      <c r="F444" s="47"/>
      <c r="G444" s="47"/>
      <c r="H444" s="48"/>
      <c r="I444" s="48"/>
    </row>
    <row r="445" spans="1:9" ht="21" customHeight="1" x14ac:dyDescent="0.2">
      <c r="A445" s="46"/>
      <c r="B445" s="46"/>
      <c r="C445" s="46"/>
      <c r="D445" s="46"/>
      <c r="E445" s="46"/>
      <c r="F445" s="47"/>
      <c r="G445" s="47"/>
      <c r="H445" s="48"/>
      <c r="I445" s="48"/>
    </row>
    <row r="446" spans="1:9" ht="21" customHeight="1" x14ac:dyDescent="0.2">
      <c r="A446" s="46"/>
      <c r="B446" s="46"/>
      <c r="C446" s="46"/>
      <c r="D446" s="46"/>
      <c r="E446" s="46"/>
      <c r="F446" s="47"/>
      <c r="G446" s="47"/>
      <c r="H446" s="48"/>
      <c r="I446" s="48"/>
    </row>
    <row r="447" spans="1:9" ht="21" customHeight="1" x14ac:dyDescent="0.2">
      <c r="A447" s="46"/>
      <c r="B447" s="46"/>
      <c r="C447" s="46"/>
      <c r="D447" s="46"/>
      <c r="E447" s="46"/>
      <c r="F447" s="47"/>
      <c r="G447" s="47"/>
      <c r="H447" s="48"/>
      <c r="I447" s="48"/>
    </row>
    <row r="448" spans="1:9" ht="21" customHeight="1" x14ac:dyDescent="0.2">
      <c r="A448" s="46"/>
      <c r="B448" s="46"/>
      <c r="C448" s="46"/>
      <c r="D448" s="46"/>
      <c r="E448" s="46"/>
      <c r="F448" s="47"/>
      <c r="G448" s="47"/>
      <c r="H448" s="48"/>
      <c r="I448" s="48"/>
    </row>
    <row r="449" spans="1:9" ht="21" customHeight="1" x14ac:dyDescent="0.2">
      <c r="A449" s="46"/>
      <c r="B449" s="46"/>
      <c r="C449" s="46"/>
      <c r="D449" s="46"/>
      <c r="E449" s="46"/>
      <c r="F449" s="47"/>
      <c r="G449" s="47"/>
      <c r="H449" s="48"/>
      <c r="I449" s="48"/>
    </row>
    <row r="450" spans="1:9" ht="21" customHeight="1" x14ac:dyDescent="0.2">
      <c r="A450" s="46"/>
      <c r="B450" s="46"/>
      <c r="C450" s="46"/>
      <c r="D450" s="46"/>
      <c r="E450" s="46"/>
      <c r="F450" s="47"/>
      <c r="G450" s="47"/>
      <c r="H450" s="48"/>
      <c r="I450" s="48"/>
    </row>
    <row r="451" spans="1:9" ht="21" customHeight="1" x14ac:dyDescent="0.2">
      <c r="A451" s="46"/>
      <c r="B451" s="46"/>
      <c r="C451" s="46"/>
      <c r="D451" s="46"/>
      <c r="E451" s="46"/>
      <c r="F451" s="47"/>
      <c r="G451" s="47"/>
      <c r="H451" s="48"/>
      <c r="I451" s="48"/>
    </row>
    <row r="452" spans="1:9" ht="21" customHeight="1" x14ac:dyDescent="0.2">
      <c r="A452" s="46"/>
      <c r="B452" s="46"/>
      <c r="C452" s="46"/>
      <c r="D452" s="46"/>
      <c r="E452" s="46"/>
      <c r="F452" s="47"/>
      <c r="G452" s="47"/>
      <c r="H452" s="48"/>
      <c r="I452" s="48"/>
    </row>
    <row r="453" spans="1:9" ht="21" customHeight="1" x14ac:dyDescent="0.2">
      <c r="A453" s="46"/>
      <c r="B453" s="46"/>
      <c r="C453" s="46"/>
      <c r="D453" s="46"/>
      <c r="E453" s="46"/>
      <c r="F453" s="47"/>
      <c r="G453" s="47"/>
      <c r="H453" s="48"/>
      <c r="I453" s="48"/>
    </row>
    <row r="454" spans="1:9" ht="21" customHeight="1" x14ac:dyDescent="0.2">
      <c r="A454" s="46"/>
      <c r="B454" s="46"/>
      <c r="C454" s="46"/>
      <c r="D454" s="46"/>
      <c r="E454" s="46"/>
      <c r="F454" s="47"/>
      <c r="G454" s="47"/>
      <c r="H454" s="48"/>
      <c r="I454" s="48"/>
    </row>
    <row r="455" spans="1:9" ht="21" customHeight="1" x14ac:dyDescent="0.2">
      <c r="A455" s="46"/>
      <c r="B455" s="46"/>
      <c r="C455" s="46"/>
      <c r="D455" s="46"/>
      <c r="E455" s="46"/>
      <c r="F455" s="47"/>
      <c r="G455" s="47"/>
      <c r="H455" s="48"/>
      <c r="I455" s="48"/>
    </row>
    <row r="456" spans="1:9" ht="21" customHeight="1" x14ac:dyDescent="0.2">
      <c r="A456" s="46"/>
      <c r="B456" s="46"/>
      <c r="C456" s="46"/>
      <c r="D456" s="46"/>
      <c r="E456" s="46"/>
      <c r="F456" s="47"/>
      <c r="G456" s="47"/>
      <c r="H456" s="48"/>
      <c r="I456" s="48"/>
    </row>
    <row r="457" spans="1:9" ht="21" customHeight="1" x14ac:dyDescent="0.2">
      <c r="A457" s="46"/>
      <c r="B457" s="46"/>
      <c r="C457" s="46"/>
      <c r="D457" s="46"/>
      <c r="E457" s="46"/>
      <c r="F457" s="47"/>
      <c r="G457" s="47"/>
      <c r="H457" s="48"/>
      <c r="I457" s="48"/>
    </row>
    <row r="458" spans="1:9" ht="21" customHeight="1" x14ac:dyDescent="0.2">
      <c r="A458" s="46"/>
      <c r="B458" s="46"/>
      <c r="C458" s="46"/>
      <c r="D458" s="46"/>
      <c r="E458" s="46"/>
      <c r="F458" s="47"/>
      <c r="G458" s="47"/>
      <c r="H458" s="48"/>
      <c r="I458" s="48"/>
    </row>
    <row r="459" spans="1:9" ht="21" customHeight="1" x14ac:dyDescent="0.2">
      <c r="A459" s="46"/>
      <c r="B459" s="46"/>
      <c r="C459" s="46"/>
      <c r="D459" s="46"/>
      <c r="E459" s="46"/>
      <c r="F459" s="47"/>
      <c r="G459" s="47"/>
      <c r="H459" s="48"/>
      <c r="I459" s="48"/>
    </row>
    <row r="460" spans="1:9" ht="21" customHeight="1" x14ac:dyDescent="0.2">
      <c r="A460" s="46"/>
      <c r="B460" s="46"/>
      <c r="C460" s="46"/>
      <c r="D460" s="46"/>
      <c r="E460" s="46"/>
      <c r="F460" s="47"/>
      <c r="G460" s="47"/>
      <c r="H460" s="48"/>
      <c r="I460" s="48"/>
    </row>
    <row r="461" spans="1:9" ht="21" customHeight="1" x14ac:dyDescent="0.2">
      <c r="A461" s="46"/>
      <c r="B461" s="46"/>
      <c r="C461" s="46"/>
      <c r="D461" s="46"/>
      <c r="E461" s="46"/>
      <c r="F461" s="47"/>
      <c r="G461" s="47"/>
      <c r="H461" s="48"/>
      <c r="I461" s="48"/>
    </row>
    <row r="462" spans="1:9" ht="21" customHeight="1" x14ac:dyDescent="0.2">
      <c r="A462" s="46"/>
      <c r="B462" s="46"/>
      <c r="C462" s="46"/>
      <c r="D462" s="46"/>
      <c r="E462" s="46"/>
      <c r="F462" s="47"/>
      <c r="G462" s="47"/>
      <c r="H462" s="48"/>
      <c r="I462" s="48"/>
    </row>
    <row r="463" spans="1:9" ht="21" customHeight="1" x14ac:dyDescent="0.2">
      <c r="A463" s="46"/>
      <c r="B463" s="46"/>
      <c r="C463" s="46"/>
      <c r="D463" s="46"/>
      <c r="E463" s="46"/>
      <c r="F463" s="47"/>
      <c r="G463" s="47"/>
      <c r="H463" s="48"/>
      <c r="I463" s="48"/>
    </row>
    <row r="464" spans="1:9" ht="21" customHeight="1" x14ac:dyDescent="0.2">
      <c r="A464" s="46"/>
      <c r="B464" s="46"/>
      <c r="C464" s="46"/>
      <c r="D464" s="46"/>
      <c r="E464" s="46"/>
      <c r="F464" s="47"/>
      <c r="G464" s="47"/>
      <c r="H464" s="48"/>
      <c r="I464" s="48"/>
    </row>
    <row r="465" spans="1:9" ht="21" customHeight="1" x14ac:dyDescent="0.2">
      <c r="A465" s="46"/>
      <c r="B465" s="46"/>
      <c r="C465" s="46"/>
      <c r="D465" s="46"/>
      <c r="E465" s="46"/>
      <c r="F465" s="47"/>
      <c r="G465" s="47"/>
      <c r="H465" s="48"/>
      <c r="I465" s="48"/>
    </row>
    <row r="466" spans="1:9" ht="21" customHeight="1" x14ac:dyDescent="0.2">
      <c r="A466" s="46"/>
      <c r="B466" s="46"/>
      <c r="C466" s="46"/>
      <c r="D466" s="46"/>
      <c r="E466" s="46"/>
      <c r="F466" s="47"/>
      <c r="G466" s="47"/>
      <c r="H466" s="48"/>
      <c r="I466" s="48"/>
    </row>
    <row r="467" spans="1:9" ht="21" customHeight="1" x14ac:dyDescent="0.2">
      <c r="A467" s="46"/>
      <c r="B467" s="46"/>
      <c r="C467" s="46"/>
      <c r="D467" s="46"/>
      <c r="E467" s="46"/>
      <c r="F467" s="47"/>
      <c r="G467" s="47"/>
      <c r="H467" s="48"/>
      <c r="I467" s="48"/>
    </row>
    <row r="468" spans="1:9" ht="21" customHeight="1" x14ac:dyDescent="0.2">
      <c r="A468" s="46"/>
      <c r="B468" s="46"/>
      <c r="C468" s="46"/>
      <c r="D468" s="46"/>
      <c r="E468" s="46"/>
      <c r="F468" s="47"/>
      <c r="G468" s="47"/>
      <c r="H468" s="48"/>
      <c r="I468" s="48"/>
    </row>
    <row r="469" spans="1:9" ht="21" customHeight="1" x14ac:dyDescent="0.2">
      <c r="A469" s="46"/>
      <c r="B469" s="46"/>
      <c r="C469" s="46"/>
      <c r="D469" s="46"/>
      <c r="E469" s="46"/>
      <c r="F469" s="47"/>
      <c r="G469" s="47"/>
      <c r="H469" s="48"/>
      <c r="I469" s="48"/>
    </row>
    <row r="470" spans="1:9" ht="21" customHeight="1" x14ac:dyDescent="0.2">
      <c r="A470" s="46"/>
      <c r="B470" s="46"/>
      <c r="C470" s="46"/>
      <c r="D470" s="46"/>
      <c r="E470" s="46"/>
      <c r="F470" s="47"/>
      <c r="G470" s="47"/>
      <c r="H470" s="48"/>
      <c r="I470" s="48"/>
    </row>
    <row r="471" spans="1:9" ht="21" customHeight="1" x14ac:dyDescent="0.2">
      <c r="A471" s="46"/>
      <c r="B471" s="46"/>
      <c r="C471" s="46"/>
      <c r="D471" s="46"/>
      <c r="E471" s="46"/>
      <c r="F471" s="47"/>
      <c r="G471" s="47"/>
      <c r="H471" s="48"/>
      <c r="I471" s="48"/>
    </row>
    <row r="472" spans="1:9" ht="21" customHeight="1" x14ac:dyDescent="0.2">
      <c r="A472" s="46"/>
      <c r="B472" s="46"/>
      <c r="C472" s="46"/>
      <c r="D472" s="46"/>
      <c r="E472" s="46"/>
      <c r="F472" s="47"/>
      <c r="G472" s="47"/>
      <c r="H472" s="48"/>
      <c r="I472" s="48"/>
    </row>
    <row r="473" spans="1:9" ht="21" customHeight="1" x14ac:dyDescent="0.2">
      <c r="A473" s="46"/>
      <c r="B473" s="46"/>
      <c r="C473" s="46"/>
      <c r="D473" s="46"/>
      <c r="E473" s="46"/>
      <c r="F473" s="47"/>
      <c r="G473" s="47"/>
      <c r="H473" s="48"/>
      <c r="I473" s="48"/>
    </row>
    <row r="474" spans="1:9" ht="21" customHeight="1" x14ac:dyDescent="0.2">
      <c r="A474" s="46"/>
      <c r="B474" s="46"/>
      <c r="C474" s="46"/>
      <c r="D474" s="46"/>
      <c r="E474" s="46"/>
      <c r="F474" s="47"/>
      <c r="G474" s="47"/>
      <c r="H474" s="48"/>
      <c r="I474" s="48"/>
    </row>
    <row r="475" spans="1:9" ht="21" customHeight="1" x14ac:dyDescent="0.2">
      <c r="A475" s="46"/>
      <c r="B475" s="46"/>
      <c r="C475" s="46"/>
      <c r="D475" s="46"/>
      <c r="E475" s="46"/>
      <c r="F475" s="47"/>
      <c r="G475" s="47"/>
      <c r="H475" s="48"/>
      <c r="I475" s="48"/>
    </row>
    <row r="476" spans="1:9" ht="21" customHeight="1" x14ac:dyDescent="0.2">
      <c r="A476" s="46"/>
      <c r="B476" s="46"/>
      <c r="C476" s="46"/>
      <c r="D476" s="46"/>
      <c r="E476" s="46"/>
      <c r="F476" s="47"/>
      <c r="G476" s="47"/>
      <c r="H476" s="48"/>
      <c r="I476" s="48"/>
    </row>
    <row r="477" spans="1:9" ht="21" customHeight="1" x14ac:dyDescent="0.2">
      <c r="A477" s="46"/>
      <c r="B477" s="46"/>
      <c r="C477" s="46"/>
      <c r="D477" s="46"/>
      <c r="E477" s="46"/>
      <c r="F477" s="47"/>
      <c r="G477" s="47"/>
      <c r="H477" s="48"/>
      <c r="I477" s="48"/>
    </row>
    <row r="478" spans="1:9" ht="21" customHeight="1" x14ac:dyDescent="0.2">
      <c r="A478" s="46"/>
      <c r="B478" s="46"/>
      <c r="C478" s="46"/>
      <c r="D478" s="46"/>
      <c r="E478" s="46"/>
      <c r="F478" s="47"/>
      <c r="G478" s="47"/>
      <c r="H478" s="48"/>
      <c r="I478" s="48"/>
    </row>
    <row r="479" spans="1:9" ht="21" customHeight="1" x14ac:dyDescent="0.2">
      <c r="A479" s="46"/>
      <c r="B479" s="46"/>
      <c r="C479" s="46"/>
      <c r="D479" s="46"/>
      <c r="E479" s="46"/>
      <c r="F479" s="47"/>
      <c r="G479" s="47"/>
      <c r="H479" s="48"/>
      <c r="I479" s="48"/>
    </row>
    <row r="480" spans="1:9" ht="21" customHeight="1" x14ac:dyDescent="0.2">
      <c r="A480" s="46"/>
      <c r="B480" s="46"/>
      <c r="C480" s="46"/>
      <c r="D480" s="46"/>
      <c r="E480" s="46"/>
      <c r="F480" s="47"/>
      <c r="G480" s="47"/>
      <c r="H480" s="48"/>
      <c r="I480" s="48"/>
    </row>
    <row r="481" spans="1:9" ht="21" customHeight="1" x14ac:dyDescent="0.2">
      <c r="A481" s="46"/>
      <c r="B481" s="46"/>
      <c r="C481" s="46"/>
      <c r="D481" s="46"/>
      <c r="E481" s="46"/>
      <c r="F481" s="47"/>
      <c r="G481" s="47"/>
      <c r="H481" s="48"/>
      <c r="I481" s="48"/>
    </row>
    <row r="482" spans="1:9" ht="21" customHeight="1" x14ac:dyDescent="0.2">
      <c r="A482" s="46"/>
      <c r="B482" s="46"/>
      <c r="C482" s="46"/>
      <c r="D482" s="46"/>
      <c r="E482" s="46"/>
      <c r="F482" s="47"/>
      <c r="G482" s="47"/>
      <c r="H482" s="48"/>
      <c r="I482" s="48"/>
    </row>
    <row r="483" spans="1:9" ht="21" customHeight="1" x14ac:dyDescent="0.2">
      <c r="A483" s="46"/>
      <c r="B483" s="46"/>
      <c r="C483" s="46"/>
      <c r="D483" s="46"/>
      <c r="E483" s="46"/>
      <c r="F483" s="47"/>
      <c r="G483" s="47"/>
      <c r="H483" s="48"/>
      <c r="I483" s="48"/>
    </row>
    <row r="484" spans="1:9" ht="21" customHeight="1" x14ac:dyDescent="0.2">
      <c r="A484" s="46"/>
      <c r="B484" s="46"/>
      <c r="C484" s="46"/>
      <c r="D484" s="46"/>
      <c r="E484" s="46"/>
      <c r="F484" s="47"/>
      <c r="G484" s="47"/>
      <c r="H484" s="48"/>
      <c r="I484" s="48"/>
    </row>
    <row r="485" spans="1:9" ht="21" customHeight="1" x14ac:dyDescent="0.2">
      <c r="A485" s="46"/>
      <c r="B485" s="46"/>
      <c r="C485" s="46"/>
      <c r="D485" s="46"/>
      <c r="E485" s="46"/>
      <c r="F485" s="47"/>
      <c r="G485" s="47"/>
      <c r="H485" s="48"/>
      <c r="I485" s="48"/>
    </row>
    <row r="486" spans="1:9" ht="21" customHeight="1" x14ac:dyDescent="0.2">
      <c r="A486" s="46"/>
      <c r="B486" s="46"/>
      <c r="C486" s="46"/>
      <c r="D486" s="46"/>
      <c r="E486" s="46"/>
      <c r="F486" s="47"/>
      <c r="G486" s="47"/>
      <c r="H486" s="48"/>
      <c r="I486" s="48"/>
    </row>
    <row r="487" spans="1:9" ht="21" customHeight="1" x14ac:dyDescent="0.2">
      <c r="A487" s="46"/>
      <c r="B487" s="46"/>
      <c r="C487" s="46"/>
      <c r="D487" s="46"/>
      <c r="E487" s="46"/>
      <c r="F487" s="47"/>
      <c r="G487" s="47"/>
      <c r="H487" s="48"/>
      <c r="I487" s="48"/>
    </row>
    <row r="488" spans="1:9" ht="21" customHeight="1" x14ac:dyDescent="0.2">
      <c r="A488" s="46"/>
      <c r="B488" s="46"/>
      <c r="C488" s="46"/>
      <c r="D488" s="46"/>
      <c r="E488" s="46"/>
      <c r="F488" s="47"/>
      <c r="G488" s="47"/>
      <c r="H488" s="48"/>
      <c r="I488" s="48"/>
    </row>
    <row r="489" spans="1:9" ht="21" customHeight="1" x14ac:dyDescent="0.2">
      <c r="A489" s="46"/>
      <c r="B489" s="46"/>
      <c r="C489" s="46"/>
      <c r="D489" s="46"/>
      <c r="E489" s="46"/>
      <c r="F489" s="47"/>
      <c r="G489" s="47"/>
      <c r="H489" s="48"/>
      <c r="I489" s="48"/>
    </row>
    <row r="490" spans="1:9" ht="21" customHeight="1" x14ac:dyDescent="0.2">
      <c r="A490" s="46"/>
      <c r="B490" s="46"/>
      <c r="C490" s="46"/>
      <c r="D490" s="46"/>
      <c r="E490" s="46"/>
      <c r="F490" s="47"/>
      <c r="G490" s="47"/>
      <c r="H490" s="48"/>
      <c r="I490" s="48"/>
    </row>
    <row r="491" spans="1:9" ht="21" customHeight="1" x14ac:dyDescent="0.2">
      <c r="A491" s="46"/>
      <c r="B491" s="46"/>
      <c r="C491" s="46"/>
      <c r="D491" s="46"/>
      <c r="E491" s="46"/>
      <c r="F491" s="47"/>
      <c r="G491" s="47"/>
      <c r="H491" s="48"/>
      <c r="I491" s="48"/>
    </row>
    <row r="492" spans="1:9" ht="21" customHeight="1" x14ac:dyDescent="0.2">
      <c r="A492" s="46"/>
      <c r="B492" s="46"/>
      <c r="C492" s="46"/>
      <c r="D492" s="46"/>
      <c r="E492" s="46"/>
      <c r="F492" s="47"/>
      <c r="G492" s="47"/>
      <c r="H492" s="48"/>
      <c r="I492" s="48"/>
    </row>
    <row r="493" spans="1:9" ht="21" customHeight="1" x14ac:dyDescent="0.2">
      <c r="A493" s="46"/>
      <c r="B493" s="46"/>
      <c r="C493" s="46"/>
      <c r="D493" s="46"/>
      <c r="E493" s="46"/>
      <c r="F493" s="47"/>
      <c r="G493" s="47"/>
      <c r="H493" s="48"/>
      <c r="I493" s="48"/>
    </row>
    <row r="494" spans="1:9" ht="21" customHeight="1" x14ac:dyDescent="0.2">
      <c r="A494" s="46"/>
      <c r="B494" s="46"/>
      <c r="C494" s="46"/>
      <c r="D494" s="46"/>
      <c r="E494" s="46"/>
      <c r="F494" s="47"/>
      <c r="G494" s="47"/>
      <c r="H494" s="48"/>
      <c r="I494" s="48"/>
    </row>
    <row r="495" spans="1:9" ht="21" customHeight="1" x14ac:dyDescent="0.2">
      <c r="A495" s="46"/>
      <c r="B495" s="46"/>
      <c r="C495" s="46"/>
      <c r="D495" s="46"/>
      <c r="E495" s="46"/>
      <c r="F495" s="47"/>
      <c r="G495" s="47"/>
      <c r="H495" s="48"/>
      <c r="I495" s="48"/>
    </row>
    <row r="496" spans="1:9" ht="21" customHeight="1" x14ac:dyDescent="0.2">
      <c r="A496" s="46"/>
      <c r="B496" s="46"/>
      <c r="C496" s="46"/>
      <c r="D496" s="46"/>
      <c r="E496" s="46"/>
      <c r="F496" s="47"/>
      <c r="G496" s="47"/>
      <c r="H496" s="48"/>
      <c r="I496" s="48"/>
    </row>
    <row r="497" spans="1:9" ht="21" customHeight="1" x14ac:dyDescent="0.2">
      <c r="A497" s="46"/>
      <c r="B497" s="46"/>
      <c r="C497" s="46"/>
      <c r="D497" s="46"/>
      <c r="E497" s="46"/>
      <c r="F497" s="47"/>
      <c r="G497" s="47"/>
      <c r="H497" s="48"/>
      <c r="I497" s="48"/>
    </row>
    <row r="498" spans="1:9" ht="21" customHeight="1" x14ac:dyDescent="0.2">
      <c r="A498" s="46"/>
      <c r="B498" s="46"/>
      <c r="C498" s="46"/>
      <c r="D498" s="46"/>
      <c r="E498" s="46"/>
      <c r="F498" s="47"/>
      <c r="G498" s="47"/>
      <c r="H498" s="48"/>
      <c r="I498" s="48"/>
    </row>
    <row r="499" spans="1:9" ht="21" customHeight="1" x14ac:dyDescent="0.2">
      <c r="A499" s="46"/>
      <c r="B499" s="46"/>
      <c r="C499" s="46"/>
      <c r="D499" s="46"/>
      <c r="E499" s="46"/>
      <c r="F499" s="47"/>
      <c r="G499" s="47"/>
      <c r="H499" s="48"/>
      <c r="I499" s="48"/>
    </row>
    <row r="500" spans="1:9" ht="21" customHeight="1" x14ac:dyDescent="0.2">
      <c r="A500" s="46"/>
      <c r="B500" s="46"/>
      <c r="C500" s="46"/>
      <c r="D500" s="46"/>
      <c r="E500" s="46"/>
      <c r="F500" s="47"/>
      <c r="G500" s="47"/>
      <c r="H500" s="48"/>
      <c r="I500" s="48"/>
    </row>
    <row r="501" spans="1:9" ht="21" customHeight="1" x14ac:dyDescent="0.2">
      <c r="A501" s="46"/>
      <c r="B501" s="46"/>
      <c r="C501" s="46"/>
      <c r="D501" s="46"/>
      <c r="E501" s="46"/>
      <c r="F501" s="47"/>
      <c r="G501" s="47"/>
      <c r="H501" s="48"/>
      <c r="I501" s="48"/>
    </row>
    <row r="502" spans="1:9" ht="21" customHeight="1" x14ac:dyDescent="0.2">
      <c r="A502" s="46"/>
      <c r="B502" s="46"/>
      <c r="C502" s="46"/>
      <c r="D502" s="46"/>
      <c r="E502" s="46"/>
      <c r="F502" s="47"/>
      <c r="G502" s="47"/>
      <c r="H502" s="48"/>
      <c r="I502" s="48"/>
    </row>
    <row r="503" spans="1:9" ht="21" customHeight="1" x14ac:dyDescent="0.2">
      <c r="A503" s="46"/>
      <c r="B503" s="46"/>
      <c r="C503" s="46"/>
      <c r="D503" s="46"/>
      <c r="E503" s="46"/>
      <c r="F503" s="47"/>
      <c r="G503" s="47"/>
      <c r="H503" s="48"/>
      <c r="I503" s="48"/>
    </row>
    <row r="504" spans="1:9" ht="21" customHeight="1" x14ac:dyDescent="0.2">
      <c r="A504" s="46"/>
      <c r="B504" s="46"/>
      <c r="C504" s="46"/>
      <c r="D504" s="46"/>
      <c r="E504" s="46"/>
      <c r="F504" s="47"/>
      <c r="G504" s="47"/>
      <c r="H504" s="48"/>
      <c r="I504" s="48"/>
    </row>
    <row r="505" spans="1:9" ht="21" customHeight="1" x14ac:dyDescent="0.2">
      <c r="A505" s="46"/>
      <c r="B505" s="46"/>
      <c r="C505" s="46"/>
      <c r="D505" s="46"/>
      <c r="E505" s="46"/>
      <c r="F505" s="47"/>
      <c r="G505" s="47"/>
      <c r="H505" s="48"/>
      <c r="I505" s="48"/>
    </row>
    <row r="506" spans="1:9" ht="21" customHeight="1" x14ac:dyDescent="0.2">
      <c r="A506" s="46"/>
      <c r="B506" s="46"/>
      <c r="C506" s="46"/>
      <c r="D506" s="46"/>
      <c r="E506" s="46"/>
      <c r="F506" s="47"/>
      <c r="G506" s="47"/>
      <c r="H506" s="48"/>
      <c r="I506" s="48"/>
    </row>
    <row r="507" spans="1:9" ht="21" customHeight="1" x14ac:dyDescent="0.2">
      <c r="A507" s="46"/>
      <c r="B507" s="46"/>
      <c r="C507" s="46"/>
      <c r="D507" s="46"/>
      <c r="E507" s="46"/>
      <c r="F507" s="47"/>
      <c r="G507" s="47"/>
      <c r="H507" s="48"/>
      <c r="I507" s="48"/>
    </row>
    <row r="508" spans="1:9" ht="21" customHeight="1" x14ac:dyDescent="0.2">
      <c r="A508" s="46"/>
      <c r="B508" s="46"/>
      <c r="C508" s="46"/>
      <c r="D508" s="46"/>
      <c r="E508" s="46"/>
      <c r="F508" s="47"/>
      <c r="G508" s="47"/>
      <c r="H508" s="48"/>
      <c r="I508" s="48"/>
    </row>
    <row r="509" spans="1:9" ht="21" customHeight="1" x14ac:dyDescent="0.2">
      <c r="A509" s="49"/>
      <c r="B509" s="49"/>
      <c r="C509" s="49"/>
      <c r="D509" s="49"/>
      <c r="E509" s="49"/>
      <c r="F509" s="50"/>
      <c r="G509" s="50"/>
      <c r="H509" s="51"/>
      <c r="I509" s="51"/>
    </row>
  </sheetData>
  <mergeCells count="4">
    <mergeCell ref="A1:I1"/>
    <mergeCell ref="A2:I2"/>
    <mergeCell ref="B5:I6"/>
    <mergeCell ref="A8:I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9"/>
  <sheetViews>
    <sheetView showGridLines="0" workbookViewId="0">
      <pane ySplit="9" topLeftCell="A10" activePane="bottomLeft" state="frozen"/>
      <selection pane="bottomLeft" activeCell="B17" sqref="B17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48" customWidth="1"/>
    <col min="4" max="4" width="30" customWidth="1"/>
    <col min="5" max="5" width="27.83203125" customWidth="1"/>
    <col min="6" max="7" width="15" customWidth="1"/>
    <col min="8" max="8" width="18" customWidth="1"/>
    <col min="9" max="9" width="22" customWidth="1"/>
  </cols>
  <sheetData>
    <row r="1" spans="1:10" ht="32" customHeight="1" x14ac:dyDescent="0.15">
      <c r="A1" s="58" t="s">
        <v>45</v>
      </c>
      <c r="B1" s="58"/>
      <c r="C1" s="58"/>
      <c r="D1" s="58"/>
      <c r="E1" s="58"/>
      <c r="F1" s="58"/>
      <c r="G1" s="58"/>
      <c r="H1" s="58"/>
      <c r="I1" s="58"/>
    </row>
    <row r="2" spans="1:10" ht="27" customHeight="1" x14ac:dyDescent="0.15">
      <c r="A2" s="59" t="s">
        <v>46</v>
      </c>
      <c r="B2" s="59"/>
      <c r="C2" s="59"/>
      <c r="D2" s="59"/>
      <c r="E2" s="59"/>
      <c r="F2" s="59"/>
      <c r="G2" s="59"/>
      <c r="H2" s="59"/>
      <c r="I2" s="59"/>
    </row>
    <row r="4" spans="1:10" ht="14" x14ac:dyDescent="0.15">
      <c r="A4" s="42" t="s">
        <v>2</v>
      </c>
      <c r="B4" s="42">
        <v>3</v>
      </c>
      <c r="C4" s="42"/>
      <c r="D4" s="42" t="s">
        <v>22</v>
      </c>
      <c r="E4" s="43">
        <v>46302</v>
      </c>
      <c r="F4" s="42"/>
      <c r="G4" s="42" t="s">
        <v>23</v>
      </c>
      <c r="H4" s="43">
        <v>46311</v>
      </c>
    </row>
    <row r="5" spans="1:10" ht="24" customHeight="1" x14ac:dyDescent="0.15">
      <c r="A5" s="42" t="s">
        <v>36</v>
      </c>
      <c r="B5" s="62" t="s">
        <v>47</v>
      </c>
      <c r="C5" s="62"/>
      <c r="D5" s="62"/>
      <c r="E5" s="62"/>
      <c r="F5" s="62"/>
      <c r="G5" s="62"/>
      <c r="H5" s="62"/>
      <c r="I5" s="62"/>
    </row>
    <row r="6" spans="1:10" ht="24" customHeight="1" x14ac:dyDescent="0.15">
      <c r="A6" s="42"/>
      <c r="B6" s="62"/>
      <c r="C6" s="62"/>
      <c r="D6" s="62"/>
      <c r="E6" s="62"/>
      <c r="F6" s="62"/>
      <c r="G6" s="62"/>
      <c r="H6" s="62"/>
      <c r="I6" s="62"/>
    </row>
    <row r="7" spans="1:10" ht="14" x14ac:dyDescent="0.15">
      <c r="A7" s="44" t="s">
        <v>38</v>
      </c>
      <c r="B7" s="44">
        <f>COUNTIFS('Product Backlog'!$B$5:$B$504,3,'Product Backlog'!$C$5:$C$504,"&lt;&gt;")</f>
        <v>3</v>
      </c>
      <c r="C7" s="44" t="s">
        <v>17</v>
      </c>
      <c r="D7" s="44">
        <f>COUNTIFS('Product Backlog'!$B$5:$B$504,3,'Product Backlog'!$D$5:$D$504,"Done")+COUNTIFS('Product Backlog'!$B$5:$B$504,3,'Product Backlog'!$D$5:$D$504,"Completed")</f>
        <v>3</v>
      </c>
      <c r="E7" s="44" t="s">
        <v>39</v>
      </c>
      <c r="F7" s="44">
        <f>SUMIFS('Product Backlog'!$H$5:$H$504,'Product Backlog'!$B$5:$B$504,3)</f>
        <v>6.5</v>
      </c>
      <c r="G7" s="44" t="s">
        <v>40</v>
      </c>
      <c r="H7" s="44">
        <f>SUMIFS('Product Backlog'!$I$5:$I$504,'Product Backlog'!$B$5:$B$504,3)</f>
        <v>160</v>
      </c>
    </row>
    <row r="8" spans="1:10" ht="14" customHeight="1" x14ac:dyDescent="0.2">
      <c r="A8" s="63" t="s">
        <v>41</v>
      </c>
      <c r="B8" s="63"/>
      <c r="C8" s="63"/>
      <c r="D8" s="63"/>
      <c r="E8" s="63"/>
      <c r="F8" s="63"/>
      <c r="G8" s="63"/>
      <c r="H8" s="63"/>
      <c r="I8" s="63"/>
    </row>
    <row r="9" spans="1:10" ht="31" customHeight="1" x14ac:dyDescent="0.15">
      <c r="A9" s="45" t="s">
        <v>1</v>
      </c>
      <c r="B9" s="45" t="s">
        <v>2</v>
      </c>
      <c r="C9" s="45" t="s">
        <v>3</v>
      </c>
      <c r="D9" s="45" t="s">
        <v>4</v>
      </c>
      <c r="E9" s="45" t="s">
        <v>5</v>
      </c>
      <c r="F9" s="45" t="s">
        <v>6</v>
      </c>
      <c r="G9" s="45" t="s">
        <v>7</v>
      </c>
      <c r="H9" s="45" t="s">
        <v>8</v>
      </c>
      <c r="I9" s="45" t="s">
        <v>9</v>
      </c>
    </row>
    <row r="10" spans="1:10" ht="33" customHeight="1" x14ac:dyDescent="0.2">
      <c r="A10" s="64">
        <f>IF($J10="","",IF(ISBLANK(INDEX('Product Backlog'!$A$5:$A$504,$J10)),"",INDEX('Product Backlog'!$A$5:$A$504,$J10)))</f>
        <v>7</v>
      </c>
      <c r="B10" s="64">
        <f>IF($J10="","",IF(ISBLANK(INDEX('Product Backlog'!$B$5:$B$504,$J10)),"",INDEX('Product Backlog'!$B$5:$B$504,$J10)))</f>
        <v>3</v>
      </c>
      <c r="C10" s="46" t="str">
        <f>IF($J10="","",IF(ISBLANK(INDEX('Product Backlog'!$C$5:$C$504,$J10)),"",INDEX('Product Backlog'!$C$5:$C$504,$J10)))</f>
        <v>Define bias detection-what does bias look like (research included)</v>
      </c>
      <c r="D10" s="46" t="str">
        <f>IF($J10="","",IF(ISBLANK(INDEX('Product Backlog'!$D$5:$D$504,$J10)),"",INDEX('Product Backlog'!$D$5:$D$504,$J10)))</f>
        <v>Completed</v>
      </c>
      <c r="E10" s="46" t="str">
        <f>IF($J10="","",IF(ISBLANK(INDEX('Product Backlog'!$E$5:$E$504,$J10)),"",INDEX('Product Backlog'!$E$5:$E$504,$J10)))</f>
        <v>chropic &amp; oogwaysprophecy732</v>
      </c>
      <c r="F10" s="47">
        <f>IF($J10="","",IF(ISBLANK(INDEX('Product Backlog'!$F$5:$F$504,$J10)),"",INDEX('Product Backlog'!$F$5:$F$504,$J10)))</f>
        <v>46302</v>
      </c>
      <c r="G10" s="47">
        <f>IF($J10="","",IF(ISBLANK(INDEX('Product Backlog'!$G$5:$G$504,$J10)),"",INDEX('Product Backlog'!$G$5:$G$504,$J10)))</f>
        <v>46309</v>
      </c>
      <c r="H10" s="48">
        <f>IF($J10="","",IF(ISBLANK(INDEX('Product Backlog'!$H$5:$H$504,$J10)),"",INDEX('Product Backlog'!$H$5:$H$504,$J10)))</f>
        <v>2</v>
      </c>
      <c r="I10" s="48">
        <f>IF($J10="","",IF(ISBLANK(INDEX('Product Backlog'!$I$5:$I$504,$J10)),"",INDEX('Product Backlog'!$I$5:$I$504,$J10)))</f>
        <v>75</v>
      </c>
      <c r="J10">
        <f>IFERROR(MATCH($B$4&amp;"-"&amp;ROWS($A$10:A10),'Product Backlog'!$J$5:$J$504,0),"")</f>
        <v>7</v>
      </c>
    </row>
    <row r="11" spans="1:10" ht="21" customHeight="1" x14ac:dyDescent="0.2">
      <c r="A11" s="64">
        <f>IF($J11="","",IF(ISBLANK(INDEX('Product Backlog'!$A$5:$A$504,$J11)),"",INDEX('Product Backlog'!$A$5:$A$504,$J11)))</f>
        <v>8</v>
      </c>
      <c r="B11" s="64">
        <f>IF($J11="","",IF(ISBLANK(INDEX('Product Backlog'!$B$5:$B$504,$J11)),"",INDEX('Product Backlog'!$B$5:$B$504,$J11)))</f>
        <v>3</v>
      </c>
      <c r="C11" s="46" t="str">
        <f>IF($J11="","",IF(ISBLANK(INDEX('Product Backlog'!$C$5:$C$504,$J11)),"",INDEX('Product Backlog'!$C$5:$C$504,$J11)))</f>
        <v>RSS Filtering</v>
      </c>
      <c r="D11" s="46" t="str">
        <f>IF($J11="","",IF(ISBLANK(INDEX('Product Backlog'!$D$5:$D$504,$J11)),"",INDEX('Product Backlog'!$D$5:$D$504,$J11)))</f>
        <v>Completed</v>
      </c>
      <c r="E11" s="46" t="str">
        <f>IF($J11="","",IF(ISBLANK(INDEX('Product Backlog'!$E$5:$E$504,$J11)),"",INDEX('Product Backlog'!$E$5:$E$504,$J11)))</f>
        <v>oogwaysprophecy732</v>
      </c>
      <c r="F11" s="47">
        <f>IF($J11="","",IF(ISBLANK(INDEX('Product Backlog'!$F$5:$F$504,$J11)),"",INDEX('Product Backlog'!$F$5:$F$504,$J11)))</f>
        <v>46302</v>
      </c>
      <c r="G11" s="47">
        <f>IF($J11="","",IF(ISBLANK(INDEX('Product Backlog'!$G$5:$G$504,$J11)),"",INDEX('Product Backlog'!$G$5:$G$504,$J11)))</f>
        <v>46309</v>
      </c>
      <c r="H11" s="48">
        <f>IF($J11="","",IF(ISBLANK(INDEX('Product Backlog'!$H$5:$H$504,$J11)),"",INDEX('Product Backlog'!$H$5:$H$504,$J11)))</f>
        <v>3</v>
      </c>
      <c r="I11" s="48">
        <f>IF($J11="","",IF(ISBLANK(INDEX('Product Backlog'!$I$5:$I$504,$J11)),"",INDEX('Product Backlog'!$I$5:$I$504,$J11)))</f>
        <v>50</v>
      </c>
      <c r="J11">
        <f>IFERROR(MATCH($B$4&amp;"-"&amp;ROWS($A$10:A11),'Product Backlog'!$J$5:$J$504,0),"")</f>
        <v>8</v>
      </c>
    </row>
    <row r="12" spans="1:10" ht="21" customHeight="1" x14ac:dyDescent="0.2">
      <c r="A12" s="64">
        <f>IF($J12="","",IF(ISBLANK(INDEX('Product Backlog'!$A$5:$A$504,$J12)),"",INDEX('Product Backlog'!$A$5:$A$504,$J12)))</f>
        <v>9</v>
      </c>
      <c r="B12" s="64">
        <f>IF($J12="","",IF(ISBLANK(INDEX('Product Backlog'!$B$5:$B$504,$J12)),"",INDEX('Product Backlog'!$B$5:$B$504,$J12)))</f>
        <v>3</v>
      </c>
      <c r="C12" s="46" t="str">
        <f>IF($J12="","",IF(ISBLANK(INDEX('Product Backlog'!$C$5:$C$504,$J12)),"",INDEX('Product Backlog'!$C$5:$C$504,$J12)))</f>
        <v xml:space="preserve">Updated UI </v>
      </c>
      <c r="D12" s="46" t="str">
        <f>IF($J12="","",IF(ISBLANK(INDEX('Product Backlog'!$D$5:$D$504,$J12)),"",INDEX('Product Backlog'!$D$5:$D$504,$J12)))</f>
        <v>Completed</v>
      </c>
      <c r="E12" s="46" t="str">
        <f>IF($J12="","",IF(ISBLANK(INDEX('Product Backlog'!$E$5:$E$504,$J12)),"",INDEX('Product Backlog'!$E$5:$E$504,$J12)))</f>
        <v>chropic</v>
      </c>
      <c r="F12" s="47">
        <f>IF($J12="","",IF(ISBLANK(INDEX('Product Backlog'!$F$5:$F$504,$J12)),"",INDEX('Product Backlog'!$F$5:$F$504,$J12)))</f>
        <v>46302</v>
      </c>
      <c r="G12" s="47">
        <f>IF($J12="","",IF(ISBLANK(INDEX('Product Backlog'!$G$5:$G$504,$J12)),"",INDEX('Product Backlog'!$G$5:$G$504,$J12)))</f>
        <v>46304</v>
      </c>
      <c r="H12" s="48">
        <f>IF($J12="","",IF(ISBLANK(INDEX('Product Backlog'!$H$5:$H$504,$J12)),"",INDEX('Product Backlog'!$H$5:$H$504,$J12)))</f>
        <v>1.5</v>
      </c>
      <c r="I12" s="48">
        <f>IF($J12="","",IF(ISBLANK(INDEX('Product Backlog'!$I$5:$I$504,$J12)),"",INDEX('Product Backlog'!$I$5:$I$504,$J12)))</f>
        <v>35</v>
      </c>
      <c r="J12">
        <f>IFERROR(MATCH($B$4&amp;"-"&amp;ROWS($A$10:A12),'Product Backlog'!$J$5:$J$504,0),"")</f>
        <v>9</v>
      </c>
    </row>
    <row r="13" spans="1:10" ht="21" customHeight="1" x14ac:dyDescent="0.2">
      <c r="A13" s="46" t="str">
        <f>IF($J13="","",IF(ISBLANK(INDEX('Product Backlog'!$A$5:$A$504,$J13)),"",INDEX('Product Backlog'!$A$5:$A$504,$J13)))</f>
        <v/>
      </c>
      <c r="B13" s="46" t="str">
        <f>IF($J13="","",IF(ISBLANK(INDEX('Product Backlog'!$B$5:$B$504,$J13)),"",INDEX('Product Backlog'!$B$5:$B$504,$J13)))</f>
        <v/>
      </c>
      <c r="C13" s="46" t="str">
        <f>IF($J13="","",IF(ISBLANK(INDEX('Product Backlog'!$C$5:$C$504,$J13)),"",INDEX('Product Backlog'!$C$5:$C$504,$J13)))</f>
        <v/>
      </c>
      <c r="D13" s="46" t="str">
        <f>IF($J13="","",IF(ISBLANK(INDEX('Product Backlog'!$D$5:$D$504,$J13)),"",INDEX('Product Backlog'!$D$5:$D$504,$J13)))</f>
        <v/>
      </c>
      <c r="E13" s="46" t="str">
        <f>IF($J13="","",IF(ISBLANK(INDEX('Product Backlog'!$E$5:$E$504,$J13)),"",INDEX('Product Backlog'!$E$5:$E$504,$J13)))</f>
        <v/>
      </c>
      <c r="F13" s="47" t="str">
        <f>IF($J13="","",IF(ISBLANK(INDEX('Product Backlog'!$F$5:$F$504,$J13)),"",INDEX('Product Backlog'!$F$5:$F$504,$J13)))</f>
        <v/>
      </c>
      <c r="G13" s="47" t="str">
        <f>IF($J13="","",IF(ISBLANK(INDEX('Product Backlog'!$G$5:$G$504,$J13)),"",INDEX('Product Backlog'!$G$5:$G$504,$J13)))</f>
        <v/>
      </c>
      <c r="H13" s="48" t="str">
        <f>IF($J13="","",IF(ISBLANK(INDEX('Product Backlog'!$H$5:$H$504,$J13)),"",INDEX('Product Backlog'!$H$5:$H$504,$J13)))</f>
        <v/>
      </c>
      <c r="I13" s="48" t="str">
        <f>IF($J13="","",IF(ISBLANK(INDEX('Product Backlog'!$I$5:$I$504,$J13)),"",INDEX('Product Backlog'!$I$5:$I$504,$J13)))</f>
        <v/>
      </c>
      <c r="J13" t="str">
        <f>IFERROR(MATCH($B$4&amp;"-"&amp;ROWS($A$10:A13),'Product Backlog'!$J$5:$J$504,0),"")</f>
        <v/>
      </c>
    </row>
    <row r="14" spans="1:10" ht="21" customHeight="1" x14ac:dyDescent="0.2">
      <c r="A14" s="46" t="str">
        <f>IF($J14="","",IF(ISBLANK(INDEX('Product Backlog'!$A$5:$A$504,$J14)),"",INDEX('Product Backlog'!$A$5:$A$504,$J14)))</f>
        <v/>
      </c>
      <c r="B14" s="46" t="str">
        <f>IF($J14="","",IF(ISBLANK(INDEX('Product Backlog'!$B$5:$B$504,$J14)),"",INDEX('Product Backlog'!$B$5:$B$504,$J14)))</f>
        <v/>
      </c>
      <c r="C14" s="46" t="str">
        <f>IF($J14="","",IF(ISBLANK(INDEX('Product Backlog'!$C$5:$C$504,$J14)),"",INDEX('Product Backlog'!$C$5:$C$504,$J14)))</f>
        <v/>
      </c>
      <c r="D14" s="46" t="str">
        <f>IF($J14="","",IF(ISBLANK(INDEX('Product Backlog'!$D$5:$D$504,$J14)),"",INDEX('Product Backlog'!$D$5:$D$504,$J14)))</f>
        <v/>
      </c>
      <c r="E14" s="46" t="str">
        <f>IF($J14="","",IF(ISBLANK(INDEX('Product Backlog'!$E$5:$E$504,$J14)),"",INDEX('Product Backlog'!$E$5:$E$504,$J14)))</f>
        <v/>
      </c>
      <c r="F14" s="47" t="str">
        <f>IF($J14="","",IF(ISBLANK(INDEX('Product Backlog'!$F$5:$F$504,$J14)),"",INDEX('Product Backlog'!$F$5:$F$504,$J14)))</f>
        <v/>
      </c>
      <c r="G14" s="47" t="str">
        <f>IF($J14="","",IF(ISBLANK(INDEX('Product Backlog'!$G$5:$G$504,$J14)),"",INDEX('Product Backlog'!$G$5:$G$504,$J14)))</f>
        <v/>
      </c>
      <c r="H14" s="48" t="str">
        <f>IF($J14="","",IF(ISBLANK(INDEX('Product Backlog'!$H$5:$H$504,$J14)),"",INDEX('Product Backlog'!$H$5:$H$504,$J14)))</f>
        <v/>
      </c>
      <c r="I14" s="48" t="str">
        <f>IF($J14="","",IF(ISBLANK(INDEX('Product Backlog'!$I$5:$I$504,$J14)),"",INDEX('Product Backlog'!$I$5:$I$504,$J14)))</f>
        <v/>
      </c>
      <c r="J14" t="str">
        <f>IFERROR(MATCH($B$4&amp;"-"&amp;ROWS($A$10:A14),'Product Backlog'!$J$5:$J$504,0),"")</f>
        <v/>
      </c>
    </row>
    <row r="15" spans="1:10" ht="21" customHeight="1" x14ac:dyDescent="0.2">
      <c r="A15" s="46" t="str">
        <f>IF($J15="","",IF(ISBLANK(INDEX('Product Backlog'!$A$5:$A$504,$J15)),"",INDEX('Product Backlog'!$A$5:$A$504,$J15)))</f>
        <v/>
      </c>
      <c r="B15" s="46" t="str">
        <f>IF($J15="","",IF(ISBLANK(INDEX('Product Backlog'!$B$5:$B$504,$J15)),"",INDEX('Product Backlog'!$B$5:$B$504,$J15)))</f>
        <v/>
      </c>
      <c r="C15" s="46" t="str">
        <f>IF($J15="","",IF(ISBLANK(INDEX('Product Backlog'!$C$5:$C$504,$J15)),"",INDEX('Product Backlog'!$C$5:$C$504,$J15)))</f>
        <v/>
      </c>
      <c r="D15" s="46" t="str">
        <f>IF($J15="","",IF(ISBLANK(INDEX('Product Backlog'!$D$5:$D$504,$J15)),"",INDEX('Product Backlog'!$D$5:$D$504,$J15)))</f>
        <v/>
      </c>
      <c r="E15" s="46" t="str">
        <f>IF($J15="","",IF(ISBLANK(INDEX('Product Backlog'!$E$5:$E$504,$J15)),"",INDEX('Product Backlog'!$E$5:$E$504,$J15)))</f>
        <v/>
      </c>
      <c r="F15" s="47" t="str">
        <f>IF($J15="","",IF(ISBLANK(INDEX('Product Backlog'!$F$5:$F$504,$J15)),"",INDEX('Product Backlog'!$F$5:$F$504,$J15)))</f>
        <v/>
      </c>
      <c r="G15" s="47" t="str">
        <f>IF($J15="","",IF(ISBLANK(INDEX('Product Backlog'!$G$5:$G$504,$J15)),"",INDEX('Product Backlog'!$G$5:$G$504,$J15)))</f>
        <v/>
      </c>
      <c r="H15" s="48" t="str">
        <f>IF($J15="","",IF(ISBLANK(INDEX('Product Backlog'!$H$5:$H$504,$J15)),"",INDEX('Product Backlog'!$H$5:$H$504,$J15)))</f>
        <v/>
      </c>
      <c r="I15" s="48" t="str">
        <f>IF($J15="","",IF(ISBLANK(INDEX('Product Backlog'!$I$5:$I$504,$J15)),"",INDEX('Product Backlog'!$I$5:$I$504,$J15)))</f>
        <v/>
      </c>
      <c r="J15" t="str">
        <f>IFERROR(MATCH($B$4&amp;"-"&amp;ROWS($A$10:A15),'Product Backlog'!$J$5:$J$504,0),"")</f>
        <v/>
      </c>
    </row>
    <row r="16" spans="1:10" ht="21" customHeight="1" x14ac:dyDescent="0.2">
      <c r="A16" s="46" t="str">
        <f>IF($J16="","",IF(ISBLANK(INDEX('Product Backlog'!$A$5:$A$504,$J16)),"",INDEX('Product Backlog'!$A$5:$A$504,$J16)))</f>
        <v/>
      </c>
      <c r="B16" s="46" t="str">
        <f>IF($J16="","",IF(ISBLANK(INDEX('Product Backlog'!$B$5:$B$504,$J16)),"",INDEX('Product Backlog'!$B$5:$B$504,$J16)))</f>
        <v/>
      </c>
      <c r="C16" s="46" t="str">
        <f>IF($J16="","",IF(ISBLANK(INDEX('Product Backlog'!$C$5:$C$504,$J16)),"",INDEX('Product Backlog'!$C$5:$C$504,$J16)))</f>
        <v/>
      </c>
      <c r="D16" s="46" t="str">
        <f>IF($J16="","",IF(ISBLANK(INDEX('Product Backlog'!$D$5:$D$504,$J16)),"",INDEX('Product Backlog'!$D$5:$D$504,$J16)))</f>
        <v/>
      </c>
      <c r="E16" s="46" t="str">
        <f>IF($J16="","",IF(ISBLANK(INDEX('Product Backlog'!$E$5:$E$504,$J16)),"",INDEX('Product Backlog'!$E$5:$E$504,$J16)))</f>
        <v/>
      </c>
      <c r="F16" s="47" t="str">
        <f>IF($J16="","",IF(ISBLANK(INDEX('Product Backlog'!$F$5:$F$504,$J16)),"",INDEX('Product Backlog'!$F$5:$F$504,$J16)))</f>
        <v/>
      </c>
      <c r="G16" s="47" t="str">
        <f>IF($J16="","",IF(ISBLANK(INDEX('Product Backlog'!$G$5:$G$504,$J16)),"",INDEX('Product Backlog'!$G$5:$G$504,$J16)))</f>
        <v/>
      </c>
      <c r="H16" s="48" t="str">
        <f>IF($J16="","",IF(ISBLANK(INDEX('Product Backlog'!$H$5:$H$504,$J16)),"",INDEX('Product Backlog'!$H$5:$H$504,$J16)))</f>
        <v/>
      </c>
      <c r="I16" s="48" t="str">
        <f>IF($J16="","",IF(ISBLANK(INDEX('Product Backlog'!$I$5:$I$504,$J16)),"",INDEX('Product Backlog'!$I$5:$I$504,$J16)))</f>
        <v/>
      </c>
      <c r="J16" t="str">
        <f>IFERROR(MATCH($B$4&amp;"-"&amp;ROWS($A$10:A16),'Product Backlog'!$J$5:$J$504,0),"")</f>
        <v/>
      </c>
    </row>
    <row r="17" spans="1:10" ht="21" customHeight="1" x14ac:dyDescent="0.2">
      <c r="A17" s="46" t="str">
        <f>IF($J17="","",IF(ISBLANK(INDEX('Product Backlog'!$A$5:$A$504,$J17)),"",INDEX('Product Backlog'!$A$5:$A$504,$J17)))</f>
        <v/>
      </c>
      <c r="B17" s="46" t="str">
        <f>IF($J17="","",IF(ISBLANK(INDEX('Product Backlog'!$B$5:$B$504,$J17)),"",INDEX('Product Backlog'!$B$5:$B$504,$J17)))</f>
        <v/>
      </c>
      <c r="C17" s="46" t="str">
        <f>IF($J17="","",IF(ISBLANK(INDEX('Product Backlog'!$C$5:$C$504,$J17)),"",INDEX('Product Backlog'!$C$5:$C$504,$J17)))</f>
        <v/>
      </c>
      <c r="D17" s="46" t="str">
        <f>IF($J17="","",IF(ISBLANK(INDEX('Product Backlog'!$D$5:$D$504,$J17)),"",INDEX('Product Backlog'!$D$5:$D$504,$J17)))</f>
        <v/>
      </c>
      <c r="E17" s="46" t="str">
        <f>IF($J17="","",IF(ISBLANK(INDEX('Product Backlog'!$E$5:$E$504,$J17)),"",INDEX('Product Backlog'!$E$5:$E$504,$J17)))</f>
        <v/>
      </c>
      <c r="F17" s="47" t="str">
        <f>IF($J17="","",IF(ISBLANK(INDEX('Product Backlog'!$F$5:$F$504,$J17)),"",INDEX('Product Backlog'!$F$5:$F$504,$J17)))</f>
        <v/>
      </c>
      <c r="G17" s="47" t="str">
        <f>IF($J17="","",IF(ISBLANK(INDEX('Product Backlog'!$G$5:$G$504,$J17)),"",INDEX('Product Backlog'!$G$5:$G$504,$J17)))</f>
        <v/>
      </c>
      <c r="H17" s="48" t="str">
        <f>IF($J17="","",IF(ISBLANK(INDEX('Product Backlog'!$H$5:$H$504,$J17)),"",INDEX('Product Backlog'!$H$5:$H$504,$J17)))</f>
        <v/>
      </c>
      <c r="I17" s="48" t="str">
        <f>IF($J17="","",IF(ISBLANK(INDEX('Product Backlog'!$I$5:$I$504,$J17)),"",INDEX('Product Backlog'!$I$5:$I$504,$J17)))</f>
        <v/>
      </c>
      <c r="J17" t="str">
        <f>IFERROR(MATCH($B$4&amp;"-"&amp;ROWS($A$10:A17),'Product Backlog'!$J$5:$J$504,0),"")</f>
        <v/>
      </c>
    </row>
    <row r="18" spans="1:10" ht="21" customHeight="1" x14ac:dyDescent="0.2">
      <c r="A18" s="46" t="str">
        <f>IF($J18="","",IF(ISBLANK(INDEX('Product Backlog'!$A$5:$A$504,$J18)),"",INDEX('Product Backlog'!$A$5:$A$504,$J18)))</f>
        <v/>
      </c>
      <c r="B18" s="46" t="str">
        <f>IF($J18="","",IF(ISBLANK(INDEX('Product Backlog'!$B$5:$B$504,$J18)),"",INDEX('Product Backlog'!$B$5:$B$504,$J18)))</f>
        <v/>
      </c>
      <c r="C18" s="46" t="str">
        <f>IF($J18="","",IF(ISBLANK(INDEX('Product Backlog'!$C$5:$C$504,$J18)),"",INDEX('Product Backlog'!$C$5:$C$504,$J18)))</f>
        <v/>
      </c>
      <c r="D18" s="46" t="str">
        <f>IF($J18="","",IF(ISBLANK(INDEX('Product Backlog'!$D$5:$D$504,$J18)),"",INDEX('Product Backlog'!$D$5:$D$504,$J18)))</f>
        <v/>
      </c>
      <c r="E18" s="46" t="str">
        <f>IF($J18="","",IF(ISBLANK(INDEX('Product Backlog'!$E$5:$E$504,$J18)),"",INDEX('Product Backlog'!$E$5:$E$504,$J18)))</f>
        <v/>
      </c>
      <c r="F18" s="47" t="str">
        <f>IF($J18="","",IF(ISBLANK(INDEX('Product Backlog'!$F$5:$F$504,$J18)),"",INDEX('Product Backlog'!$F$5:$F$504,$J18)))</f>
        <v/>
      </c>
      <c r="G18" s="47" t="str">
        <f>IF($J18="","",IF(ISBLANK(INDEX('Product Backlog'!$G$5:$G$504,$J18)),"",INDEX('Product Backlog'!$G$5:$G$504,$J18)))</f>
        <v/>
      </c>
      <c r="H18" s="48" t="str">
        <f>IF($J18="","",IF(ISBLANK(INDEX('Product Backlog'!$H$5:$H$504,$J18)),"",INDEX('Product Backlog'!$H$5:$H$504,$J18)))</f>
        <v/>
      </c>
      <c r="I18" s="48" t="str">
        <f>IF($J18="","",IF(ISBLANK(INDEX('Product Backlog'!$I$5:$I$504,$J18)),"",INDEX('Product Backlog'!$I$5:$I$504,$J18)))</f>
        <v/>
      </c>
      <c r="J18" t="str">
        <f>IFERROR(MATCH($B$4&amp;"-"&amp;ROWS($A$10:A18),'Product Backlog'!$J$5:$J$504,0),"")</f>
        <v/>
      </c>
    </row>
    <row r="19" spans="1:10" ht="21" customHeight="1" x14ac:dyDescent="0.2">
      <c r="A19" s="46" t="str">
        <f>IF($J19="","",IF(ISBLANK(INDEX('Product Backlog'!$A$5:$A$504,$J19)),"",INDEX('Product Backlog'!$A$5:$A$504,$J19)))</f>
        <v/>
      </c>
      <c r="B19" s="46" t="str">
        <f>IF($J19="","",IF(ISBLANK(INDEX('Product Backlog'!$B$5:$B$504,$J19)),"",INDEX('Product Backlog'!$B$5:$B$504,$J19)))</f>
        <v/>
      </c>
      <c r="C19" s="46" t="str">
        <f>IF($J19="","",IF(ISBLANK(INDEX('Product Backlog'!$C$5:$C$504,$J19)),"",INDEX('Product Backlog'!$C$5:$C$504,$J19)))</f>
        <v/>
      </c>
      <c r="D19" s="46" t="str">
        <f>IF($J19="","",IF(ISBLANK(INDEX('Product Backlog'!$D$5:$D$504,$J19)),"",INDEX('Product Backlog'!$D$5:$D$504,$J19)))</f>
        <v/>
      </c>
      <c r="E19" s="46" t="str">
        <f>IF($J19="","",IF(ISBLANK(INDEX('Product Backlog'!$E$5:$E$504,$J19)),"",INDEX('Product Backlog'!$E$5:$E$504,$J19)))</f>
        <v/>
      </c>
      <c r="F19" s="47" t="str">
        <f>IF($J19="","",IF(ISBLANK(INDEX('Product Backlog'!$F$5:$F$504,$J19)),"",INDEX('Product Backlog'!$F$5:$F$504,$J19)))</f>
        <v/>
      </c>
      <c r="G19" s="47" t="str">
        <f>IF($J19="","",IF(ISBLANK(INDEX('Product Backlog'!$G$5:$G$504,$J19)),"",INDEX('Product Backlog'!$G$5:$G$504,$J19)))</f>
        <v/>
      </c>
      <c r="H19" s="48" t="str">
        <f>IF($J19="","",IF(ISBLANK(INDEX('Product Backlog'!$H$5:$H$504,$J19)),"",INDEX('Product Backlog'!$H$5:$H$504,$J19)))</f>
        <v/>
      </c>
      <c r="I19" s="48" t="str">
        <f>IF($J19="","",IF(ISBLANK(INDEX('Product Backlog'!$I$5:$I$504,$J19)),"",INDEX('Product Backlog'!$I$5:$I$504,$J19)))</f>
        <v/>
      </c>
      <c r="J19" t="str">
        <f>IFERROR(MATCH($B$4&amp;"-"&amp;ROWS($A$10:A19),'Product Backlog'!$J$5:$J$504,0),"")</f>
        <v/>
      </c>
    </row>
    <row r="20" spans="1:10" ht="21" customHeight="1" x14ac:dyDescent="0.2">
      <c r="A20" s="46" t="str">
        <f>IF($J20="","",IF(ISBLANK(INDEX('Product Backlog'!$A$5:$A$504,$J20)),"",INDEX('Product Backlog'!$A$5:$A$504,$J20)))</f>
        <v/>
      </c>
      <c r="B20" s="46" t="str">
        <f>IF($J20="","",IF(ISBLANK(INDEX('Product Backlog'!$B$5:$B$504,$J20)),"",INDEX('Product Backlog'!$B$5:$B$504,$J20)))</f>
        <v/>
      </c>
      <c r="C20" s="46" t="str">
        <f>IF($J20="","",IF(ISBLANK(INDEX('Product Backlog'!$C$5:$C$504,$J20)),"",INDEX('Product Backlog'!$C$5:$C$504,$J20)))</f>
        <v/>
      </c>
      <c r="D20" s="46" t="str">
        <f>IF($J20="","",IF(ISBLANK(INDEX('Product Backlog'!$D$5:$D$504,$J20)),"",INDEX('Product Backlog'!$D$5:$D$504,$J20)))</f>
        <v/>
      </c>
      <c r="E20" s="46" t="str">
        <f>IF($J20="","",IF(ISBLANK(INDEX('Product Backlog'!$E$5:$E$504,$J20)),"",INDEX('Product Backlog'!$E$5:$E$504,$J20)))</f>
        <v/>
      </c>
      <c r="F20" s="47" t="str">
        <f>IF($J20="","",IF(ISBLANK(INDEX('Product Backlog'!$F$5:$F$504,$J20)),"",INDEX('Product Backlog'!$F$5:$F$504,$J20)))</f>
        <v/>
      </c>
      <c r="G20" s="47" t="str">
        <f>IF($J20="","",IF(ISBLANK(INDEX('Product Backlog'!$G$5:$G$504,$J20)),"",INDEX('Product Backlog'!$G$5:$G$504,$J20)))</f>
        <v/>
      </c>
      <c r="H20" s="48" t="str">
        <f>IF($J20="","",IF(ISBLANK(INDEX('Product Backlog'!$H$5:$H$504,$J20)),"",INDEX('Product Backlog'!$H$5:$H$504,$J20)))</f>
        <v/>
      </c>
      <c r="I20" s="48" t="str">
        <f>IF($J20="","",IF(ISBLANK(INDEX('Product Backlog'!$I$5:$I$504,$J20)),"",INDEX('Product Backlog'!$I$5:$I$504,$J20)))</f>
        <v/>
      </c>
      <c r="J20" t="str">
        <f>IFERROR(MATCH($B$4&amp;"-"&amp;ROWS($A$10:A20),'Product Backlog'!$J$5:$J$504,0),"")</f>
        <v/>
      </c>
    </row>
    <row r="21" spans="1:10" ht="21" customHeight="1" x14ac:dyDescent="0.2">
      <c r="A21" s="46" t="str">
        <f>IF($J21="","",IF(ISBLANK(INDEX('Product Backlog'!$A$5:$A$504,$J21)),"",INDEX('Product Backlog'!$A$5:$A$504,$J21)))</f>
        <v/>
      </c>
      <c r="B21" s="46" t="str">
        <f>IF($J21="","",IF(ISBLANK(INDEX('Product Backlog'!$B$5:$B$504,$J21)),"",INDEX('Product Backlog'!$B$5:$B$504,$J21)))</f>
        <v/>
      </c>
      <c r="C21" s="46" t="str">
        <f>IF($J21="","",IF(ISBLANK(INDEX('Product Backlog'!$C$5:$C$504,$J21)),"",INDEX('Product Backlog'!$C$5:$C$504,$J21)))</f>
        <v/>
      </c>
      <c r="D21" s="46" t="str">
        <f>IF($J21="","",IF(ISBLANK(INDEX('Product Backlog'!$D$5:$D$504,$J21)),"",INDEX('Product Backlog'!$D$5:$D$504,$J21)))</f>
        <v/>
      </c>
      <c r="E21" s="46" t="str">
        <f>IF($J21="","",IF(ISBLANK(INDEX('Product Backlog'!$E$5:$E$504,$J21)),"",INDEX('Product Backlog'!$E$5:$E$504,$J21)))</f>
        <v/>
      </c>
      <c r="F21" s="47" t="str">
        <f>IF($J21="","",IF(ISBLANK(INDEX('Product Backlog'!$F$5:$F$504,$J21)),"",INDEX('Product Backlog'!$F$5:$F$504,$J21)))</f>
        <v/>
      </c>
      <c r="G21" s="47" t="str">
        <f>IF($J21="","",IF(ISBLANK(INDEX('Product Backlog'!$G$5:$G$504,$J21)),"",INDEX('Product Backlog'!$G$5:$G$504,$J21)))</f>
        <v/>
      </c>
      <c r="H21" s="48" t="str">
        <f>IF($J21="","",IF(ISBLANK(INDEX('Product Backlog'!$H$5:$H$504,$J21)),"",INDEX('Product Backlog'!$H$5:$H$504,$J21)))</f>
        <v/>
      </c>
      <c r="I21" s="48" t="str">
        <f>IF($J21="","",IF(ISBLANK(INDEX('Product Backlog'!$I$5:$I$504,$J21)),"",INDEX('Product Backlog'!$I$5:$I$504,$J21)))</f>
        <v/>
      </c>
      <c r="J21" t="str">
        <f>IFERROR(MATCH($B$4&amp;"-"&amp;ROWS($A$10:A21),'Product Backlog'!$J$5:$J$504,0),"")</f>
        <v/>
      </c>
    </row>
    <row r="22" spans="1:10" ht="21" customHeight="1" x14ac:dyDescent="0.2">
      <c r="A22" s="46" t="str">
        <f>IF($J22="","",IF(ISBLANK(INDEX('Product Backlog'!$A$5:$A$504,$J22)),"",INDEX('Product Backlog'!$A$5:$A$504,$J22)))</f>
        <v/>
      </c>
      <c r="B22" s="46" t="str">
        <f>IF($J22="","",IF(ISBLANK(INDEX('Product Backlog'!$B$5:$B$504,$J22)),"",INDEX('Product Backlog'!$B$5:$B$504,$J22)))</f>
        <v/>
      </c>
      <c r="C22" s="46" t="str">
        <f>IF($J22="","",IF(ISBLANK(INDEX('Product Backlog'!$C$5:$C$504,$J22)),"",INDEX('Product Backlog'!$C$5:$C$504,$J22)))</f>
        <v/>
      </c>
      <c r="D22" s="46" t="str">
        <f>IF($J22="","",IF(ISBLANK(INDEX('Product Backlog'!$D$5:$D$504,$J22)),"",INDEX('Product Backlog'!$D$5:$D$504,$J22)))</f>
        <v/>
      </c>
      <c r="E22" s="46" t="str">
        <f>IF($J22="","",IF(ISBLANK(INDEX('Product Backlog'!$E$5:$E$504,$J22)),"",INDEX('Product Backlog'!$E$5:$E$504,$J22)))</f>
        <v/>
      </c>
      <c r="F22" s="47" t="str">
        <f>IF($J22="","",IF(ISBLANK(INDEX('Product Backlog'!$F$5:$F$504,$J22)),"",INDEX('Product Backlog'!$F$5:$F$504,$J22)))</f>
        <v/>
      </c>
      <c r="G22" s="47" t="str">
        <f>IF($J22="","",IF(ISBLANK(INDEX('Product Backlog'!$G$5:$G$504,$J22)),"",INDEX('Product Backlog'!$G$5:$G$504,$J22)))</f>
        <v/>
      </c>
      <c r="H22" s="48" t="str">
        <f>IF($J22="","",IF(ISBLANK(INDEX('Product Backlog'!$H$5:$H$504,$J22)),"",INDEX('Product Backlog'!$H$5:$H$504,$J22)))</f>
        <v/>
      </c>
      <c r="I22" s="48" t="str">
        <f>IF($J22="","",IF(ISBLANK(INDEX('Product Backlog'!$I$5:$I$504,$J22)),"",INDEX('Product Backlog'!$I$5:$I$504,$J22)))</f>
        <v/>
      </c>
      <c r="J22" t="str">
        <f>IFERROR(MATCH($B$4&amp;"-"&amp;ROWS($A$10:A22),'Product Backlog'!$J$5:$J$504,0),"")</f>
        <v/>
      </c>
    </row>
    <row r="23" spans="1:10" ht="21" customHeight="1" x14ac:dyDescent="0.2">
      <c r="A23" s="46" t="str">
        <f>IF($J23="","",IF(ISBLANK(INDEX('Product Backlog'!$A$5:$A$504,$J23)),"",INDEX('Product Backlog'!$A$5:$A$504,$J23)))</f>
        <v/>
      </c>
      <c r="B23" s="46" t="str">
        <f>IF($J23="","",IF(ISBLANK(INDEX('Product Backlog'!$B$5:$B$504,$J23)),"",INDEX('Product Backlog'!$B$5:$B$504,$J23)))</f>
        <v/>
      </c>
      <c r="C23" s="46" t="str">
        <f>IF($J23="","",IF(ISBLANK(INDEX('Product Backlog'!$C$5:$C$504,$J23)),"",INDEX('Product Backlog'!$C$5:$C$504,$J23)))</f>
        <v/>
      </c>
      <c r="D23" s="46" t="str">
        <f>IF($J23="","",IF(ISBLANK(INDEX('Product Backlog'!$D$5:$D$504,$J23)),"",INDEX('Product Backlog'!$D$5:$D$504,$J23)))</f>
        <v/>
      </c>
      <c r="E23" s="46" t="str">
        <f>IF($J23="","",IF(ISBLANK(INDEX('Product Backlog'!$E$5:$E$504,$J23)),"",INDEX('Product Backlog'!$E$5:$E$504,$J23)))</f>
        <v/>
      </c>
      <c r="F23" s="47" t="str">
        <f>IF($J23="","",IF(ISBLANK(INDEX('Product Backlog'!$F$5:$F$504,$J23)),"",INDEX('Product Backlog'!$F$5:$F$504,$J23)))</f>
        <v/>
      </c>
      <c r="G23" s="47" t="str">
        <f>IF($J23="","",IF(ISBLANK(INDEX('Product Backlog'!$G$5:$G$504,$J23)),"",INDEX('Product Backlog'!$G$5:$G$504,$J23)))</f>
        <v/>
      </c>
      <c r="H23" s="48" t="str">
        <f>IF($J23="","",IF(ISBLANK(INDEX('Product Backlog'!$H$5:$H$504,$J23)),"",INDEX('Product Backlog'!$H$5:$H$504,$J23)))</f>
        <v/>
      </c>
      <c r="I23" s="48" t="str">
        <f>IF($J23="","",IF(ISBLANK(INDEX('Product Backlog'!$I$5:$I$504,$J23)),"",INDEX('Product Backlog'!$I$5:$I$504,$J23)))</f>
        <v/>
      </c>
      <c r="J23" t="str">
        <f>IFERROR(MATCH($B$4&amp;"-"&amp;ROWS($A$10:A23),'Product Backlog'!$J$5:$J$504,0),"")</f>
        <v/>
      </c>
    </row>
    <row r="24" spans="1:10" ht="21" customHeight="1" x14ac:dyDescent="0.2">
      <c r="A24" s="46" t="str">
        <f>IF($J24="","",IF(ISBLANK(INDEX('Product Backlog'!$A$5:$A$504,$J24)),"",INDEX('Product Backlog'!$A$5:$A$504,$J24)))</f>
        <v/>
      </c>
      <c r="B24" s="46" t="str">
        <f>IF($J24="","",IF(ISBLANK(INDEX('Product Backlog'!$B$5:$B$504,$J24)),"",INDEX('Product Backlog'!$B$5:$B$504,$J24)))</f>
        <v/>
      </c>
      <c r="C24" s="46" t="str">
        <f>IF($J24="","",IF(ISBLANK(INDEX('Product Backlog'!$C$5:$C$504,$J24)),"",INDEX('Product Backlog'!$C$5:$C$504,$J24)))</f>
        <v/>
      </c>
      <c r="D24" s="46" t="str">
        <f>IF($J24="","",IF(ISBLANK(INDEX('Product Backlog'!$D$5:$D$504,$J24)),"",INDEX('Product Backlog'!$D$5:$D$504,$J24)))</f>
        <v/>
      </c>
      <c r="E24" s="46" t="str">
        <f>IF($J24="","",IF(ISBLANK(INDEX('Product Backlog'!$E$5:$E$504,$J24)),"",INDEX('Product Backlog'!$E$5:$E$504,$J24)))</f>
        <v/>
      </c>
      <c r="F24" s="47" t="str">
        <f>IF($J24="","",IF(ISBLANK(INDEX('Product Backlog'!$F$5:$F$504,$J24)),"",INDEX('Product Backlog'!$F$5:$F$504,$J24)))</f>
        <v/>
      </c>
      <c r="G24" s="47" t="str">
        <f>IF($J24="","",IF(ISBLANK(INDEX('Product Backlog'!$G$5:$G$504,$J24)),"",INDEX('Product Backlog'!$G$5:$G$504,$J24)))</f>
        <v/>
      </c>
      <c r="H24" s="48" t="str">
        <f>IF($J24="","",IF(ISBLANK(INDEX('Product Backlog'!$H$5:$H$504,$J24)),"",INDEX('Product Backlog'!$H$5:$H$504,$J24)))</f>
        <v/>
      </c>
      <c r="I24" s="48" t="str">
        <f>IF($J24="","",IF(ISBLANK(INDEX('Product Backlog'!$I$5:$I$504,$J24)),"",INDEX('Product Backlog'!$I$5:$I$504,$J24)))</f>
        <v/>
      </c>
      <c r="J24" t="str">
        <f>IFERROR(MATCH($B$4&amp;"-"&amp;ROWS($A$10:A24),'Product Backlog'!$J$5:$J$504,0),"")</f>
        <v/>
      </c>
    </row>
    <row r="25" spans="1:10" ht="21" customHeight="1" x14ac:dyDescent="0.2">
      <c r="A25" s="46" t="str">
        <f>IF($J25="","",IF(ISBLANK(INDEX('Product Backlog'!$A$5:$A$504,$J25)),"",INDEX('Product Backlog'!$A$5:$A$504,$J25)))</f>
        <v/>
      </c>
      <c r="B25" s="46" t="str">
        <f>IF($J25="","",IF(ISBLANK(INDEX('Product Backlog'!$B$5:$B$504,$J25)),"",INDEX('Product Backlog'!$B$5:$B$504,$J25)))</f>
        <v/>
      </c>
      <c r="C25" s="46" t="str">
        <f>IF($J25="","",IF(ISBLANK(INDEX('Product Backlog'!$C$5:$C$504,$J25)),"",INDEX('Product Backlog'!$C$5:$C$504,$J25)))</f>
        <v/>
      </c>
      <c r="D25" s="46" t="str">
        <f>IF($J25="","",IF(ISBLANK(INDEX('Product Backlog'!$D$5:$D$504,$J25)),"",INDEX('Product Backlog'!$D$5:$D$504,$J25)))</f>
        <v/>
      </c>
      <c r="E25" s="46" t="str">
        <f>IF($J25="","",IF(ISBLANK(INDEX('Product Backlog'!$E$5:$E$504,$J25)),"",INDEX('Product Backlog'!$E$5:$E$504,$J25)))</f>
        <v/>
      </c>
      <c r="F25" s="47" t="str">
        <f>IF($J25="","",IF(ISBLANK(INDEX('Product Backlog'!$F$5:$F$504,$J25)),"",INDEX('Product Backlog'!$F$5:$F$504,$J25)))</f>
        <v/>
      </c>
      <c r="G25" s="47" t="str">
        <f>IF($J25="","",IF(ISBLANK(INDEX('Product Backlog'!$G$5:$G$504,$J25)),"",INDEX('Product Backlog'!$G$5:$G$504,$J25)))</f>
        <v/>
      </c>
      <c r="H25" s="48" t="str">
        <f>IF($J25="","",IF(ISBLANK(INDEX('Product Backlog'!$H$5:$H$504,$J25)),"",INDEX('Product Backlog'!$H$5:$H$504,$J25)))</f>
        <v/>
      </c>
      <c r="I25" s="48" t="str">
        <f>IF($J25="","",IF(ISBLANK(INDEX('Product Backlog'!$I$5:$I$504,$J25)),"",INDEX('Product Backlog'!$I$5:$I$504,$J25)))</f>
        <v/>
      </c>
      <c r="J25" t="str">
        <f>IFERROR(MATCH($B$4&amp;"-"&amp;ROWS($A$10:A25),'Product Backlog'!$J$5:$J$504,0),"")</f>
        <v/>
      </c>
    </row>
    <row r="26" spans="1:10" ht="21" customHeight="1" x14ac:dyDescent="0.2">
      <c r="A26" s="46" t="str">
        <f>IF($J26="","",IF(ISBLANK(INDEX('Product Backlog'!$A$5:$A$504,$J26)),"",INDEX('Product Backlog'!$A$5:$A$504,$J26)))</f>
        <v/>
      </c>
      <c r="B26" s="46" t="str">
        <f>IF($J26="","",IF(ISBLANK(INDEX('Product Backlog'!$B$5:$B$504,$J26)),"",INDEX('Product Backlog'!$B$5:$B$504,$J26)))</f>
        <v/>
      </c>
      <c r="C26" s="46" t="str">
        <f>IF($J26="","",IF(ISBLANK(INDEX('Product Backlog'!$C$5:$C$504,$J26)),"",INDEX('Product Backlog'!$C$5:$C$504,$J26)))</f>
        <v/>
      </c>
      <c r="D26" s="46" t="str">
        <f>IF($J26="","",IF(ISBLANK(INDEX('Product Backlog'!$D$5:$D$504,$J26)),"",INDEX('Product Backlog'!$D$5:$D$504,$J26)))</f>
        <v/>
      </c>
      <c r="E26" s="46" t="str">
        <f>IF($J26="","",IF(ISBLANK(INDEX('Product Backlog'!$E$5:$E$504,$J26)),"",INDEX('Product Backlog'!$E$5:$E$504,$J26)))</f>
        <v/>
      </c>
      <c r="F26" s="47" t="str">
        <f>IF($J26="","",IF(ISBLANK(INDEX('Product Backlog'!$F$5:$F$504,$J26)),"",INDEX('Product Backlog'!$F$5:$F$504,$J26)))</f>
        <v/>
      </c>
      <c r="G26" s="47" t="str">
        <f>IF($J26="","",IF(ISBLANK(INDEX('Product Backlog'!$G$5:$G$504,$J26)),"",INDEX('Product Backlog'!$G$5:$G$504,$J26)))</f>
        <v/>
      </c>
      <c r="H26" s="48" t="str">
        <f>IF($J26="","",IF(ISBLANK(INDEX('Product Backlog'!$H$5:$H$504,$J26)),"",INDEX('Product Backlog'!$H$5:$H$504,$J26)))</f>
        <v/>
      </c>
      <c r="I26" s="48" t="str">
        <f>IF($J26="","",IF(ISBLANK(INDEX('Product Backlog'!$I$5:$I$504,$J26)),"",INDEX('Product Backlog'!$I$5:$I$504,$J26)))</f>
        <v/>
      </c>
      <c r="J26" t="str">
        <f>IFERROR(MATCH($B$4&amp;"-"&amp;ROWS($A$10:A26),'Product Backlog'!$J$5:$J$504,0),"")</f>
        <v/>
      </c>
    </row>
    <row r="27" spans="1:10" ht="21" customHeight="1" x14ac:dyDescent="0.2">
      <c r="A27" s="46" t="str">
        <f>IF($J27="","",IF(ISBLANK(INDEX('Product Backlog'!$A$5:$A$504,$J27)),"",INDEX('Product Backlog'!$A$5:$A$504,$J27)))</f>
        <v/>
      </c>
      <c r="B27" s="46" t="str">
        <f>IF($J27="","",IF(ISBLANK(INDEX('Product Backlog'!$B$5:$B$504,$J27)),"",INDEX('Product Backlog'!$B$5:$B$504,$J27)))</f>
        <v/>
      </c>
      <c r="C27" s="46" t="str">
        <f>IF($J27="","",IF(ISBLANK(INDEX('Product Backlog'!$C$5:$C$504,$J27)),"",INDEX('Product Backlog'!$C$5:$C$504,$J27)))</f>
        <v/>
      </c>
      <c r="D27" s="46" t="str">
        <f>IF($J27="","",IF(ISBLANK(INDEX('Product Backlog'!$D$5:$D$504,$J27)),"",INDEX('Product Backlog'!$D$5:$D$504,$J27)))</f>
        <v/>
      </c>
      <c r="E27" s="46" t="str">
        <f>IF($J27="","",IF(ISBLANK(INDEX('Product Backlog'!$E$5:$E$504,$J27)),"",INDEX('Product Backlog'!$E$5:$E$504,$J27)))</f>
        <v/>
      </c>
      <c r="F27" s="47" t="str">
        <f>IF($J27="","",IF(ISBLANK(INDEX('Product Backlog'!$F$5:$F$504,$J27)),"",INDEX('Product Backlog'!$F$5:$F$504,$J27)))</f>
        <v/>
      </c>
      <c r="G27" s="47" t="str">
        <f>IF($J27="","",IF(ISBLANK(INDEX('Product Backlog'!$G$5:$G$504,$J27)),"",INDEX('Product Backlog'!$G$5:$G$504,$J27)))</f>
        <v/>
      </c>
      <c r="H27" s="48" t="str">
        <f>IF($J27="","",IF(ISBLANK(INDEX('Product Backlog'!$H$5:$H$504,$J27)),"",INDEX('Product Backlog'!$H$5:$H$504,$J27)))</f>
        <v/>
      </c>
      <c r="I27" s="48" t="str">
        <f>IF($J27="","",IF(ISBLANK(INDEX('Product Backlog'!$I$5:$I$504,$J27)),"",INDEX('Product Backlog'!$I$5:$I$504,$J27)))</f>
        <v/>
      </c>
      <c r="J27" t="str">
        <f>IFERROR(MATCH($B$4&amp;"-"&amp;ROWS($A$10:A27),'Product Backlog'!$J$5:$J$504,0),"")</f>
        <v/>
      </c>
    </row>
    <row r="28" spans="1:10" ht="21" customHeight="1" x14ac:dyDescent="0.2">
      <c r="A28" s="46" t="str">
        <f>IF($J28="","",IF(ISBLANK(INDEX('Product Backlog'!$A$5:$A$504,$J28)),"",INDEX('Product Backlog'!$A$5:$A$504,$J28)))</f>
        <v/>
      </c>
      <c r="B28" s="46" t="str">
        <f>IF($J28="","",IF(ISBLANK(INDEX('Product Backlog'!$B$5:$B$504,$J28)),"",INDEX('Product Backlog'!$B$5:$B$504,$J28)))</f>
        <v/>
      </c>
      <c r="C28" s="46" t="str">
        <f>IF($J28="","",IF(ISBLANK(INDEX('Product Backlog'!$C$5:$C$504,$J28)),"",INDEX('Product Backlog'!$C$5:$C$504,$J28)))</f>
        <v/>
      </c>
      <c r="D28" s="46" t="str">
        <f>IF($J28="","",IF(ISBLANK(INDEX('Product Backlog'!$D$5:$D$504,$J28)),"",INDEX('Product Backlog'!$D$5:$D$504,$J28)))</f>
        <v/>
      </c>
      <c r="E28" s="46" t="str">
        <f>IF($J28="","",IF(ISBLANK(INDEX('Product Backlog'!$E$5:$E$504,$J28)),"",INDEX('Product Backlog'!$E$5:$E$504,$J28)))</f>
        <v/>
      </c>
      <c r="F28" s="47" t="str">
        <f>IF($J28="","",IF(ISBLANK(INDEX('Product Backlog'!$F$5:$F$504,$J28)),"",INDEX('Product Backlog'!$F$5:$F$504,$J28)))</f>
        <v/>
      </c>
      <c r="G28" s="47" t="str">
        <f>IF($J28="","",IF(ISBLANK(INDEX('Product Backlog'!$G$5:$G$504,$J28)),"",INDEX('Product Backlog'!$G$5:$G$504,$J28)))</f>
        <v/>
      </c>
      <c r="H28" s="48" t="str">
        <f>IF($J28="","",IF(ISBLANK(INDEX('Product Backlog'!$H$5:$H$504,$J28)),"",INDEX('Product Backlog'!$H$5:$H$504,$J28)))</f>
        <v/>
      </c>
      <c r="I28" s="48" t="str">
        <f>IF($J28="","",IF(ISBLANK(INDEX('Product Backlog'!$I$5:$I$504,$J28)),"",INDEX('Product Backlog'!$I$5:$I$504,$J28)))</f>
        <v/>
      </c>
      <c r="J28" t="str">
        <f>IFERROR(MATCH($B$4&amp;"-"&amp;ROWS($A$10:A28),'Product Backlog'!$J$5:$J$504,0),"")</f>
        <v/>
      </c>
    </row>
    <row r="29" spans="1:10" ht="21" customHeight="1" x14ac:dyDescent="0.2">
      <c r="A29" s="46" t="str">
        <f>IF($J29="","",IF(ISBLANK(INDEX('Product Backlog'!$A$5:$A$504,$J29)),"",INDEX('Product Backlog'!$A$5:$A$504,$J29)))</f>
        <v/>
      </c>
      <c r="B29" s="46" t="str">
        <f>IF($J29="","",IF(ISBLANK(INDEX('Product Backlog'!$B$5:$B$504,$J29)),"",INDEX('Product Backlog'!$B$5:$B$504,$J29)))</f>
        <v/>
      </c>
      <c r="C29" s="46" t="str">
        <f>IF($J29="","",IF(ISBLANK(INDEX('Product Backlog'!$C$5:$C$504,$J29)),"",INDEX('Product Backlog'!$C$5:$C$504,$J29)))</f>
        <v/>
      </c>
      <c r="D29" s="46" t="str">
        <f>IF($J29="","",IF(ISBLANK(INDEX('Product Backlog'!$D$5:$D$504,$J29)),"",INDEX('Product Backlog'!$D$5:$D$504,$J29)))</f>
        <v/>
      </c>
      <c r="E29" s="46" t="str">
        <f>IF($J29="","",IF(ISBLANK(INDEX('Product Backlog'!$E$5:$E$504,$J29)),"",INDEX('Product Backlog'!$E$5:$E$504,$J29)))</f>
        <v/>
      </c>
      <c r="F29" s="47" t="str">
        <f>IF($J29="","",IF(ISBLANK(INDEX('Product Backlog'!$F$5:$F$504,$J29)),"",INDEX('Product Backlog'!$F$5:$F$504,$J29)))</f>
        <v/>
      </c>
      <c r="G29" s="47" t="str">
        <f>IF($J29="","",IF(ISBLANK(INDEX('Product Backlog'!$G$5:$G$504,$J29)),"",INDEX('Product Backlog'!$G$5:$G$504,$J29)))</f>
        <v/>
      </c>
      <c r="H29" s="48" t="str">
        <f>IF($J29="","",IF(ISBLANK(INDEX('Product Backlog'!$H$5:$H$504,$J29)),"",INDEX('Product Backlog'!$H$5:$H$504,$J29)))</f>
        <v/>
      </c>
      <c r="I29" s="48" t="str">
        <f>IF($J29="","",IF(ISBLANK(INDEX('Product Backlog'!$I$5:$I$504,$J29)),"",INDEX('Product Backlog'!$I$5:$I$504,$J29)))</f>
        <v/>
      </c>
      <c r="J29" t="str">
        <f>IFERROR(MATCH($B$4&amp;"-"&amp;ROWS($A$10:A29),'Product Backlog'!$J$5:$J$504,0),"")</f>
        <v/>
      </c>
    </row>
    <row r="30" spans="1:10" ht="21" customHeight="1" x14ac:dyDescent="0.2">
      <c r="A30" s="46" t="str">
        <f>IF($J30="","",IF(ISBLANK(INDEX('Product Backlog'!$A$5:$A$504,$J30)),"",INDEX('Product Backlog'!$A$5:$A$504,$J30)))</f>
        <v/>
      </c>
      <c r="B30" s="46" t="str">
        <f>IF($J30="","",IF(ISBLANK(INDEX('Product Backlog'!$B$5:$B$504,$J30)),"",INDEX('Product Backlog'!$B$5:$B$504,$J30)))</f>
        <v/>
      </c>
      <c r="C30" s="46" t="str">
        <f>IF($J30="","",IF(ISBLANK(INDEX('Product Backlog'!$C$5:$C$504,$J30)),"",INDEX('Product Backlog'!$C$5:$C$504,$J30)))</f>
        <v/>
      </c>
      <c r="D30" s="46" t="str">
        <f>IF($J30="","",IF(ISBLANK(INDEX('Product Backlog'!$D$5:$D$504,$J30)),"",INDEX('Product Backlog'!$D$5:$D$504,$J30)))</f>
        <v/>
      </c>
      <c r="E30" s="46" t="str">
        <f>IF($J30="","",IF(ISBLANK(INDEX('Product Backlog'!$E$5:$E$504,$J30)),"",INDEX('Product Backlog'!$E$5:$E$504,$J30)))</f>
        <v/>
      </c>
      <c r="F30" s="47" t="str">
        <f>IF($J30="","",IF(ISBLANK(INDEX('Product Backlog'!$F$5:$F$504,$J30)),"",INDEX('Product Backlog'!$F$5:$F$504,$J30)))</f>
        <v/>
      </c>
      <c r="G30" s="47" t="str">
        <f>IF($J30="","",IF(ISBLANK(INDEX('Product Backlog'!$G$5:$G$504,$J30)),"",INDEX('Product Backlog'!$G$5:$G$504,$J30)))</f>
        <v/>
      </c>
      <c r="H30" s="48" t="str">
        <f>IF($J30="","",IF(ISBLANK(INDEX('Product Backlog'!$H$5:$H$504,$J30)),"",INDEX('Product Backlog'!$H$5:$H$504,$J30)))</f>
        <v/>
      </c>
      <c r="I30" s="48" t="str">
        <f>IF($J30="","",IF(ISBLANK(INDEX('Product Backlog'!$I$5:$I$504,$J30)),"",INDEX('Product Backlog'!$I$5:$I$504,$J30)))</f>
        <v/>
      </c>
      <c r="J30" t="str">
        <f>IFERROR(MATCH($B$4&amp;"-"&amp;ROWS($A$10:A30),'Product Backlog'!$J$5:$J$504,0),"")</f>
        <v/>
      </c>
    </row>
    <row r="31" spans="1:10" ht="21" customHeight="1" x14ac:dyDescent="0.2">
      <c r="A31" s="46" t="str">
        <f>IF($J31="","",IF(ISBLANK(INDEX('Product Backlog'!$A$5:$A$504,$J31)),"",INDEX('Product Backlog'!$A$5:$A$504,$J31)))</f>
        <v/>
      </c>
      <c r="B31" s="46" t="str">
        <f>IF($J31="","",IF(ISBLANK(INDEX('Product Backlog'!$B$5:$B$504,$J31)),"",INDEX('Product Backlog'!$B$5:$B$504,$J31)))</f>
        <v/>
      </c>
      <c r="C31" s="46" t="str">
        <f>IF($J31="","",IF(ISBLANK(INDEX('Product Backlog'!$C$5:$C$504,$J31)),"",INDEX('Product Backlog'!$C$5:$C$504,$J31)))</f>
        <v/>
      </c>
      <c r="D31" s="46" t="str">
        <f>IF($J31="","",IF(ISBLANK(INDEX('Product Backlog'!$D$5:$D$504,$J31)),"",INDEX('Product Backlog'!$D$5:$D$504,$J31)))</f>
        <v/>
      </c>
      <c r="E31" s="46" t="str">
        <f>IF($J31="","",IF(ISBLANK(INDEX('Product Backlog'!$E$5:$E$504,$J31)),"",INDEX('Product Backlog'!$E$5:$E$504,$J31)))</f>
        <v/>
      </c>
      <c r="F31" s="47" t="str">
        <f>IF($J31="","",IF(ISBLANK(INDEX('Product Backlog'!$F$5:$F$504,$J31)),"",INDEX('Product Backlog'!$F$5:$F$504,$J31)))</f>
        <v/>
      </c>
      <c r="G31" s="47" t="str">
        <f>IF($J31="","",IF(ISBLANK(INDEX('Product Backlog'!$G$5:$G$504,$J31)),"",INDEX('Product Backlog'!$G$5:$G$504,$J31)))</f>
        <v/>
      </c>
      <c r="H31" s="48" t="str">
        <f>IF($J31="","",IF(ISBLANK(INDEX('Product Backlog'!$H$5:$H$504,$J31)),"",INDEX('Product Backlog'!$H$5:$H$504,$J31)))</f>
        <v/>
      </c>
      <c r="I31" s="48" t="str">
        <f>IF($J31="","",IF(ISBLANK(INDEX('Product Backlog'!$I$5:$I$504,$J31)),"",INDEX('Product Backlog'!$I$5:$I$504,$J31)))</f>
        <v/>
      </c>
      <c r="J31" t="str">
        <f>IFERROR(MATCH($B$4&amp;"-"&amp;ROWS($A$10:A31),'Product Backlog'!$J$5:$J$504,0),"")</f>
        <v/>
      </c>
    </row>
    <row r="32" spans="1:10" ht="21" customHeight="1" x14ac:dyDescent="0.2">
      <c r="A32" s="46" t="str">
        <f>IF($J32="","",IF(ISBLANK(INDEX('Product Backlog'!$A$5:$A$504,$J32)),"",INDEX('Product Backlog'!$A$5:$A$504,$J32)))</f>
        <v/>
      </c>
      <c r="B32" s="46" t="str">
        <f>IF($J32="","",IF(ISBLANK(INDEX('Product Backlog'!$B$5:$B$504,$J32)),"",INDEX('Product Backlog'!$B$5:$B$504,$J32)))</f>
        <v/>
      </c>
      <c r="C32" s="46" t="str">
        <f>IF($J32="","",IF(ISBLANK(INDEX('Product Backlog'!$C$5:$C$504,$J32)),"",INDEX('Product Backlog'!$C$5:$C$504,$J32)))</f>
        <v/>
      </c>
      <c r="D32" s="46" t="str">
        <f>IF($J32="","",IF(ISBLANK(INDEX('Product Backlog'!$D$5:$D$504,$J32)),"",INDEX('Product Backlog'!$D$5:$D$504,$J32)))</f>
        <v/>
      </c>
      <c r="E32" s="46" t="str">
        <f>IF($J32="","",IF(ISBLANK(INDEX('Product Backlog'!$E$5:$E$504,$J32)),"",INDEX('Product Backlog'!$E$5:$E$504,$J32)))</f>
        <v/>
      </c>
      <c r="F32" s="47" t="str">
        <f>IF($J32="","",IF(ISBLANK(INDEX('Product Backlog'!$F$5:$F$504,$J32)),"",INDEX('Product Backlog'!$F$5:$F$504,$J32)))</f>
        <v/>
      </c>
      <c r="G32" s="47" t="str">
        <f>IF($J32="","",IF(ISBLANK(INDEX('Product Backlog'!$G$5:$G$504,$J32)),"",INDEX('Product Backlog'!$G$5:$G$504,$J32)))</f>
        <v/>
      </c>
      <c r="H32" s="48" t="str">
        <f>IF($J32="","",IF(ISBLANK(INDEX('Product Backlog'!$H$5:$H$504,$J32)),"",INDEX('Product Backlog'!$H$5:$H$504,$J32)))</f>
        <v/>
      </c>
      <c r="I32" s="48" t="str">
        <f>IF($J32="","",IF(ISBLANK(INDEX('Product Backlog'!$I$5:$I$504,$J32)),"",INDEX('Product Backlog'!$I$5:$I$504,$J32)))</f>
        <v/>
      </c>
      <c r="J32" t="str">
        <f>IFERROR(MATCH($B$4&amp;"-"&amp;ROWS($A$10:A32),'Product Backlog'!$J$5:$J$504,0),"")</f>
        <v/>
      </c>
    </row>
    <row r="33" spans="1:10" ht="21" customHeight="1" x14ac:dyDescent="0.2">
      <c r="A33" s="46" t="str">
        <f>IF($J33="","",IF(ISBLANK(INDEX('Product Backlog'!$A$5:$A$504,$J33)),"",INDEX('Product Backlog'!$A$5:$A$504,$J33)))</f>
        <v/>
      </c>
      <c r="B33" s="46" t="str">
        <f>IF($J33="","",IF(ISBLANK(INDEX('Product Backlog'!$B$5:$B$504,$J33)),"",INDEX('Product Backlog'!$B$5:$B$504,$J33)))</f>
        <v/>
      </c>
      <c r="C33" s="46" t="str">
        <f>IF($J33="","",IF(ISBLANK(INDEX('Product Backlog'!$C$5:$C$504,$J33)),"",INDEX('Product Backlog'!$C$5:$C$504,$J33)))</f>
        <v/>
      </c>
      <c r="D33" s="46" t="str">
        <f>IF($J33="","",IF(ISBLANK(INDEX('Product Backlog'!$D$5:$D$504,$J33)),"",INDEX('Product Backlog'!$D$5:$D$504,$J33)))</f>
        <v/>
      </c>
      <c r="E33" s="46" t="str">
        <f>IF($J33="","",IF(ISBLANK(INDEX('Product Backlog'!$E$5:$E$504,$J33)),"",INDEX('Product Backlog'!$E$5:$E$504,$J33)))</f>
        <v/>
      </c>
      <c r="F33" s="47" t="str">
        <f>IF($J33="","",IF(ISBLANK(INDEX('Product Backlog'!$F$5:$F$504,$J33)),"",INDEX('Product Backlog'!$F$5:$F$504,$J33)))</f>
        <v/>
      </c>
      <c r="G33" s="47" t="str">
        <f>IF($J33="","",IF(ISBLANK(INDEX('Product Backlog'!$G$5:$G$504,$J33)),"",INDEX('Product Backlog'!$G$5:$G$504,$J33)))</f>
        <v/>
      </c>
      <c r="H33" s="48" t="str">
        <f>IF($J33="","",IF(ISBLANK(INDEX('Product Backlog'!$H$5:$H$504,$J33)),"",INDEX('Product Backlog'!$H$5:$H$504,$J33)))</f>
        <v/>
      </c>
      <c r="I33" s="48" t="str">
        <f>IF($J33="","",IF(ISBLANK(INDEX('Product Backlog'!$I$5:$I$504,$J33)),"",INDEX('Product Backlog'!$I$5:$I$504,$J33)))</f>
        <v/>
      </c>
      <c r="J33" t="str">
        <f>IFERROR(MATCH($B$4&amp;"-"&amp;ROWS($A$10:A33),'Product Backlog'!$J$5:$J$504,0),"")</f>
        <v/>
      </c>
    </row>
    <row r="34" spans="1:10" ht="21" customHeight="1" x14ac:dyDescent="0.2">
      <c r="A34" s="46" t="str">
        <f>IF($J34="","",IF(ISBLANK(INDEX('Product Backlog'!$A$5:$A$504,$J34)),"",INDEX('Product Backlog'!$A$5:$A$504,$J34)))</f>
        <v/>
      </c>
      <c r="B34" s="46" t="str">
        <f>IF($J34="","",IF(ISBLANK(INDEX('Product Backlog'!$B$5:$B$504,$J34)),"",INDEX('Product Backlog'!$B$5:$B$504,$J34)))</f>
        <v/>
      </c>
      <c r="C34" s="46" t="str">
        <f>IF($J34="","",IF(ISBLANK(INDEX('Product Backlog'!$C$5:$C$504,$J34)),"",INDEX('Product Backlog'!$C$5:$C$504,$J34)))</f>
        <v/>
      </c>
      <c r="D34" s="46" t="str">
        <f>IF($J34="","",IF(ISBLANK(INDEX('Product Backlog'!$D$5:$D$504,$J34)),"",INDEX('Product Backlog'!$D$5:$D$504,$J34)))</f>
        <v/>
      </c>
      <c r="E34" s="46" t="str">
        <f>IF($J34="","",IF(ISBLANK(INDEX('Product Backlog'!$E$5:$E$504,$J34)),"",INDEX('Product Backlog'!$E$5:$E$504,$J34)))</f>
        <v/>
      </c>
      <c r="F34" s="47" t="str">
        <f>IF($J34="","",IF(ISBLANK(INDEX('Product Backlog'!$F$5:$F$504,$J34)),"",INDEX('Product Backlog'!$F$5:$F$504,$J34)))</f>
        <v/>
      </c>
      <c r="G34" s="47" t="str">
        <f>IF($J34="","",IF(ISBLANK(INDEX('Product Backlog'!$G$5:$G$504,$J34)),"",INDEX('Product Backlog'!$G$5:$G$504,$J34)))</f>
        <v/>
      </c>
      <c r="H34" s="48" t="str">
        <f>IF($J34="","",IF(ISBLANK(INDEX('Product Backlog'!$H$5:$H$504,$J34)),"",INDEX('Product Backlog'!$H$5:$H$504,$J34)))</f>
        <v/>
      </c>
      <c r="I34" s="48" t="str">
        <f>IF($J34="","",IF(ISBLANK(INDEX('Product Backlog'!$I$5:$I$504,$J34)),"",INDEX('Product Backlog'!$I$5:$I$504,$J34)))</f>
        <v/>
      </c>
      <c r="J34" t="str">
        <f>IFERROR(MATCH($B$4&amp;"-"&amp;ROWS($A$10:A34),'Product Backlog'!$J$5:$J$504,0),"")</f>
        <v/>
      </c>
    </row>
    <row r="35" spans="1:10" ht="21" customHeight="1" x14ac:dyDescent="0.2">
      <c r="A35" s="46" t="str">
        <f>IF($J35="","",IF(ISBLANK(INDEX('Product Backlog'!$A$5:$A$504,$J35)),"",INDEX('Product Backlog'!$A$5:$A$504,$J35)))</f>
        <v/>
      </c>
      <c r="B35" s="46" t="str">
        <f>IF($J35="","",IF(ISBLANK(INDEX('Product Backlog'!$B$5:$B$504,$J35)),"",INDEX('Product Backlog'!$B$5:$B$504,$J35)))</f>
        <v/>
      </c>
      <c r="C35" s="46" t="str">
        <f>IF($J35="","",IF(ISBLANK(INDEX('Product Backlog'!$C$5:$C$504,$J35)),"",INDEX('Product Backlog'!$C$5:$C$504,$J35)))</f>
        <v/>
      </c>
      <c r="D35" s="46" t="str">
        <f>IF($J35="","",IF(ISBLANK(INDEX('Product Backlog'!$D$5:$D$504,$J35)),"",INDEX('Product Backlog'!$D$5:$D$504,$J35)))</f>
        <v/>
      </c>
      <c r="E35" s="46" t="str">
        <f>IF($J35="","",IF(ISBLANK(INDEX('Product Backlog'!$E$5:$E$504,$J35)),"",INDEX('Product Backlog'!$E$5:$E$504,$J35)))</f>
        <v/>
      </c>
      <c r="F35" s="47" t="str">
        <f>IF($J35="","",IF(ISBLANK(INDEX('Product Backlog'!$F$5:$F$504,$J35)),"",INDEX('Product Backlog'!$F$5:$F$504,$J35)))</f>
        <v/>
      </c>
      <c r="G35" s="47" t="str">
        <f>IF($J35="","",IF(ISBLANK(INDEX('Product Backlog'!$G$5:$G$504,$J35)),"",INDEX('Product Backlog'!$G$5:$G$504,$J35)))</f>
        <v/>
      </c>
      <c r="H35" s="48" t="str">
        <f>IF($J35="","",IF(ISBLANK(INDEX('Product Backlog'!$H$5:$H$504,$J35)),"",INDEX('Product Backlog'!$H$5:$H$504,$J35)))</f>
        <v/>
      </c>
      <c r="I35" s="48" t="str">
        <f>IF($J35="","",IF(ISBLANK(INDEX('Product Backlog'!$I$5:$I$504,$J35)),"",INDEX('Product Backlog'!$I$5:$I$504,$J35)))</f>
        <v/>
      </c>
      <c r="J35" t="str">
        <f>IFERROR(MATCH($B$4&amp;"-"&amp;ROWS($A$10:A35),'Product Backlog'!$J$5:$J$504,0),"")</f>
        <v/>
      </c>
    </row>
    <row r="36" spans="1:10" ht="21" customHeight="1" x14ac:dyDescent="0.2">
      <c r="A36" s="46" t="str">
        <f>IF($J36="","",IF(ISBLANK(INDEX('Product Backlog'!$A$5:$A$504,$J36)),"",INDEX('Product Backlog'!$A$5:$A$504,$J36)))</f>
        <v/>
      </c>
      <c r="B36" s="46" t="str">
        <f>IF($J36="","",IF(ISBLANK(INDEX('Product Backlog'!$B$5:$B$504,$J36)),"",INDEX('Product Backlog'!$B$5:$B$504,$J36)))</f>
        <v/>
      </c>
      <c r="C36" s="46" t="str">
        <f>IF($J36="","",IF(ISBLANK(INDEX('Product Backlog'!$C$5:$C$504,$J36)),"",INDEX('Product Backlog'!$C$5:$C$504,$J36)))</f>
        <v/>
      </c>
      <c r="D36" s="46" t="str">
        <f>IF($J36="","",IF(ISBLANK(INDEX('Product Backlog'!$D$5:$D$504,$J36)),"",INDEX('Product Backlog'!$D$5:$D$504,$J36)))</f>
        <v/>
      </c>
      <c r="E36" s="46" t="str">
        <f>IF($J36="","",IF(ISBLANK(INDEX('Product Backlog'!$E$5:$E$504,$J36)),"",INDEX('Product Backlog'!$E$5:$E$504,$J36)))</f>
        <v/>
      </c>
      <c r="F36" s="47" t="str">
        <f>IF($J36="","",IF(ISBLANK(INDEX('Product Backlog'!$F$5:$F$504,$J36)),"",INDEX('Product Backlog'!$F$5:$F$504,$J36)))</f>
        <v/>
      </c>
      <c r="G36" s="47" t="str">
        <f>IF($J36="","",IF(ISBLANK(INDEX('Product Backlog'!$G$5:$G$504,$J36)),"",INDEX('Product Backlog'!$G$5:$G$504,$J36)))</f>
        <v/>
      </c>
      <c r="H36" s="48" t="str">
        <f>IF($J36="","",IF(ISBLANK(INDEX('Product Backlog'!$H$5:$H$504,$J36)),"",INDEX('Product Backlog'!$H$5:$H$504,$J36)))</f>
        <v/>
      </c>
      <c r="I36" s="48" t="str">
        <f>IF($J36="","",IF(ISBLANK(INDEX('Product Backlog'!$I$5:$I$504,$J36)),"",INDEX('Product Backlog'!$I$5:$I$504,$J36)))</f>
        <v/>
      </c>
      <c r="J36" t="str">
        <f>IFERROR(MATCH($B$4&amp;"-"&amp;ROWS($A$10:A36),'Product Backlog'!$J$5:$J$504,0),"")</f>
        <v/>
      </c>
    </row>
    <row r="37" spans="1:10" ht="21" customHeight="1" x14ac:dyDescent="0.2">
      <c r="A37" s="46" t="str">
        <f>IF($J37="","",IF(ISBLANK(INDEX('Product Backlog'!$A$5:$A$504,$J37)),"",INDEX('Product Backlog'!$A$5:$A$504,$J37)))</f>
        <v/>
      </c>
      <c r="B37" s="46" t="str">
        <f>IF($J37="","",IF(ISBLANK(INDEX('Product Backlog'!$B$5:$B$504,$J37)),"",INDEX('Product Backlog'!$B$5:$B$504,$J37)))</f>
        <v/>
      </c>
      <c r="C37" s="46" t="str">
        <f>IF($J37="","",IF(ISBLANK(INDEX('Product Backlog'!$C$5:$C$504,$J37)),"",INDEX('Product Backlog'!$C$5:$C$504,$J37)))</f>
        <v/>
      </c>
      <c r="D37" s="46" t="str">
        <f>IF($J37="","",IF(ISBLANK(INDEX('Product Backlog'!$D$5:$D$504,$J37)),"",INDEX('Product Backlog'!$D$5:$D$504,$J37)))</f>
        <v/>
      </c>
      <c r="E37" s="46" t="str">
        <f>IF($J37="","",IF(ISBLANK(INDEX('Product Backlog'!$E$5:$E$504,$J37)),"",INDEX('Product Backlog'!$E$5:$E$504,$J37)))</f>
        <v/>
      </c>
      <c r="F37" s="47" t="str">
        <f>IF($J37="","",IF(ISBLANK(INDEX('Product Backlog'!$F$5:$F$504,$J37)),"",INDEX('Product Backlog'!$F$5:$F$504,$J37)))</f>
        <v/>
      </c>
      <c r="G37" s="47" t="str">
        <f>IF($J37="","",IF(ISBLANK(INDEX('Product Backlog'!$G$5:$G$504,$J37)),"",INDEX('Product Backlog'!$G$5:$G$504,$J37)))</f>
        <v/>
      </c>
      <c r="H37" s="48" t="str">
        <f>IF($J37="","",IF(ISBLANK(INDEX('Product Backlog'!$H$5:$H$504,$J37)),"",INDEX('Product Backlog'!$H$5:$H$504,$J37)))</f>
        <v/>
      </c>
      <c r="I37" s="48" t="str">
        <f>IF($J37="","",IF(ISBLANK(INDEX('Product Backlog'!$I$5:$I$504,$J37)),"",INDEX('Product Backlog'!$I$5:$I$504,$J37)))</f>
        <v/>
      </c>
      <c r="J37" t="str">
        <f>IFERROR(MATCH($B$4&amp;"-"&amp;ROWS($A$10:A37),'Product Backlog'!$J$5:$J$504,0),"")</f>
        <v/>
      </c>
    </row>
    <row r="38" spans="1:10" ht="21" customHeight="1" x14ac:dyDescent="0.2">
      <c r="A38" s="46" t="str">
        <f>IF($J38="","",IF(ISBLANK(INDEX('Product Backlog'!$A$5:$A$504,$J38)),"",INDEX('Product Backlog'!$A$5:$A$504,$J38)))</f>
        <v/>
      </c>
      <c r="B38" s="46" t="str">
        <f>IF($J38="","",IF(ISBLANK(INDEX('Product Backlog'!$B$5:$B$504,$J38)),"",INDEX('Product Backlog'!$B$5:$B$504,$J38)))</f>
        <v/>
      </c>
      <c r="C38" s="46" t="str">
        <f>IF($J38="","",IF(ISBLANK(INDEX('Product Backlog'!$C$5:$C$504,$J38)),"",INDEX('Product Backlog'!$C$5:$C$504,$J38)))</f>
        <v/>
      </c>
      <c r="D38" s="46" t="str">
        <f>IF($J38="","",IF(ISBLANK(INDEX('Product Backlog'!$D$5:$D$504,$J38)),"",INDEX('Product Backlog'!$D$5:$D$504,$J38)))</f>
        <v/>
      </c>
      <c r="E38" s="46" t="str">
        <f>IF($J38="","",IF(ISBLANK(INDEX('Product Backlog'!$E$5:$E$504,$J38)),"",INDEX('Product Backlog'!$E$5:$E$504,$J38)))</f>
        <v/>
      </c>
      <c r="F38" s="47" t="str">
        <f>IF($J38="","",IF(ISBLANK(INDEX('Product Backlog'!$F$5:$F$504,$J38)),"",INDEX('Product Backlog'!$F$5:$F$504,$J38)))</f>
        <v/>
      </c>
      <c r="G38" s="47" t="str">
        <f>IF($J38="","",IF(ISBLANK(INDEX('Product Backlog'!$G$5:$G$504,$J38)),"",INDEX('Product Backlog'!$G$5:$G$504,$J38)))</f>
        <v/>
      </c>
      <c r="H38" s="48" t="str">
        <f>IF($J38="","",IF(ISBLANK(INDEX('Product Backlog'!$H$5:$H$504,$J38)),"",INDEX('Product Backlog'!$H$5:$H$504,$J38)))</f>
        <v/>
      </c>
      <c r="I38" s="48" t="str">
        <f>IF($J38="","",IF(ISBLANK(INDEX('Product Backlog'!$I$5:$I$504,$J38)),"",INDEX('Product Backlog'!$I$5:$I$504,$J38)))</f>
        <v/>
      </c>
      <c r="J38" t="str">
        <f>IFERROR(MATCH($B$4&amp;"-"&amp;ROWS($A$10:A38),'Product Backlog'!$J$5:$J$504,0),"")</f>
        <v/>
      </c>
    </row>
    <row r="39" spans="1:10" ht="21" customHeight="1" x14ac:dyDescent="0.2">
      <c r="A39" s="46" t="str">
        <f>IF($J39="","",IF(ISBLANK(INDEX('Product Backlog'!$A$5:$A$504,$J39)),"",INDEX('Product Backlog'!$A$5:$A$504,$J39)))</f>
        <v/>
      </c>
      <c r="B39" s="46" t="str">
        <f>IF($J39="","",IF(ISBLANK(INDEX('Product Backlog'!$B$5:$B$504,$J39)),"",INDEX('Product Backlog'!$B$5:$B$504,$J39)))</f>
        <v/>
      </c>
      <c r="C39" s="46" t="str">
        <f>IF($J39="","",IF(ISBLANK(INDEX('Product Backlog'!$C$5:$C$504,$J39)),"",INDEX('Product Backlog'!$C$5:$C$504,$J39)))</f>
        <v/>
      </c>
      <c r="D39" s="46" t="str">
        <f>IF($J39="","",IF(ISBLANK(INDEX('Product Backlog'!$D$5:$D$504,$J39)),"",INDEX('Product Backlog'!$D$5:$D$504,$J39)))</f>
        <v/>
      </c>
      <c r="E39" s="46" t="str">
        <f>IF($J39="","",IF(ISBLANK(INDEX('Product Backlog'!$E$5:$E$504,$J39)),"",INDEX('Product Backlog'!$E$5:$E$504,$J39)))</f>
        <v/>
      </c>
      <c r="F39" s="47" t="str">
        <f>IF($J39="","",IF(ISBLANK(INDEX('Product Backlog'!$F$5:$F$504,$J39)),"",INDEX('Product Backlog'!$F$5:$F$504,$J39)))</f>
        <v/>
      </c>
      <c r="G39" s="47" t="str">
        <f>IF($J39="","",IF(ISBLANK(INDEX('Product Backlog'!$G$5:$G$504,$J39)),"",INDEX('Product Backlog'!$G$5:$G$504,$J39)))</f>
        <v/>
      </c>
      <c r="H39" s="48" t="str">
        <f>IF($J39="","",IF(ISBLANK(INDEX('Product Backlog'!$H$5:$H$504,$J39)),"",INDEX('Product Backlog'!$H$5:$H$504,$J39)))</f>
        <v/>
      </c>
      <c r="I39" s="48" t="str">
        <f>IF($J39="","",IF(ISBLANK(INDEX('Product Backlog'!$I$5:$I$504,$J39)),"",INDEX('Product Backlog'!$I$5:$I$504,$J39)))</f>
        <v/>
      </c>
      <c r="J39" t="str">
        <f>IFERROR(MATCH($B$4&amp;"-"&amp;ROWS($A$10:A39),'Product Backlog'!$J$5:$J$504,0),"")</f>
        <v/>
      </c>
    </row>
    <row r="40" spans="1:10" ht="21" customHeight="1" x14ac:dyDescent="0.2">
      <c r="A40" s="46" t="str">
        <f>IF($J40="","",IF(ISBLANK(INDEX('Product Backlog'!$A$5:$A$504,$J40)),"",INDEX('Product Backlog'!$A$5:$A$504,$J40)))</f>
        <v/>
      </c>
      <c r="B40" s="46" t="str">
        <f>IF($J40="","",IF(ISBLANK(INDEX('Product Backlog'!$B$5:$B$504,$J40)),"",INDEX('Product Backlog'!$B$5:$B$504,$J40)))</f>
        <v/>
      </c>
      <c r="C40" s="46" t="str">
        <f>IF($J40="","",IF(ISBLANK(INDEX('Product Backlog'!$C$5:$C$504,$J40)),"",INDEX('Product Backlog'!$C$5:$C$504,$J40)))</f>
        <v/>
      </c>
      <c r="D40" s="46" t="str">
        <f>IF($J40="","",IF(ISBLANK(INDEX('Product Backlog'!$D$5:$D$504,$J40)),"",INDEX('Product Backlog'!$D$5:$D$504,$J40)))</f>
        <v/>
      </c>
      <c r="E40" s="46" t="str">
        <f>IF($J40="","",IF(ISBLANK(INDEX('Product Backlog'!$E$5:$E$504,$J40)),"",INDEX('Product Backlog'!$E$5:$E$504,$J40)))</f>
        <v/>
      </c>
      <c r="F40" s="47" t="str">
        <f>IF($J40="","",IF(ISBLANK(INDEX('Product Backlog'!$F$5:$F$504,$J40)),"",INDEX('Product Backlog'!$F$5:$F$504,$J40)))</f>
        <v/>
      </c>
      <c r="G40" s="47" t="str">
        <f>IF($J40="","",IF(ISBLANK(INDEX('Product Backlog'!$G$5:$G$504,$J40)),"",INDEX('Product Backlog'!$G$5:$G$504,$J40)))</f>
        <v/>
      </c>
      <c r="H40" s="48" t="str">
        <f>IF($J40="","",IF(ISBLANK(INDEX('Product Backlog'!$H$5:$H$504,$J40)),"",INDEX('Product Backlog'!$H$5:$H$504,$J40)))</f>
        <v/>
      </c>
      <c r="I40" s="48" t="str">
        <f>IF($J40="","",IF(ISBLANK(INDEX('Product Backlog'!$I$5:$I$504,$J40)),"",INDEX('Product Backlog'!$I$5:$I$504,$J40)))</f>
        <v/>
      </c>
      <c r="J40" t="str">
        <f>IFERROR(MATCH($B$4&amp;"-"&amp;ROWS($A$10:A40),'Product Backlog'!$J$5:$J$504,0),"")</f>
        <v/>
      </c>
    </row>
    <row r="41" spans="1:10" ht="21" customHeight="1" x14ac:dyDescent="0.2">
      <c r="A41" s="46" t="str">
        <f>IF($J41="","",IF(ISBLANK(INDEX('Product Backlog'!$A$5:$A$504,$J41)),"",INDEX('Product Backlog'!$A$5:$A$504,$J41)))</f>
        <v/>
      </c>
      <c r="B41" s="46" t="str">
        <f>IF($J41="","",IF(ISBLANK(INDEX('Product Backlog'!$B$5:$B$504,$J41)),"",INDEX('Product Backlog'!$B$5:$B$504,$J41)))</f>
        <v/>
      </c>
      <c r="C41" s="46" t="str">
        <f>IF($J41="","",IF(ISBLANK(INDEX('Product Backlog'!$C$5:$C$504,$J41)),"",INDEX('Product Backlog'!$C$5:$C$504,$J41)))</f>
        <v/>
      </c>
      <c r="D41" s="46" t="str">
        <f>IF($J41="","",IF(ISBLANK(INDEX('Product Backlog'!$D$5:$D$504,$J41)),"",INDEX('Product Backlog'!$D$5:$D$504,$J41)))</f>
        <v/>
      </c>
      <c r="E41" s="46" t="str">
        <f>IF($J41="","",IF(ISBLANK(INDEX('Product Backlog'!$E$5:$E$504,$J41)),"",INDEX('Product Backlog'!$E$5:$E$504,$J41)))</f>
        <v/>
      </c>
      <c r="F41" s="47" t="str">
        <f>IF($J41="","",IF(ISBLANK(INDEX('Product Backlog'!$F$5:$F$504,$J41)),"",INDEX('Product Backlog'!$F$5:$F$504,$J41)))</f>
        <v/>
      </c>
      <c r="G41" s="47" t="str">
        <f>IF($J41="","",IF(ISBLANK(INDEX('Product Backlog'!$G$5:$G$504,$J41)),"",INDEX('Product Backlog'!$G$5:$G$504,$J41)))</f>
        <v/>
      </c>
      <c r="H41" s="48" t="str">
        <f>IF($J41="","",IF(ISBLANK(INDEX('Product Backlog'!$H$5:$H$504,$J41)),"",INDEX('Product Backlog'!$H$5:$H$504,$J41)))</f>
        <v/>
      </c>
      <c r="I41" s="48" t="str">
        <f>IF($J41="","",IF(ISBLANK(INDEX('Product Backlog'!$I$5:$I$504,$J41)),"",INDEX('Product Backlog'!$I$5:$I$504,$J41)))</f>
        <v/>
      </c>
      <c r="J41" t="str">
        <f>IFERROR(MATCH($B$4&amp;"-"&amp;ROWS($A$10:A41),'Product Backlog'!$J$5:$J$504,0),"")</f>
        <v/>
      </c>
    </row>
    <row r="42" spans="1:10" ht="21" customHeight="1" x14ac:dyDescent="0.2">
      <c r="A42" s="46" t="str">
        <f>IF($J42="","",IF(ISBLANK(INDEX('Product Backlog'!$A$5:$A$504,$J42)),"",INDEX('Product Backlog'!$A$5:$A$504,$J42)))</f>
        <v/>
      </c>
      <c r="B42" s="46" t="str">
        <f>IF($J42="","",IF(ISBLANK(INDEX('Product Backlog'!$B$5:$B$504,$J42)),"",INDEX('Product Backlog'!$B$5:$B$504,$J42)))</f>
        <v/>
      </c>
      <c r="C42" s="46" t="str">
        <f>IF($J42="","",IF(ISBLANK(INDEX('Product Backlog'!$C$5:$C$504,$J42)),"",INDEX('Product Backlog'!$C$5:$C$504,$J42)))</f>
        <v/>
      </c>
      <c r="D42" s="46" t="str">
        <f>IF($J42="","",IF(ISBLANK(INDEX('Product Backlog'!$D$5:$D$504,$J42)),"",INDEX('Product Backlog'!$D$5:$D$504,$J42)))</f>
        <v/>
      </c>
      <c r="E42" s="46" t="str">
        <f>IF($J42="","",IF(ISBLANK(INDEX('Product Backlog'!$E$5:$E$504,$J42)),"",INDEX('Product Backlog'!$E$5:$E$504,$J42)))</f>
        <v/>
      </c>
      <c r="F42" s="47" t="str">
        <f>IF($J42="","",IF(ISBLANK(INDEX('Product Backlog'!$F$5:$F$504,$J42)),"",INDEX('Product Backlog'!$F$5:$F$504,$J42)))</f>
        <v/>
      </c>
      <c r="G42" s="47" t="str">
        <f>IF($J42="","",IF(ISBLANK(INDEX('Product Backlog'!$G$5:$G$504,$J42)),"",INDEX('Product Backlog'!$G$5:$G$504,$J42)))</f>
        <v/>
      </c>
      <c r="H42" s="48" t="str">
        <f>IF($J42="","",IF(ISBLANK(INDEX('Product Backlog'!$H$5:$H$504,$J42)),"",INDEX('Product Backlog'!$H$5:$H$504,$J42)))</f>
        <v/>
      </c>
      <c r="I42" s="48" t="str">
        <f>IF($J42="","",IF(ISBLANK(INDEX('Product Backlog'!$I$5:$I$504,$J42)),"",INDEX('Product Backlog'!$I$5:$I$504,$J42)))</f>
        <v/>
      </c>
      <c r="J42" t="str">
        <f>IFERROR(MATCH($B$4&amp;"-"&amp;ROWS($A$10:A42),'Product Backlog'!$J$5:$J$504,0),"")</f>
        <v/>
      </c>
    </row>
    <row r="43" spans="1:10" ht="21" customHeight="1" x14ac:dyDescent="0.2">
      <c r="A43" s="46" t="str">
        <f>IF($J43="","",IF(ISBLANK(INDEX('Product Backlog'!$A$5:$A$504,$J43)),"",INDEX('Product Backlog'!$A$5:$A$504,$J43)))</f>
        <v/>
      </c>
      <c r="B43" s="46" t="str">
        <f>IF($J43="","",IF(ISBLANK(INDEX('Product Backlog'!$B$5:$B$504,$J43)),"",INDEX('Product Backlog'!$B$5:$B$504,$J43)))</f>
        <v/>
      </c>
      <c r="C43" s="46" t="str">
        <f>IF($J43="","",IF(ISBLANK(INDEX('Product Backlog'!$C$5:$C$504,$J43)),"",INDEX('Product Backlog'!$C$5:$C$504,$J43)))</f>
        <v/>
      </c>
      <c r="D43" s="46" t="str">
        <f>IF($J43="","",IF(ISBLANK(INDEX('Product Backlog'!$D$5:$D$504,$J43)),"",INDEX('Product Backlog'!$D$5:$D$504,$J43)))</f>
        <v/>
      </c>
      <c r="E43" s="46" t="str">
        <f>IF($J43="","",IF(ISBLANK(INDEX('Product Backlog'!$E$5:$E$504,$J43)),"",INDEX('Product Backlog'!$E$5:$E$504,$J43)))</f>
        <v/>
      </c>
      <c r="F43" s="47" t="str">
        <f>IF($J43="","",IF(ISBLANK(INDEX('Product Backlog'!$F$5:$F$504,$J43)),"",INDEX('Product Backlog'!$F$5:$F$504,$J43)))</f>
        <v/>
      </c>
      <c r="G43" s="47" t="str">
        <f>IF($J43="","",IF(ISBLANK(INDEX('Product Backlog'!$G$5:$G$504,$J43)),"",INDEX('Product Backlog'!$G$5:$G$504,$J43)))</f>
        <v/>
      </c>
      <c r="H43" s="48" t="str">
        <f>IF($J43="","",IF(ISBLANK(INDEX('Product Backlog'!$H$5:$H$504,$J43)),"",INDEX('Product Backlog'!$H$5:$H$504,$J43)))</f>
        <v/>
      </c>
      <c r="I43" s="48" t="str">
        <f>IF($J43="","",IF(ISBLANK(INDEX('Product Backlog'!$I$5:$I$504,$J43)),"",INDEX('Product Backlog'!$I$5:$I$504,$J43)))</f>
        <v/>
      </c>
      <c r="J43" t="str">
        <f>IFERROR(MATCH($B$4&amp;"-"&amp;ROWS($A$10:A43),'Product Backlog'!$J$5:$J$504,0),"")</f>
        <v/>
      </c>
    </row>
    <row r="44" spans="1:10" ht="21" customHeight="1" x14ac:dyDescent="0.2">
      <c r="A44" s="46" t="str">
        <f>IF($J44="","",IF(ISBLANK(INDEX('Product Backlog'!$A$5:$A$504,$J44)),"",INDEX('Product Backlog'!$A$5:$A$504,$J44)))</f>
        <v/>
      </c>
      <c r="B44" s="46" t="str">
        <f>IF($J44="","",IF(ISBLANK(INDEX('Product Backlog'!$B$5:$B$504,$J44)),"",INDEX('Product Backlog'!$B$5:$B$504,$J44)))</f>
        <v/>
      </c>
      <c r="C44" s="46" t="str">
        <f>IF($J44="","",IF(ISBLANK(INDEX('Product Backlog'!$C$5:$C$504,$J44)),"",INDEX('Product Backlog'!$C$5:$C$504,$J44)))</f>
        <v/>
      </c>
      <c r="D44" s="46" t="str">
        <f>IF($J44="","",IF(ISBLANK(INDEX('Product Backlog'!$D$5:$D$504,$J44)),"",INDEX('Product Backlog'!$D$5:$D$504,$J44)))</f>
        <v/>
      </c>
      <c r="E44" s="46" t="str">
        <f>IF($J44="","",IF(ISBLANK(INDEX('Product Backlog'!$E$5:$E$504,$J44)),"",INDEX('Product Backlog'!$E$5:$E$504,$J44)))</f>
        <v/>
      </c>
      <c r="F44" s="47" t="str">
        <f>IF($J44="","",IF(ISBLANK(INDEX('Product Backlog'!$F$5:$F$504,$J44)),"",INDEX('Product Backlog'!$F$5:$F$504,$J44)))</f>
        <v/>
      </c>
      <c r="G44" s="47" t="str">
        <f>IF($J44="","",IF(ISBLANK(INDEX('Product Backlog'!$G$5:$G$504,$J44)),"",INDEX('Product Backlog'!$G$5:$G$504,$J44)))</f>
        <v/>
      </c>
      <c r="H44" s="48" t="str">
        <f>IF($J44="","",IF(ISBLANK(INDEX('Product Backlog'!$H$5:$H$504,$J44)),"",INDEX('Product Backlog'!$H$5:$H$504,$J44)))</f>
        <v/>
      </c>
      <c r="I44" s="48" t="str">
        <f>IF($J44="","",IF(ISBLANK(INDEX('Product Backlog'!$I$5:$I$504,$J44)),"",INDEX('Product Backlog'!$I$5:$I$504,$J44)))</f>
        <v/>
      </c>
      <c r="J44" t="str">
        <f>IFERROR(MATCH($B$4&amp;"-"&amp;ROWS($A$10:A44),'Product Backlog'!$J$5:$J$504,0),"")</f>
        <v/>
      </c>
    </row>
    <row r="45" spans="1:10" ht="21" customHeight="1" x14ac:dyDescent="0.2">
      <c r="A45" s="46" t="str">
        <f>IF($J45="","",IF(ISBLANK(INDEX('Product Backlog'!$A$5:$A$504,$J45)),"",INDEX('Product Backlog'!$A$5:$A$504,$J45)))</f>
        <v/>
      </c>
      <c r="B45" s="46" t="str">
        <f>IF($J45="","",IF(ISBLANK(INDEX('Product Backlog'!$B$5:$B$504,$J45)),"",INDEX('Product Backlog'!$B$5:$B$504,$J45)))</f>
        <v/>
      </c>
      <c r="C45" s="46" t="str">
        <f>IF($J45="","",IF(ISBLANK(INDEX('Product Backlog'!$C$5:$C$504,$J45)),"",INDEX('Product Backlog'!$C$5:$C$504,$J45)))</f>
        <v/>
      </c>
      <c r="D45" s="46" t="str">
        <f>IF($J45="","",IF(ISBLANK(INDEX('Product Backlog'!$D$5:$D$504,$J45)),"",INDEX('Product Backlog'!$D$5:$D$504,$J45)))</f>
        <v/>
      </c>
      <c r="E45" s="46" t="str">
        <f>IF($J45="","",IF(ISBLANK(INDEX('Product Backlog'!$E$5:$E$504,$J45)),"",INDEX('Product Backlog'!$E$5:$E$504,$J45)))</f>
        <v/>
      </c>
      <c r="F45" s="47" t="str">
        <f>IF($J45="","",IF(ISBLANK(INDEX('Product Backlog'!$F$5:$F$504,$J45)),"",INDEX('Product Backlog'!$F$5:$F$504,$J45)))</f>
        <v/>
      </c>
      <c r="G45" s="47" t="str">
        <f>IF($J45="","",IF(ISBLANK(INDEX('Product Backlog'!$G$5:$G$504,$J45)),"",INDEX('Product Backlog'!$G$5:$G$504,$J45)))</f>
        <v/>
      </c>
      <c r="H45" s="48" t="str">
        <f>IF($J45="","",IF(ISBLANK(INDEX('Product Backlog'!$H$5:$H$504,$J45)),"",INDEX('Product Backlog'!$H$5:$H$504,$J45)))</f>
        <v/>
      </c>
      <c r="I45" s="48" t="str">
        <f>IF($J45="","",IF(ISBLANK(INDEX('Product Backlog'!$I$5:$I$504,$J45)),"",INDEX('Product Backlog'!$I$5:$I$504,$J45)))</f>
        <v/>
      </c>
      <c r="J45" t="str">
        <f>IFERROR(MATCH($B$4&amp;"-"&amp;ROWS($A$10:A45),'Product Backlog'!$J$5:$J$504,0),"")</f>
        <v/>
      </c>
    </row>
    <row r="46" spans="1:10" ht="21" customHeight="1" x14ac:dyDescent="0.2">
      <c r="A46" s="46" t="str">
        <f>IF($J46="","",IF(ISBLANK(INDEX('Product Backlog'!$A$5:$A$504,$J46)),"",INDEX('Product Backlog'!$A$5:$A$504,$J46)))</f>
        <v/>
      </c>
      <c r="B46" s="46" t="str">
        <f>IF($J46="","",IF(ISBLANK(INDEX('Product Backlog'!$B$5:$B$504,$J46)),"",INDEX('Product Backlog'!$B$5:$B$504,$J46)))</f>
        <v/>
      </c>
      <c r="C46" s="46" t="str">
        <f>IF($J46="","",IF(ISBLANK(INDEX('Product Backlog'!$C$5:$C$504,$J46)),"",INDEX('Product Backlog'!$C$5:$C$504,$J46)))</f>
        <v/>
      </c>
      <c r="D46" s="46" t="str">
        <f>IF($J46="","",IF(ISBLANK(INDEX('Product Backlog'!$D$5:$D$504,$J46)),"",INDEX('Product Backlog'!$D$5:$D$504,$J46)))</f>
        <v/>
      </c>
      <c r="E46" s="46" t="str">
        <f>IF($J46="","",IF(ISBLANK(INDEX('Product Backlog'!$E$5:$E$504,$J46)),"",INDEX('Product Backlog'!$E$5:$E$504,$J46)))</f>
        <v/>
      </c>
      <c r="F46" s="47" t="str">
        <f>IF($J46="","",IF(ISBLANK(INDEX('Product Backlog'!$F$5:$F$504,$J46)),"",INDEX('Product Backlog'!$F$5:$F$504,$J46)))</f>
        <v/>
      </c>
      <c r="G46" s="47" t="str">
        <f>IF($J46="","",IF(ISBLANK(INDEX('Product Backlog'!$G$5:$G$504,$J46)),"",INDEX('Product Backlog'!$G$5:$G$504,$J46)))</f>
        <v/>
      </c>
      <c r="H46" s="48" t="str">
        <f>IF($J46="","",IF(ISBLANK(INDEX('Product Backlog'!$H$5:$H$504,$J46)),"",INDEX('Product Backlog'!$H$5:$H$504,$J46)))</f>
        <v/>
      </c>
      <c r="I46" s="48" t="str">
        <f>IF($J46="","",IF(ISBLANK(INDEX('Product Backlog'!$I$5:$I$504,$J46)),"",INDEX('Product Backlog'!$I$5:$I$504,$J46)))</f>
        <v/>
      </c>
      <c r="J46" t="str">
        <f>IFERROR(MATCH($B$4&amp;"-"&amp;ROWS($A$10:A46),'Product Backlog'!$J$5:$J$504,0),"")</f>
        <v/>
      </c>
    </row>
    <row r="47" spans="1:10" ht="21" customHeight="1" x14ac:dyDescent="0.2">
      <c r="A47" s="46" t="str">
        <f>IF($J47="","",IF(ISBLANK(INDEX('Product Backlog'!$A$5:$A$504,$J47)),"",INDEX('Product Backlog'!$A$5:$A$504,$J47)))</f>
        <v/>
      </c>
      <c r="B47" s="46" t="str">
        <f>IF($J47="","",IF(ISBLANK(INDEX('Product Backlog'!$B$5:$B$504,$J47)),"",INDEX('Product Backlog'!$B$5:$B$504,$J47)))</f>
        <v/>
      </c>
      <c r="C47" s="46" t="str">
        <f>IF($J47="","",IF(ISBLANK(INDEX('Product Backlog'!$C$5:$C$504,$J47)),"",INDEX('Product Backlog'!$C$5:$C$504,$J47)))</f>
        <v/>
      </c>
      <c r="D47" s="46" t="str">
        <f>IF($J47="","",IF(ISBLANK(INDEX('Product Backlog'!$D$5:$D$504,$J47)),"",INDEX('Product Backlog'!$D$5:$D$504,$J47)))</f>
        <v/>
      </c>
      <c r="E47" s="46" t="str">
        <f>IF($J47="","",IF(ISBLANK(INDEX('Product Backlog'!$E$5:$E$504,$J47)),"",INDEX('Product Backlog'!$E$5:$E$504,$J47)))</f>
        <v/>
      </c>
      <c r="F47" s="47" t="str">
        <f>IF($J47="","",IF(ISBLANK(INDEX('Product Backlog'!$F$5:$F$504,$J47)),"",INDEX('Product Backlog'!$F$5:$F$504,$J47)))</f>
        <v/>
      </c>
      <c r="G47" s="47" t="str">
        <f>IF($J47="","",IF(ISBLANK(INDEX('Product Backlog'!$G$5:$G$504,$J47)),"",INDEX('Product Backlog'!$G$5:$G$504,$J47)))</f>
        <v/>
      </c>
      <c r="H47" s="48" t="str">
        <f>IF($J47="","",IF(ISBLANK(INDEX('Product Backlog'!$H$5:$H$504,$J47)),"",INDEX('Product Backlog'!$H$5:$H$504,$J47)))</f>
        <v/>
      </c>
      <c r="I47" s="48" t="str">
        <f>IF($J47="","",IF(ISBLANK(INDEX('Product Backlog'!$I$5:$I$504,$J47)),"",INDEX('Product Backlog'!$I$5:$I$504,$J47)))</f>
        <v/>
      </c>
      <c r="J47" t="str">
        <f>IFERROR(MATCH($B$4&amp;"-"&amp;ROWS($A$10:A47),'Product Backlog'!$J$5:$J$504,0),"")</f>
        <v/>
      </c>
    </row>
    <row r="48" spans="1:10" ht="21" customHeight="1" x14ac:dyDescent="0.2">
      <c r="A48" s="46" t="str">
        <f>IF($J48="","",IF(ISBLANK(INDEX('Product Backlog'!$A$5:$A$504,$J48)),"",INDEX('Product Backlog'!$A$5:$A$504,$J48)))</f>
        <v/>
      </c>
      <c r="B48" s="46" t="str">
        <f>IF($J48="","",IF(ISBLANK(INDEX('Product Backlog'!$B$5:$B$504,$J48)),"",INDEX('Product Backlog'!$B$5:$B$504,$J48)))</f>
        <v/>
      </c>
      <c r="C48" s="46" t="str">
        <f>IF($J48="","",IF(ISBLANK(INDEX('Product Backlog'!$C$5:$C$504,$J48)),"",INDEX('Product Backlog'!$C$5:$C$504,$J48)))</f>
        <v/>
      </c>
      <c r="D48" s="46" t="str">
        <f>IF($J48="","",IF(ISBLANK(INDEX('Product Backlog'!$D$5:$D$504,$J48)),"",INDEX('Product Backlog'!$D$5:$D$504,$J48)))</f>
        <v/>
      </c>
      <c r="E48" s="46" t="str">
        <f>IF($J48="","",IF(ISBLANK(INDEX('Product Backlog'!$E$5:$E$504,$J48)),"",INDEX('Product Backlog'!$E$5:$E$504,$J48)))</f>
        <v/>
      </c>
      <c r="F48" s="47" t="str">
        <f>IF($J48="","",IF(ISBLANK(INDEX('Product Backlog'!$F$5:$F$504,$J48)),"",INDEX('Product Backlog'!$F$5:$F$504,$J48)))</f>
        <v/>
      </c>
      <c r="G48" s="47" t="str">
        <f>IF($J48="","",IF(ISBLANK(INDEX('Product Backlog'!$G$5:$G$504,$J48)),"",INDEX('Product Backlog'!$G$5:$G$504,$J48)))</f>
        <v/>
      </c>
      <c r="H48" s="48" t="str">
        <f>IF($J48="","",IF(ISBLANK(INDEX('Product Backlog'!$H$5:$H$504,$J48)),"",INDEX('Product Backlog'!$H$5:$H$504,$J48)))</f>
        <v/>
      </c>
      <c r="I48" s="48" t="str">
        <f>IF($J48="","",IF(ISBLANK(INDEX('Product Backlog'!$I$5:$I$504,$J48)),"",INDEX('Product Backlog'!$I$5:$I$504,$J48)))</f>
        <v/>
      </c>
      <c r="J48" t="str">
        <f>IFERROR(MATCH($B$4&amp;"-"&amp;ROWS($A$10:A48),'Product Backlog'!$J$5:$J$504,0),"")</f>
        <v/>
      </c>
    </row>
    <row r="49" spans="1:10" ht="21" customHeight="1" x14ac:dyDescent="0.2">
      <c r="A49" s="46" t="str">
        <f>IF($J49="","",IF(ISBLANK(INDEX('Product Backlog'!$A$5:$A$504,$J49)),"",INDEX('Product Backlog'!$A$5:$A$504,$J49)))</f>
        <v/>
      </c>
      <c r="B49" s="46" t="str">
        <f>IF($J49="","",IF(ISBLANK(INDEX('Product Backlog'!$B$5:$B$504,$J49)),"",INDEX('Product Backlog'!$B$5:$B$504,$J49)))</f>
        <v/>
      </c>
      <c r="C49" s="46" t="str">
        <f>IF($J49="","",IF(ISBLANK(INDEX('Product Backlog'!$C$5:$C$504,$J49)),"",INDEX('Product Backlog'!$C$5:$C$504,$J49)))</f>
        <v/>
      </c>
      <c r="D49" s="46" t="str">
        <f>IF($J49="","",IF(ISBLANK(INDEX('Product Backlog'!$D$5:$D$504,$J49)),"",INDEX('Product Backlog'!$D$5:$D$504,$J49)))</f>
        <v/>
      </c>
      <c r="E49" s="46" t="str">
        <f>IF($J49="","",IF(ISBLANK(INDEX('Product Backlog'!$E$5:$E$504,$J49)),"",INDEX('Product Backlog'!$E$5:$E$504,$J49)))</f>
        <v/>
      </c>
      <c r="F49" s="47" t="str">
        <f>IF($J49="","",IF(ISBLANK(INDEX('Product Backlog'!$F$5:$F$504,$J49)),"",INDEX('Product Backlog'!$F$5:$F$504,$J49)))</f>
        <v/>
      </c>
      <c r="G49" s="47" t="str">
        <f>IF($J49="","",IF(ISBLANK(INDEX('Product Backlog'!$G$5:$G$504,$J49)),"",INDEX('Product Backlog'!$G$5:$G$504,$J49)))</f>
        <v/>
      </c>
      <c r="H49" s="48" t="str">
        <f>IF($J49="","",IF(ISBLANK(INDEX('Product Backlog'!$H$5:$H$504,$J49)),"",INDEX('Product Backlog'!$H$5:$H$504,$J49)))</f>
        <v/>
      </c>
      <c r="I49" s="48" t="str">
        <f>IF($J49="","",IF(ISBLANK(INDEX('Product Backlog'!$I$5:$I$504,$J49)),"",INDEX('Product Backlog'!$I$5:$I$504,$J49)))</f>
        <v/>
      </c>
      <c r="J49" t="str">
        <f>IFERROR(MATCH($B$4&amp;"-"&amp;ROWS($A$10:A49),'Product Backlog'!$J$5:$J$504,0),"")</f>
        <v/>
      </c>
    </row>
    <row r="50" spans="1:10" ht="21" customHeight="1" x14ac:dyDescent="0.2">
      <c r="A50" s="46" t="str">
        <f>IF($J50="","",IF(ISBLANK(INDEX('Product Backlog'!$A$5:$A$504,$J50)),"",INDEX('Product Backlog'!$A$5:$A$504,$J50)))</f>
        <v/>
      </c>
      <c r="B50" s="46" t="str">
        <f>IF($J50="","",IF(ISBLANK(INDEX('Product Backlog'!$B$5:$B$504,$J50)),"",INDEX('Product Backlog'!$B$5:$B$504,$J50)))</f>
        <v/>
      </c>
      <c r="C50" s="46" t="str">
        <f>IF($J50="","",IF(ISBLANK(INDEX('Product Backlog'!$C$5:$C$504,$J50)),"",INDEX('Product Backlog'!$C$5:$C$504,$J50)))</f>
        <v/>
      </c>
      <c r="D50" s="46" t="str">
        <f>IF($J50="","",IF(ISBLANK(INDEX('Product Backlog'!$D$5:$D$504,$J50)),"",INDEX('Product Backlog'!$D$5:$D$504,$J50)))</f>
        <v/>
      </c>
      <c r="E50" s="46" t="str">
        <f>IF($J50="","",IF(ISBLANK(INDEX('Product Backlog'!$E$5:$E$504,$J50)),"",INDEX('Product Backlog'!$E$5:$E$504,$J50)))</f>
        <v/>
      </c>
      <c r="F50" s="47" t="str">
        <f>IF($J50="","",IF(ISBLANK(INDEX('Product Backlog'!$F$5:$F$504,$J50)),"",INDEX('Product Backlog'!$F$5:$F$504,$J50)))</f>
        <v/>
      </c>
      <c r="G50" s="47" t="str">
        <f>IF($J50="","",IF(ISBLANK(INDEX('Product Backlog'!$G$5:$G$504,$J50)),"",INDEX('Product Backlog'!$G$5:$G$504,$J50)))</f>
        <v/>
      </c>
      <c r="H50" s="48" t="str">
        <f>IF($J50="","",IF(ISBLANK(INDEX('Product Backlog'!$H$5:$H$504,$J50)),"",INDEX('Product Backlog'!$H$5:$H$504,$J50)))</f>
        <v/>
      </c>
      <c r="I50" s="48" t="str">
        <f>IF($J50="","",IF(ISBLANK(INDEX('Product Backlog'!$I$5:$I$504,$J50)),"",INDEX('Product Backlog'!$I$5:$I$504,$J50)))</f>
        <v/>
      </c>
      <c r="J50" t="str">
        <f>IFERROR(MATCH($B$4&amp;"-"&amp;ROWS($A$10:A50),'Product Backlog'!$J$5:$J$504,0),"")</f>
        <v/>
      </c>
    </row>
    <row r="51" spans="1:10" ht="21" customHeight="1" x14ac:dyDescent="0.2">
      <c r="A51" s="46" t="str">
        <f>IF($J51="","",IF(ISBLANK(INDEX('Product Backlog'!$A$5:$A$504,$J51)),"",INDEX('Product Backlog'!$A$5:$A$504,$J51)))</f>
        <v/>
      </c>
      <c r="B51" s="46" t="str">
        <f>IF($J51="","",IF(ISBLANK(INDEX('Product Backlog'!$B$5:$B$504,$J51)),"",INDEX('Product Backlog'!$B$5:$B$504,$J51)))</f>
        <v/>
      </c>
      <c r="C51" s="46" t="str">
        <f>IF($J51="","",IF(ISBLANK(INDEX('Product Backlog'!$C$5:$C$504,$J51)),"",INDEX('Product Backlog'!$C$5:$C$504,$J51)))</f>
        <v/>
      </c>
      <c r="D51" s="46" t="str">
        <f>IF($J51="","",IF(ISBLANK(INDEX('Product Backlog'!$D$5:$D$504,$J51)),"",INDEX('Product Backlog'!$D$5:$D$504,$J51)))</f>
        <v/>
      </c>
      <c r="E51" s="46" t="str">
        <f>IF($J51="","",IF(ISBLANK(INDEX('Product Backlog'!$E$5:$E$504,$J51)),"",INDEX('Product Backlog'!$E$5:$E$504,$J51)))</f>
        <v/>
      </c>
      <c r="F51" s="47" t="str">
        <f>IF($J51="","",IF(ISBLANK(INDEX('Product Backlog'!$F$5:$F$504,$J51)),"",INDEX('Product Backlog'!$F$5:$F$504,$J51)))</f>
        <v/>
      </c>
      <c r="G51" s="47" t="str">
        <f>IF($J51="","",IF(ISBLANK(INDEX('Product Backlog'!$G$5:$G$504,$J51)),"",INDEX('Product Backlog'!$G$5:$G$504,$J51)))</f>
        <v/>
      </c>
      <c r="H51" s="48" t="str">
        <f>IF($J51="","",IF(ISBLANK(INDEX('Product Backlog'!$H$5:$H$504,$J51)),"",INDEX('Product Backlog'!$H$5:$H$504,$J51)))</f>
        <v/>
      </c>
      <c r="I51" s="48" t="str">
        <f>IF($J51="","",IF(ISBLANK(INDEX('Product Backlog'!$I$5:$I$504,$J51)),"",INDEX('Product Backlog'!$I$5:$I$504,$J51)))</f>
        <v/>
      </c>
      <c r="J51" t="str">
        <f>IFERROR(MATCH($B$4&amp;"-"&amp;ROWS($A$10:A51),'Product Backlog'!$J$5:$J$504,0),"")</f>
        <v/>
      </c>
    </row>
    <row r="52" spans="1:10" ht="21" customHeight="1" x14ac:dyDescent="0.2">
      <c r="A52" s="46" t="str">
        <f>IF($J52="","",IF(ISBLANK(INDEX('Product Backlog'!$A$5:$A$504,$J52)),"",INDEX('Product Backlog'!$A$5:$A$504,$J52)))</f>
        <v/>
      </c>
      <c r="B52" s="46" t="str">
        <f>IF($J52="","",IF(ISBLANK(INDEX('Product Backlog'!$B$5:$B$504,$J52)),"",INDEX('Product Backlog'!$B$5:$B$504,$J52)))</f>
        <v/>
      </c>
      <c r="C52" s="46" t="str">
        <f>IF($J52="","",IF(ISBLANK(INDEX('Product Backlog'!$C$5:$C$504,$J52)),"",INDEX('Product Backlog'!$C$5:$C$504,$J52)))</f>
        <v/>
      </c>
      <c r="D52" s="46" t="str">
        <f>IF($J52="","",IF(ISBLANK(INDEX('Product Backlog'!$D$5:$D$504,$J52)),"",INDEX('Product Backlog'!$D$5:$D$504,$J52)))</f>
        <v/>
      </c>
      <c r="E52" s="46" t="str">
        <f>IF($J52="","",IF(ISBLANK(INDEX('Product Backlog'!$E$5:$E$504,$J52)),"",INDEX('Product Backlog'!$E$5:$E$504,$J52)))</f>
        <v/>
      </c>
      <c r="F52" s="47" t="str">
        <f>IF($J52="","",IF(ISBLANK(INDEX('Product Backlog'!$F$5:$F$504,$J52)),"",INDEX('Product Backlog'!$F$5:$F$504,$J52)))</f>
        <v/>
      </c>
      <c r="G52" s="47" t="str">
        <f>IF($J52="","",IF(ISBLANK(INDEX('Product Backlog'!$G$5:$G$504,$J52)),"",INDEX('Product Backlog'!$G$5:$G$504,$J52)))</f>
        <v/>
      </c>
      <c r="H52" s="48" t="str">
        <f>IF($J52="","",IF(ISBLANK(INDEX('Product Backlog'!$H$5:$H$504,$J52)),"",INDEX('Product Backlog'!$H$5:$H$504,$J52)))</f>
        <v/>
      </c>
      <c r="I52" s="48" t="str">
        <f>IF($J52="","",IF(ISBLANK(INDEX('Product Backlog'!$I$5:$I$504,$J52)),"",INDEX('Product Backlog'!$I$5:$I$504,$J52)))</f>
        <v/>
      </c>
      <c r="J52" t="str">
        <f>IFERROR(MATCH($B$4&amp;"-"&amp;ROWS($A$10:A52),'Product Backlog'!$J$5:$J$504,0),"")</f>
        <v/>
      </c>
    </row>
    <row r="53" spans="1:10" ht="21" customHeight="1" x14ac:dyDescent="0.2">
      <c r="A53" s="46" t="str">
        <f>IF($J53="","",IF(ISBLANK(INDEX('Product Backlog'!$A$5:$A$504,$J53)),"",INDEX('Product Backlog'!$A$5:$A$504,$J53)))</f>
        <v/>
      </c>
      <c r="B53" s="46" t="str">
        <f>IF($J53="","",IF(ISBLANK(INDEX('Product Backlog'!$B$5:$B$504,$J53)),"",INDEX('Product Backlog'!$B$5:$B$504,$J53)))</f>
        <v/>
      </c>
      <c r="C53" s="46" t="str">
        <f>IF($J53="","",IF(ISBLANK(INDEX('Product Backlog'!$C$5:$C$504,$J53)),"",INDEX('Product Backlog'!$C$5:$C$504,$J53)))</f>
        <v/>
      </c>
      <c r="D53" s="46" t="str">
        <f>IF($J53="","",IF(ISBLANK(INDEX('Product Backlog'!$D$5:$D$504,$J53)),"",INDEX('Product Backlog'!$D$5:$D$504,$J53)))</f>
        <v/>
      </c>
      <c r="E53" s="46" t="str">
        <f>IF($J53="","",IF(ISBLANK(INDEX('Product Backlog'!$E$5:$E$504,$J53)),"",INDEX('Product Backlog'!$E$5:$E$504,$J53)))</f>
        <v/>
      </c>
      <c r="F53" s="47" t="str">
        <f>IF($J53="","",IF(ISBLANK(INDEX('Product Backlog'!$F$5:$F$504,$J53)),"",INDEX('Product Backlog'!$F$5:$F$504,$J53)))</f>
        <v/>
      </c>
      <c r="G53" s="47" t="str">
        <f>IF($J53="","",IF(ISBLANK(INDEX('Product Backlog'!$G$5:$G$504,$J53)),"",INDEX('Product Backlog'!$G$5:$G$504,$J53)))</f>
        <v/>
      </c>
      <c r="H53" s="48" t="str">
        <f>IF($J53="","",IF(ISBLANK(INDEX('Product Backlog'!$H$5:$H$504,$J53)),"",INDEX('Product Backlog'!$H$5:$H$504,$J53)))</f>
        <v/>
      </c>
      <c r="I53" s="48" t="str">
        <f>IF($J53="","",IF(ISBLANK(INDEX('Product Backlog'!$I$5:$I$504,$J53)),"",INDEX('Product Backlog'!$I$5:$I$504,$J53)))</f>
        <v/>
      </c>
      <c r="J53" t="str">
        <f>IFERROR(MATCH($B$4&amp;"-"&amp;ROWS($A$10:A53),'Product Backlog'!$J$5:$J$504,0),"")</f>
        <v/>
      </c>
    </row>
    <row r="54" spans="1:10" ht="21" customHeight="1" x14ac:dyDescent="0.2">
      <c r="A54" s="46" t="str">
        <f>IF($J54="","",IF(ISBLANK(INDEX('Product Backlog'!$A$5:$A$504,$J54)),"",INDEX('Product Backlog'!$A$5:$A$504,$J54)))</f>
        <v/>
      </c>
      <c r="B54" s="46" t="str">
        <f>IF($J54="","",IF(ISBLANK(INDEX('Product Backlog'!$B$5:$B$504,$J54)),"",INDEX('Product Backlog'!$B$5:$B$504,$J54)))</f>
        <v/>
      </c>
      <c r="C54" s="46" t="str">
        <f>IF($J54="","",IF(ISBLANK(INDEX('Product Backlog'!$C$5:$C$504,$J54)),"",INDEX('Product Backlog'!$C$5:$C$504,$J54)))</f>
        <v/>
      </c>
      <c r="D54" s="46" t="str">
        <f>IF($J54="","",IF(ISBLANK(INDEX('Product Backlog'!$D$5:$D$504,$J54)),"",INDEX('Product Backlog'!$D$5:$D$504,$J54)))</f>
        <v/>
      </c>
      <c r="E54" s="46" t="str">
        <f>IF($J54="","",IF(ISBLANK(INDEX('Product Backlog'!$E$5:$E$504,$J54)),"",INDEX('Product Backlog'!$E$5:$E$504,$J54)))</f>
        <v/>
      </c>
      <c r="F54" s="47" t="str">
        <f>IF($J54="","",IF(ISBLANK(INDEX('Product Backlog'!$F$5:$F$504,$J54)),"",INDEX('Product Backlog'!$F$5:$F$504,$J54)))</f>
        <v/>
      </c>
      <c r="G54" s="47" t="str">
        <f>IF($J54="","",IF(ISBLANK(INDEX('Product Backlog'!$G$5:$G$504,$J54)),"",INDEX('Product Backlog'!$G$5:$G$504,$J54)))</f>
        <v/>
      </c>
      <c r="H54" s="48" t="str">
        <f>IF($J54="","",IF(ISBLANK(INDEX('Product Backlog'!$H$5:$H$504,$J54)),"",INDEX('Product Backlog'!$H$5:$H$504,$J54)))</f>
        <v/>
      </c>
      <c r="I54" s="48" t="str">
        <f>IF($J54="","",IF(ISBLANK(INDEX('Product Backlog'!$I$5:$I$504,$J54)),"",INDEX('Product Backlog'!$I$5:$I$504,$J54)))</f>
        <v/>
      </c>
      <c r="J54" t="str">
        <f>IFERROR(MATCH($B$4&amp;"-"&amp;ROWS($A$10:A54),'Product Backlog'!$J$5:$J$504,0),"")</f>
        <v/>
      </c>
    </row>
    <row r="55" spans="1:10" ht="21" customHeight="1" x14ac:dyDescent="0.2">
      <c r="A55" s="46" t="str">
        <f>IF($J55="","",IF(ISBLANK(INDEX('Product Backlog'!$A$5:$A$504,$J55)),"",INDEX('Product Backlog'!$A$5:$A$504,$J55)))</f>
        <v/>
      </c>
      <c r="B55" s="46" t="str">
        <f>IF($J55="","",IF(ISBLANK(INDEX('Product Backlog'!$B$5:$B$504,$J55)),"",INDEX('Product Backlog'!$B$5:$B$504,$J55)))</f>
        <v/>
      </c>
      <c r="C55" s="46" t="str">
        <f>IF($J55="","",IF(ISBLANK(INDEX('Product Backlog'!$C$5:$C$504,$J55)),"",INDEX('Product Backlog'!$C$5:$C$504,$J55)))</f>
        <v/>
      </c>
      <c r="D55" s="46" t="str">
        <f>IF($J55="","",IF(ISBLANK(INDEX('Product Backlog'!$D$5:$D$504,$J55)),"",INDEX('Product Backlog'!$D$5:$D$504,$J55)))</f>
        <v/>
      </c>
      <c r="E55" s="46" t="str">
        <f>IF($J55="","",IF(ISBLANK(INDEX('Product Backlog'!$E$5:$E$504,$J55)),"",INDEX('Product Backlog'!$E$5:$E$504,$J55)))</f>
        <v/>
      </c>
      <c r="F55" s="47" t="str">
        <f>IF($J55="","",IF(ISBLANK(INDEX('Product Backlog'!$F$5:$F$504,$J55)),"",INDEX('Product Backlog'!$F$5:$F$504,$J55)))</f>
        <v/>
      </c>
      <c r="G55" s="47" t="str">
        <f>IF($J55="","",IF(ISBLANK(INDEX('Product Backlog'!$G$5:$G$504,$J55)),"",INDEX('Product Backlog'!$G$5:$G$504,$J55)))</f>
        <v/>
      </c>
      <c r="H55" s="48" t="str">
        <f>IF($J55="","",IF(ISBLANK(INDEX('Product Backlog'!$H$5:$H$504,$J55)),"",INDEX('Product Backlog'!$H$5:$H$504,$J55)))</f>
        <v/>
      </c>
      <c r="I55" s="48" t="str">
        <f>IF($J55="","",IF(ISBLANK(INDEX('Product Backlog'!$I$5:$I$504,$J55)),"",INDEX('Product Backlog'!$I$5:$I$504,$J55)))</f>
        <v/>
      </c>
      <c r="J55" t="str">
        <f>IFERROR(MATCH($B$4&amp;"-"&amp;ROWS($A$10:A55),'Product Backlog'!$J$5:$J$504,0),"")</f>
        <v/>
      </c>
    </row>
    <row r="56" spans="1:10" ht="21" customHeight="1" x14ac:dyDescent="0.2">
      <c r="A56" s="46" t="str">
        <f>IF($J56="","",IF(ISBLANK(INDEX('Product Backlog'!$A$5:$A$504,$J56)),"",INDEX('Product Backlog'!$A$5:$A$504,$J56)))</f>
        <v/>
      </c>
      <c r="B56" s="46" t="str">
        <f>IF($J56="","",IF(ISBLANK(INDEX('Product Backlog'!$B$5:$B$504,$J56)),"",INDEX('Product Backlog'!$B$5:$B$504,$J56)))</f>
        <v/>
      </c>
      <c r="C56" s="46" t="str">
        <f>IF($J56="","",IF(ISBLANK(INDEX('Product Backlog'!$C$5:$C$504,$J56)),"",INDEX('Product Backlog'!$C$5:$C$504,$J56)))</f>
        <v/>
      </c>
      <c r="D56" s="46" t="str">
        <f>IF($J56="","",IF(ISBLANK(INDEX('Product Backlog'!$D$5:$D$504,$J56)),"",INDEX('Product Backlog'!$D$5:$D$504,$J56)))</f>
        <v/>
      </c>
      <c r="E56" s="46" t="str">
        <f>IF($J56="","",IF(ISBLANK(INDEX('Product Backlog'!$E$5:$E$504,$J56)),"",INDEX('Product Backlog'!$E$5:$E$504,$J56)))</f>
        <v/>
      </c>
      <c r="F56" s="47" t="str">
        <f>IF($J56="","",IF(ISBLANK(INDEX('Product Backlog'!$F$5:$F$504,$J56)),"",INDEX('Product Backlog'!$F$5:$F$504,$J56)))</f>
        <v/>
      </c>
      <c r="G56" s="47" t="str">
        <f>IF($J56="","",IF(ISBLANK(INDEX('Product Backlog'!$G$5:$G$504,$J56)),"",INDEX('Product Backlog'!$G$5:$G$504,$J56)))</f>
        <v/>
      </c>
      <c r="H56" s="48" t="str">
        <f>IF($J56="","",IF(ISBLANK(INDEX('Product Backlog'!$H$5:$H$504,$J56)),"",INDEX('Product Backlog'!$H$5:$H$504,$J56)))</f>
        <v/>
      </c>
      <c r="I56" s="48" t="str">
        <f>IF($J56="","",IF(ISBLANK(INDEX('Product Backlog'!$I$5:$I$504,$J56)),"",INDEX('Product Backlog'!$I$5:$I$504,$J56)))</f>
        <v/>
      </c>
      <c r="J56" t="str">
        <f>IFERROR(MATCH($B$4&amp;"-"&amp;ROWS($A$10:A56),'Product Backlog'!$J$5:$J$504,0),"")</f>
        <v/>
      </c>
    </row>
    <row r="57" spans="1:10" ht="21" customHeight="1" x14ac:dyDescent="0.2">
      <c r="A57" s="46" t="str">
        <f>IF($J57="","",IF(ISBLANK(INDEX('Product Backlog'!$A$5:$A$504,$J57)),"",INDEX('Product Backlog'!$A$5:$A$504,$J57)))</f>
        <v/>
      </c>
      <c r="B57" s="46" t="str">
        <f>IF($J57="","",IF(ISBLANK(INDEX('Product Backlog'!$B$5:$B$504,$J57)),"",INDEX('Product Backlog'!$B$5:$B$504,$J57)))</f>
        <v/>
      </c>
      <c r="C57" s="46" t="str">
        <f>IF($J57="","",IF(ISBLANK(INDEX('Product Backlog'!$C$5:$C$504,$J57)),"",INDEX('Product Backlog'!$C$5:$C$504,$J57)))</f>
        <v/>
      </c>
      <c r="D57" s="46" t="str">
        <f>IF($J57="","",IF(ISBLANK(INDEX('Product Backlog'!$D$5:$D$504,$J57)),"",INDEX('Product Backlog'!$D$5:$D$504,$J57)))</f>
        <v/>
      </c>
      <c r="E57" s="46" t="str">
        <f>IF($J57="","",IF(ISBLANK(INDEX('Product Backlog'!$E$5:$E$504,$J57)),"",INDEX('Product Backlog'!$E$5:$E$504,$J57)))</f>
        <v/>
      </c>
      <c r="F57" s="47" t="str">
        <f>IF($J57="","",IF(ISBLANK(INDEX('Product Backlog'!$F$5:$F$504,$J57)),"",INDEX('Product Backlog'!$F$5:$F$504,$J57)))</f>
        <v/>
      </c>
      <c r="G57" s="47" t="str">
        <f>IF($J57="","",IF(ISBLANK(INDEX('Product Backlog'!$G$5:$G$504,$J57)),"",INDEX('Product Backlog'!$G$5:$G$504,$J57)))</f>
        <v/>
      </c>
      <c r="H57" s="48" t="str">
        <f>IF($J57="","",IF(ISBLANK(INDEX('Product Backlog'!$H$5:$H$504,$J57)),"",INDEX('Product Backlog'!$H$5:$H$504,$J57)))</f>
        <v/>
      </c>
      <c r="I57" s="48" t="str">
        <f>IF($J57="","",IF(ISBLANK(INDEX('Product Backlog'!$I$5:$I$504,$J57)),"",INDEX('Product Backlog'!$I$5:$I$504,$J57)))</f>
        <v/>
      </c>
      <c r="J57" t="str">
        <f>IFERROR(MATCH($B$4&amp;"-"&amp;ROWS($A$10:A57),'Product Backlog'!$J$5:$J$504,0),"")</f>
        <v/>
      </c>
    </row>
    <row r="58" spans="1:10" ht="21" customHeight="1" x14ac:dyDescent="0.2">
      <c r="A58" s="46" t="str">
        <f>IF($J58="","",IF(ISBLANK(INDEX('Product Backlog'!$A$5:$A$504,$J58)),"",INDEX('Product Backlog'!$A$5:$A$504,$J58)))</f>
        <v/>
      </c>
      <c r="B58" s="46" t="str">
        <f>IF($J58="","",IF(ISBLANK(INDEX('Product Backlog'!$B$5:$B$504,$J58)),"",INDEX('Product Backlog'!$B$5:$B$504,$J58)))</f>
        <v/>
      </c>
      <c r="C58" s="46" t="str">
        <f>IF($J58="","",IF(ISBLANK(INDEX('Product Backlog'!$C$5:$C$504,$J58)),"",INDEX('Product Backlog'!$C$5:$C$504,$J58)))</f>
        <v/>
      </c>
      <c r="D58" s="46" t="str">
        <f>IF($J58="","",IF(ISBLANK(INDEX('Product Backlog'!$D$5:$D$504,$J58)),"",INDEX('Product Backlog'!$D$5:$D$504,$J58)))</f>
        <v/>
      </c>
      <c r="E58" s="46" t="str">
        <f>IF($J58="","",IF(ISBLANK(INDEX('Product Backlog'!$E$5:$E$504,$J58)),"",INDEX('Product Backlog'!$E$5:$E$504,$J58)))</f>
        <v/>
      </c>
      <c r="F58" s="47" t="str">
        <f>IF($J58="","",IF(ISBLANK(INDEX('Product Backlog'!$F$5:$F$504,$J58)),"",INDEX('Product Backlog'!$F$5:$F$504,$J58)))</f>
        <v/>
      </c>
      <c r="G58" s="47" t="str">
        <f>IF($J58="","",IF(ISBLANK(INDEX('Product Backlog'!$G$5:$G$504,$J58)),"",INDEX('Product Backlog'!$G$5:$G$504,$J58)))</f>
        <v/>
      </c>
      <c r="H58" s="48" t="str">
        <f>IF($J58="","",IF(ISBLANK(INDEX('Product Backlog'!$H$5:$H$504,$J58)),"",INDEX('Product Backlog'!$H$5:$H$504,$J58)))</f>
        <v/>
      </c>
      <c r="I58" s="48" t="str">
        <f>IF($J58="","",IF(ISBLANK(INDEX('Product Backlog'!$I$5:$I$504,$J58)),"",INDEX('Product Backlog'!$I$5:$I$504,$J58)))</f>
        <v/>
      </c>
      <c r="J58" t="str">
        <f>IFERROR(MATCH($B$4&amp;"-"&amp;ROWS($A$10:A58),'Product Backlog'!$J$5:$J$504,0),"")</f>
        <v/>
      </c>
    </row>
    <row r="59" spans="1:10" ht="21" customHeight="1" x14ac:dyDescent="0.2">
      <c r="A59" s="46" t="str">
        <f>IF($J59="","",IF(ISBLANK(INDEX('Product Backlog'!$A$5:$A$504,$J59)),"",INDEX('Product Backlog'!$A$5:$A$504,$J59)))</f>
        <v/>
      </c>
      <c r="B59" s="46" t="str">
        <f>IF($J59="","",IF(ISBLANK(INDEX('Product Backlog'!$B$5:$B$504,$J59)),"",INDEX('Product Backlog'!$B$5:$B$504,$J59)))</f>
        <v/>
      </c>
      <c r="C59" s="46" t="str">
        <f>IF($J59="","",IF(ISBLANK(INDEX('Product Backlog'!$C$5:$C$504,$J59)),"",INDEX('Product Backlog'!$C$5:$C$504,$J59)))</f>
        <v/>
      </c>
      <c r="D59" s="46" t="str">
        <f>IF($J59="","",IF(ISBLANK(INDEX('Product Backlog'!$D$5:$D$504,$J59)),"",INDEX('Product Backlog'!$D$5:$D$504,$J59)))</f>
        <v/>
      </c>
      <c r="E59" s="46" t="str">
        <f>IF($J59="","",IF(ISBLANK(INDEX('Product Backlog'!$E$5:$E$504,$J59)),"",INDEX('Product Backlog'!$E$5:$E$504,$J59)))</f>
        <v/>
      </c>
      <c r="F59" s="47" t="str">
        <f>IF($J59="","",IF(ISBLANK(INDEX('Product Backlog'!$F$5:$F$504,$J59)),"",INDEX('Product Backlog'!$F$5:$F$504,$J59)))</f>
        <v/>
      </c>
      <c r="G59" s="47" t="str">
        <f>IF($J59="","",IF(ISBLANK(INDEX('Product Backlog'!$G$5:$G$504,$J59)),"",INDEX('Product Backlog'!$G$5:$G$504,$J59)))</f>
        <v/>
      </c>
      <c r="H59" s="48" t="str">
        <f>IF($J59="","",IF(ISBLANK(INDEX('Product Backlog'!$H$5:$H$504,$J59)),"",INDEX('Product Backlog'!$H$5:$H$504,$J59)))</f>
        <v/>
      </c>
      <c r="I59" s="48" t="str">
        <f>IF($J59="","",IF(ISBLANK(INDEX('Product Backlog'!$I$5:$I$504,$J59)),"",INDEX('Product Backlog'!$I$5:$I$504,$J59)))</f>
        <v/>
      </c>
      <c r="J59" t="str">
        <f>IFERROR(MATCH($B$4&amp;"-"&amp;ROWS($A$10:A59),'Product Backlog'!$J$5:$J$504,0),"")</f>
        <v/>
      </c>
    </row>
    <row r="60" spans="1:10" ht="21" customHeight="1" x14ac:dyDescent="0.2">
      <c r="A60" s="46" t="str">
        <f>IF($J60="","",IF(ISBLANK(INDEX('Product Backlog'!$A$5:$A$504,$J60)),"",INDEX('Product Backlog'!$A$5:$A$504,$J60)))</f>
        <v/>
      </c>
      <c r="B60" s="46" t="str">
        <f>IF($J60="","",IF(ISBLANK(INDEX('Product Backlog'!$B$5:$B$504,$J60)),"",INDEX('Product Backlog'!$B$5:$B$504,$J60)))</f>
        <v/>
      </c>
      <c r="C60" s="46" t="str">
        <f>IF($J60="","",IF(ISBLANK(INDEX('Product Backlog'!$C$5:$C$504,$J60)),"",INDEX('Product Backlog'!$C$5:$C$504,$J60)))</f>
        <v/>
      </c>
      <c r="D60" s="46" t="str">
        <f>IF($J60="","",IF(ISBLANK(INDEX('Product Backlog'!$D$5:$D$504,$J60)),"",INDEX('Product Backlog'!$D$5:$D$504,$J60)))</f>
        <v/>
      </c>
      <c r="E60" s="46" t="str">
        <f>IF($J60="","",IF(ISBLANK(INDEX('Product Backlog'!$E$5:$E$504,$J60)),"",INDEX('Product Backlog'!$E$5:$E$504,$J60)))</f>
        <v/>
      </c>
      <c r="F60" s="47" t="str">
        <f>IF($J60="","",IF(ISBLANK(INDEX('Product Backlog'!$F$5:$F$504,$J60)),"",INDEX('Product Backlog'!$F$5:$F$504,$J60)))</f>
        <v/>
      </c>
      <c r="G60" s="47" t="str">
        <f>IF($J60="","",IF(ISBLANK(INDEX('Product Backlog'!$G$5:$G$504,$J60)),"",INDEX('Product Backlog'!$G$5:$G$504,$J60)))</f>
        <v/>
      </c>
      <c r="H60" s="48" t="str">
        <f>IF($J60="","",IF(ISBLANK(INDEX('Product Backlog'!$H$5:$H$504,$J60)),"",INDEX('Product Backlog'!$H$5:$H$504,$J60)))</f>
        <v/>
      </c>
      <c r="I60" s="48" t="str">
        <f>IF($J60="","",IF(ISBLANK(INDEX('Product Backlog'!$I$5:$I$504,$J60)),"",INDEX('Product Backlog'!$I$5:$I$504,$J60)))</f>
        <v/>
      </c>
      <c r="J60" t="str">
        <f>IFERROR(MATCH($B$4&amp;"-"&amp;ROWS($A$10:A60),'Product Backlog'!$J$5:$J$504,0),"")</f>
        <v/>
      </c>
    </row>
    <row r="61" spans="1:10" ht="21" customHeight="1" x14ac:dyDescent="0.2">
      <c r="A61" s="46" t="str">
        <f>IF($J61="","",IF(ISBLANK(INDEX('Product Backlog'!$A$5:$A$504,$J61)),"",INDEX('Product Backlog'!$A$5:$A$504,$J61)))</f>
        <v/>
      </c>
      <c r="B61" s="46" t="str">
        <f>IF($J61="","",IF(ISBLANK(INDEX('Product Backlog'!$B$5:$B$504,$J61)),"",INDEX('Product Backlog'!$B$5:$B$504,$J61)))</f>
        <v/>
      </c>
      <c r="C61" s="46" t="str">
        <f>IF($J61="","",IF(ISBLANK(INDEX('Product Backlog'!$C$5:$C$504,$J61)),"",INDEX('Product Backlog'!$C$5:$C$504,$J61)))</f>
        <v/>
      </c>
      <c r="D61" s="46" t="str">
        <f>IF($J61="","",IF(ISBLANK(INDEX('Product Backlog'!$D$5:$D$504,$J61)),"",INDEX('Product Backlog'!$D$5:$D$504,$J61)))</f>
        <v/>
      </c>
      <c r="E61" s="46" t="str">
        <f>IF($J61="","",IF(ISBLANK(INDEX('Product Backlog'!$E$5:$E$504,$J61)),"",INDEX('Product Backlog'!$E$5:$E$504,$J61)))</f>
        <v/>
      </c>
      <c r="F61" s="47" t="str">
        <f>IF($J61="","",IF(ISBLANK(INDEX('Product Backlog'!$F$5:$F$504,$J61)),"",INDEX('Product Backlog'!$F$5:$F$504,$J61)))</f>
        <v/>
      </c>
      <c r="G61" s="47" t="str">
        <f>IF($J61="","",IF(ISBLANK(INDEX('Product Backlog'!$G$5:$G$504,$J61)),"",INDEX('Product Backlog'!$G$5:$G$504,$J61)))</f>
        <v/>
      </c>
      <c r="H61" s="48" t="str">
        <f>IF($J61="","",IF(ISBLANK(INDEX('Product Backlog'!$H$5:$H$504,$J61)),"",INDEX('Product Backlog'!$H$5:$H$504,$J61)))</f>
        <v/>
      </c>
      <c r="I61" s="48" t="str">
        <f>IF($J61="","",IF(ISBLANK(INDEX('Product Backlog'!$I$5:$I$504,$J61)),"",INDEX('Product Backlog'!$I$5:$I$504,$J61)))</f>
        <v/>
      </c>
      <c r="J61" t="str">
        <f>IFERROR(MATCH($B$4&amp;"-"&amp;ROWS($A$10:A61),'Product Backlog'!$J$5:$J$504,0),"")</f>
        <v/>
      </c>
    </row>
    <row r="62" spans="1:10" ht="21" customHeight="1" x14ac:dyDescent="0.2">
      <c r="A62" s="46" t="str">
        <f>IF($J62="","",IF(ISBLANK(INDEX('Product Backlog'!$A$5:$A$504,$J62)),"",INDEX('Product Backlog'!$A$5:$A$504,$J62)))</f>
        <v/>
      </c>
      <c r="B62" s="46" t="str">
        <f>IF($J62="","",IF(ISBLANK(INDEX('Product Backlog'!$B$5:$B$504,$J62)),"",INDEX('Product Backlog'!$B$5:$B$504,$J62)))</f>
        <v/>
      </c>
      <c r="C62" s="46" t="str">
        <f>IF($J62="","",IF(ISBLANK(INDEX('Product Backlog'!$C$5:$C$504,$J62)),"",INDEX('Product Backlog'!$C$5:$C$504,$J62)))</f>
        <v/>
      </c>
      <c r="D62" s="46" t="str">
        <f>IF($J62="","",IF(ISBLANK(INDEX('Product Backlog'!$D$5:$D$504,$J62)),"",INDEX('Product Backlog'!$D$5:$D$504,$J62)))</f>
        <v/>
      </c>
      <c r="E62" s="46" t="str">
        <f>IF($J62="","",IF(ISBLANK(INDEX('Product Backlog'!$E$5:$E$504,$J62)),"",INDEX('Product Backlog'!$E$5:$E$504,$J62)))</f>
        <v/>
      </c>
      <c r="F62" s="47" t="str">
        <f>IF($J62="","",IF(ISBLANK(INDEX('Product Backlog'!$F$5:$F$504,$J62)),"",INDEX('Product Backlog'!$F$5:$F$504,$J62)))</f>
        <v/>
      </c>
      <c r="G62" s="47" t="str">
        <f>IF($J62="","",IF(ISBLANK(INDEX('Product Backlog'!$G$5:$G$504,$J62)),"",INDEX('Product Backlog'!$G$5:$G$504,$J62)))</f>
        <v/>
      </c>
      <c r="H62" s="48" t="str">
        <f>IF($J62="","",IF(ISBLANK(INDEX('Product Backlog'!$H$5:$H$504,$J62)),"",INDEX('Product Backlog'!$H$5:$H$504,$J62)))</f>
        <v/>
      </c>
      <c r="I62" s="48" t="str">
        <f>IF($J62="","",IF(ISBLANK(INDEX('Product Backlog'!$I$5:$I$504,$J62)),"",INDEX('Product Backlog'!$I$5:$I$504,$J62)))</f>
        <v/>
      </c>
      <c r="J62" t="str">
        <f>IFERROR(MATCH($B$4&amp;"-"&amp;ROWS($A$10:A62),'Product Backlog'!$J$5:$J$504,0),"")</f>
        <v/>
      </c>
    </row>
    <row r="63" spans="1:10" ht="21" customHeight="1" x14ac:dyDescent="0.2">
      <c r="A63" s="46" t="str">
        <f>IF($J63="","",IF(ISBLANK(INDEX('Product Backlog'!$A$5:$A$504,$J63)),"",INDEX('Product Backlog'!$A$5:$A$504,$J63)))</f>
        <v/>
      </c>
      <c r="B63" s="46" t="str">
        <f>IF($J63="","",IF(ISBLANK(INDEX('Product Backlog'!$B$5:$B$504,$J63)),"",INDEX('Product Backlog'!$B$5:$B$504,$J63)))</f>
        <v/>
      </c>
      <c r="C63" s="46" t="str">
        <f>IF($J63="","",IF(ISBLANK(INDEX('Product Backlog'!$C$5:$C$504,$J63)),"",INDEX('Product Backlog'!$C$5:$C$504,$J63)))</f>
        <v/>
      </c>
      <c r="D63" s="46" t="str">
        <f>IF($J63="","",IF(ISBLANK(INDEX('Product Backlog'!$D$5:$D$504,$J63)),"",INDEX('Product Backlog'!$D$5:$D$504,$J63)))</f>
        <v/>
      </c>
      <c r="E63" s="46" t="str">
        <f>IF($J63="","",IF(ISBLANK(INDEX('Product Backlog'!$E$5:$E$504,$J63)),"",INDEX('Product Backlog'!$E$5:$E$504,$J63)))</f>
        <v/>
      </c>
      <c r="F63" s="47" t="str">
        <f>IF($J63="","",IF(ISBLANK(INDEX('Product Backlog'!$F$5:$F$504,$J63)),"",INDEX('Product Backlog'!$F$5:$F$504,$J63)))</f>
        <v/>
      </c>
      <c r="G63" s="47" t="str">
        <f>IF($J63="","",IF(ISBLANK(INDEX('Product Backlog'!$G$5:$G$504,$J63)),"",INDEX('Product Backlog'!$G$5:$G$504,$J63)))</f>
        <v/>
      </c>
      <c r="H63" s="48" t="str">
        <f>IF($J63="","",IF(ISBLANK(INDEX('Product Backlog'!$H$5:$H$504,$J63)),"",INDEX('Product Backlog'!$H$5:$H$504,$J63)))</f>
        <v/>
      </c>
      <c r="I63" s="48" t="str">
        <f>IF($J63="","",IF(ISBLANK(INDEX('Product Backlog'!$I$5:$I$504,$J63)),"",INDEX('Product Backlog'!$I$5:$I$504,$J63)))</f>
        <v/>
      </c>
      <c r="J63" t="str">
        <f>IFERROR(MATCH($B$4&amp;"-"&amp;ROWS($A$10:A63),'Product Backlog'!$J$5:$J$504,0),"")</f>
        <v/>
      </c>
    </row>
    <row r="64" spans="1:10" ht="21" customHeight="1" x14ac:dyDescent="0.2">
      <c r="A64" s="46" t="str">
        <f>IF($J64="","",IF(ISBLANK(INDEX('Product Backlog'!$A$5:$A$504,$J64)),"",INDEX('Product Backlog'!$A$5:$A$504,$J64)))</f>
        <v/>
      </c>
      <c r="B64" s="46" t="str">
        <f>IF($J64="","",IF(ISBLANK(INDEX('Product Backlog'!$B$5:$B$504,$J64)),"",INDEX('Product Backlog'!$B$5:$B$504,$J64)))</f>
        <v/>
      </c>
      <c r="C64" s="46" t="str">
        <f>IF($J64="","",IF(ISBLANK(INDEX('Product Backlog'!$C$5:$C$504,$J64)),"",INDEX('Product Backlog'!$C$5:$C$504,$J64)))</f>
        <v/>
      </c>
      <c r="D64" s="46" t="str">
        <f>IF($J64="","",IF(ISBLANK(INDEX('Product Backlog'!$D$5:$D$504,$J64)),"",INDEX('Product Backlog'!$D$5:$D$504,$J64)))</f>
        <v/>
      </c>
      <c r="E64" s="46" t="str">
        <f>IF($J64="","",IF(ISBLANK(INDEX('Product Backlog'!$E$5:$E$504,$J64)),"",INDEX('Product Backlog'!$E$5:$E$504,$J64)))</f>
        <v/>
      </c>
      <c r="F64" s="47" t="str">
        <f>IF($J64="","",IF(ISBLANK(INDEX('Product Backlog'!$F$5:$F$504,$J64)),"",INDEX('Product Backlog'!$F$5:$F$504,$J64)))</f>
        <v/>
      </c>
      <c r="G64" s="47" t="str">
        <f>IF($J64="","",IF(ISBLANK(INDEX('Product Backlog'!$G$5:$G$504,$J64)),"",INDEX('Product Backlog'!$G$5:$G$504,$J64)))</f>
        <v/>
      </c>
      <c r="H64" s="48" t="str">
        <f>IF($J64="","",IF(ISBLANK(INDEX('Product Backlog'!$H$5:$H$504,$J64)),"",INDEX('Product Backlog'!$H$5:$H$504,$J64)))</f>
        <v/>
      </c>
      <c r="I64" s="48" t="str">
        <f>IF($J64="","",IF(ISBLANK(INDEX('Product Backlog'!$I$5:$I$504,$J64)),"",INDEX('Product Backlog'!$I$5:$I$504,$J64)))</f>
        <v/>
      </c>
      <c r="J64" t="str">
        <f>IFERROR(MATCH($B$4&amp;"-"&amp;ROWS($A$10:A64),'Product Backlog'!$J$5:$J$504,0),"")</f>
        <v/>
      </c>
    </row>
    <row r="65" spans="1:10" ht="21" customHeight="1" x14ac:dyDescent="0.2">
      <c r="A65" s="46" t="str">
        <f>IF($J65="","",IF(ISBLANK(INDEX('Product Backlog'!$A$5:$A$504,$J65)),"",INDEX('Product Backlog'!$A$5:$A$504,$J65)))</f>
        <v/>
      </c>
      <c r="B65" s="46" t="str">
        <f>IF($J65="","",IF(ISBLANK(INDEX('Product Backlog'!$B$5:$B$504,$J65)),"",INDEX('Product Backlog'!$B$5:$B$504,$J65)))</f>
        <v/>
      </c>
      <c r="C65" s="46" t="str">
        <f>IF($J65="","",IF(ISBLANK(INDEX('Product Backlog'!$C$5:$C$504,$J65)),"",INDEX('Product Backlog'!$C$5:$C$504,$J65)))</f>
        <v/>
      </c>
      <c r="D65" s="46" t="str">
        <f>IF($J65="","",IF(ISBLANK(INDEX('Product Backlog'!$D$5:$D$504,$J65)),"",INDEX('Product Backlog'!$D$5:$D$504,$J65)))</f>
        <v/>
      </c>
      <c r="E65" s="46" t="str">
        <f>IF($J65="","",IF(ISBLANK(INDEX('Product Backlog'!$E$5:$E$504,$J65)),"",INDEX('Product Backlog'!$E$5:$E$504,$J65)))</f>
        <v/>
      </c>
      <c r="F65" s="47" t="str">
        <f>IF($J65="","",IF(ISBLANK(INDEX('Product Backlog'!$F$5:$F$504,$J65)),"",INDEX('Product Backlog'!$F$5:$F$504,$J65)))</f>
        <v/>
      </c>
      <c r="G65" s="47" t="str">
        <f>IF($J65="","",IF(ISBLANK(INDEX('Product Backlog'!$G$5:$G$504,$J65)),"",INDEX('Product Backlog'!$G$5:$G$504,$J65)))</f>
        <v/>
      </c>
      <c r="H65" s="48" t="str">
        <f>IF($J65="","",IF(ISBLANK(INDEX('Product Backlog'!$H$5:$H$504,$J65)),"",INDEX('Product Backlog'!$H$5:$H$504,$J65)))</f>
        <v/>
      </c>
      <c r="I65" s="48" t="str">
        <f>IF($J65="","",IF(ISBLANK(INDEX('Product Backlog'!$I$5:$I$504,$J65)),"",INDEX('Product Backlog'!$I$5:$I$504,$J65)))</f>
        <v/>
      </c>
      <c r="J65" t="str">
        <f>IFERROR(MATCH($B$4&amp;"-"&amp;ROWS($A$10:A65),'Product Backlog'!$J$5:$J$504,0),"")</f>
        <v/>
      </c>
    </row>
    <row r="66" spans="1:10" ht="21" customHeight="1" x14ac:dyDescent="0.2">
      <c r="A66" s="46" t="str">
        <f>IF($J66="","",IF(ISBLANK(INDEX('Product Backlog'!$A$5:$A$504,$J66)),"",INDEX('Product Backlog'!$A$5:$A$504,$J66)))</f>
        <v/>
      </c>
      <c r="B66" s="46" t="str">
        <f>IF($J66="","",IF(ISBLANK(INDEX('Product Backlog'!$B$5:$B$504,$J66)),"",INDEX('Product Backlog'!$B$5:$B$504,$J66)))</f>
        <v/>
      </c>
      <c r="C66" s="46" t="str">
        <f>IF($J66="","",IF(ISBLANK(INDEX('Product Backlog'!$C$5:$C$504,$J66)),"",INDEX('Product Backlog'!$C$5:$C$504,$J66)))</f>
        <v/>
      </c>
      <c r="D66" s="46" t="str">
        <f>IF($J66="","",IF(ISBLANK(INDEX('Product Backlog'!$D$5:$D$504,$J66)),"",INDEX('Product Backlog'!$D$5:$D$504,$J66)))</f>
        <v/>
      </c>
      <c r="E66" s="46" t="str">
        <f>IF($J66="","",IF(ISBLANK(INDEX('Product Backlog'!$E$5:$E$504,$J66)),"",INDEX('Product Backlog'!$E$5:$E$504,$J66)))</f>
        <v/>
      </c>
      <c r="F66" s="47" t="str">
        <f>IF($J66="","",IF(ISBLANK(INDEX('Product Backlog'!$F$5:$F$504,$J66)),"",INDEX('Product Backlog'!$F$5:$F$504,$J66)))</f>
        <v/>
      </c>
      <c r="G66" s="47" t="str">
        <f>IF($J66="","",IF(ISBLANK(INDEX('Product Backlog'!$G$5:$G$504,$J66)),"",INDEX('Product Backlog'!$G$5:$G$504,$J66)))</f>
        <v/>
      </c>
      <c r="H66" s="48" t="str">
        <f>IF($J66="","",IF(ISBLANK(INDEX('Product Backlog'!$H$5:$H$504,$J66)),"",INDEX('Product Backlog'!$H$5:$H$504,$J66)))</f>
        <v/>
      </c>
      <c r="I66" s="48" t="str">
        <f>IF($J66="","",IF(ISBLANK(INDEX('Product Backlog'!$I$5:$I$504,$J66)),"",INDEX('Product Backlog'!$I$5:$I$504,$J66)))</f>
        <v/>
      </c>
      <c r="J66" t="str">
        <f>IFERROR(MATCH($B$4&amp;"-"&amp;ROWS($A$10:A66),'Product Backlog'!$J$5:$J$504,0),"")</f>
        <v/>
      </c>
    </row>
    <row r="67" spans="1:10" ht="21" customHeight="1" x14ac:dyDescent="0.2">
      <c r="A67" s="46" t="str">
        <f>IF($J67="","",IF(ISBLANK(INDEX('Product Backlog'!$A$5:$A$504,$J67)),"",INDEX('Product Backlog'!$A$5:$A$504,$J67)))</f>
        <v/>
      </c>
      <c r="B67" s="46" t="str">
        <f>IF($J67="","",IF(ISBLANK(INDEX('Product Backlog'!$B$5:$B$504,$J67)),"",INDEX('Product Backlog'!$B$5:$B$504,$J67)))</f>
        <v/>
      </c>
      <c r="C67" s="46" t="str">
        <f>IF($J67="","",IF(ISBLANK(INDEX('Product Backlog'!$C$5:$C$504,$J67)),"",INDEX('Product Backlog'!$C$5:$C$504,$J67)))</f>
        <v/>
      </c>
      <c r="D67" s="46" t="str">
        <f>IF($J67="","",IF(ISBLANK(INDEX('Product Backlog'!$D$5:$D$504,$J67)),"",INDEX('Product Backlog'!$D$5:$D$504,$J67)))</f>
        <v/>
      </c>
      <c r="E67" s="46" t="str">
        <f>IF($J67="","",IF(ISBLANK(INDEX('Product Backlog'!$E$5:$E$504,$J67)),"",INDEX('Product Backlog'!$E$5:$E$504,$J67)))</f>
        <v/>
      </c>
      <c r="F67" s="47" t="str">
        <f>IF($J67="","",IF(ISBLANK(INDEX('Product Backlog'!$F$5:$F$504,$J67)),"",INDEX('Product Backlog'!$F$5:$F$504,$J67)))</f>
        <v/>
      </c>
      <c r="G67" s="47" t="str">
        <f>IF($J67="","",IF(ISBLANK(INDEX('Product Backlog'!$G$5:$G$504,$J67)),"",INDEX('Product Backlog'!$G$5:$G$504,$J67)))</f>
        <v/>
      </c>
      <c r="H67" s="48" t="str">
        <f>IF($J67="","",IF(ISBLANK(INDEX('Product Backlog'!$H$5:$H$504,$J67)),"",INDEX('Product Backlog'!$H$5:$H$504,$J67)))</f>
        <v/>
      </c>
      <c r="I67" s="48" t="str">
        <f>IF($J67="","",IF(ISBLANK(INDEX('Product Backlog'!$I$5:$I$504,$J67)),"",INDEX('Product Backlog'!$I$5:$I$504,$J67)))</f>
        <v/>
      </c>
      <c r="J67" t="str">
        <f>IFERROR(MATCH($B$4&amp;"-"&amp;ROWS($A$10:A67),'Product Backlog'!$J$5:$J$504,0),"")</f>
        <v/>
      </c>
    </row>
    <row r="68" spans="1:10" ht="21" customHeight="1" x14ac:dyDescent="0.2">
      <c r="A68" s="46" t="str">
        <f>IF($J68="","",IF(ISBLANK(INDEX('Product Backlog'!$A$5:$A$504,$J68)),"",INDEX('Product Backlog'!$A$5:$A$504,$J68)))</f>
        <v/>
      </c>
      <c r="B68" s="46" t="str">
        <f>IF($J68="","",IF(ISBLANK(INDEX('Product Backlog'!$B$5:$B$504,$J68)),"",INDEX('Product Backlog'!$B$5:$B$504,$J68)))</f>
        <v/>
      </c>
      <c r="C68" s="46" t="str">
        <f>IF($J68="","",IF(ISBLANK(INDEX('Product Backlog'!$C$5:$C$504,$J68)),"",INDEX('Product Backlog'!$C$5:$C$504,$J68)))</f>
        <v/>
      </c>
      <c r="D68" s="46" t="str">
        <f>IF($J68="","",IF(ISBLANK(INDEX('Product Backlog'!$D$5:$D$504,$J68)),"",INDEX('Product Backlog'!$D$5:$D$504,$J68)))</f>
        <v/>
      </c>
      <c r="E68" s="46" t="str">
        <f>IF($J68="","",IF(ISBLANK(INDEX('Product Backlog'!$E$5:$E$504,$J68)),"",INDEX('Product Backlog'!$E$5:$E$504,$J68)))</f>
        <v/>
      </c>
      <c r="F68" s="47" t="str">
        <f>IF($J68="","",IF(ISBLANK(INDEX('Product Backlog'!$F$5:$F$504,$J68)),"",INDEX('Product Backlog'!$F$5:$F$504,$J68)))</f>
        <v/>
      </c>
      <c r="G68" s="47" t="str">
        <f>IF($J68="","",IF(ISBLANK(INDEX('Product Backlog'!$G$5:$G$504,$J68)),"",INDEX('Product Backlog'!$G$5:$G$504,$J68)))</f>
        <v/>
      </c>
      <c r="H68" s="48" t="str">
        <f>IF($J68="","",IF(ISBLANK(INDEX('Product Backlog'!$H$5:$H$504,$J68)),"",INDEX('Product Backlog'!$H$5:$H$504,$J68)))</f>
        <v/>
      </c>
      <c r="I68" s="48" t="str">
        <f>IF($J68="","",IF(ISBLANK(INDEX('Product Backlog'!$I$5:$I$504,$J68)),"",INDEX('Product Backlog'!$I$5:$I$504,$J68)))</f>
        <v/>
      </c>
      <c r="J68" t="str">
        <f>IFERROR(MATCH($B$4&amp;"-"&amp;ROWS($A$10:A68),'Product Backlog'!$J$5:$J$504,0),"")</f>
        <v/>
      </c>
    </row>
    <row r="69" spans="1:10" ht="21" customHeight="1" x14ac:dyDescent="0.2">
      <c r="A69" s="46" t="str">
        <f>IF($J69="","",IF(ISBLANK(INDEX('Product Backlog'!$A$5:$A$504,$J69)),"",INDEX('Product Backlog'!$A$5:$A$504,$J69)))</f>
        <v/>
      </c>
      <c r="B69" s="46" t="str">
        <f>IF($J69="","",IF(ISBLANK(INDEX('Product Backlog'!$B$5:$B$504,$J69)),"",INDEX('Product Backlog'!$B$5:$B$504,$J69)))</f>
        <v/>
      </c>
      <c r="C69" s="46" t="str">
        <f>IF($J69="","",IF(ISBLANK(INDEX('Product Backlog'!$C$5:$C$504,$J69)),"",INDEX('Product Backlog'!$C$5:$C$504,$J69)))</f>
        <v/>
      </c>
      <c r="D69" s="46" t="str">
        <f>IF($J69="","",IF(ISBLANK(INDEX('Product Backlog'!$D$5:$D$504,$J69)),"",INDEX('Product Backlog'!$D$5:$D$504,$J69)))</f>
        <v/>
      </c>
      <c r="E69" s="46" t="str">
        <f>IF($J69="","",IF(ISBLANK(INDEX('Product Backlog'!$E$5:$E$504,$J69)),"",INDEX('Product Backlog'!$E$5:$E$504,$J69)))</f>
        <v/>
      </c>
      <c r="F69" s="47" t="str">
        <f>IF($J69="","",IF(ISBLANK(INDEX('Product Backlog'!$F$5:$F$504,$J69)),"",INDEX('Product Backlog'!$F$5:$F$504,$J69)))</f>
        <v/>
      </c>
      <c r="G69" s="47" t="str">
        <f>IF($J69="","",IF(ISBLANK(INDEX('Product Backlog'!$G$5:$G$504,$J69)),"",INDEX('Product Backlog'!$G$5:$G$504,$J69)))</f>
        <v/>
      </c>
      <c r="H69" s="48" t="str">
        <f>IF($J69="","",IF(ISBLANK(INDEX('Product Backlog'!$H$5:$H$504,$J69)),"",INDEX('Product Backlog'!$H$5:$H$504,$J69)))</f>
        <v/>
      </c>
      <c r="I69" s="48" t="str">
        <f>IF($J69="","",IF(ISBLANK(INDEX('Product Backlog'!$I$5:$I$504,$J69)),"",INDEX('Product Backlog'!$I$5:$I$504,$J69)))</f>
        <v/>
      </c>
      <c r="J69" t="str">
        <f>IFERROR(MATCH($B$4&amp;"-"&amp;ROWS($A$10:A69),'Product Backlog'!$J$5:$J$504,0),"")</f>
        <v/>
      </c>
    </row>
    <row r="70" spans="1:10" ht="21" customHeight="1" x14ac:dyDescent="0.2">
      <c r="A70" s="46" t="str">
        <f>IF($J70="","",IF(ISBLANK(INDEX('Product Backlog'!$A$5:$A$504,$J70)),"",INDEX('Product Backlog'!$A$5:$A$504,$J70)))</f>
        <v/>
      </c>
      <c r="B70" s="46" t="str">
        <f>IF($J70="","",IF(ISBLANK(INDEX('Product Backlog'!$B$5:$B$504,$J70)),"",INDEX('Product Backlog'!$B$5:$B$504,$J70)))</f>
        <v/>
      </c>
      <c r="C70" s="46" t="str">
        <f>IF($J70="","",IF(ISBLANK(INDEX('Product Backlog'!$C$5:$C$504,$J70)),"",INDEX('Product Backlog'!$C$5:$C$504,$J70)))</f>
        <v/>
      </c>
      <c r="D70" s="46" t="str">
        <f>IF($J70="","",IF(ISBLANK(INDEX('Product Backlog'!$D$5:$D$504,$J70)),"",INDEX('Product Backlog'!$D$5:$D$504,$J70)))</f>
        <v/>
      </c>
      <c r="E70" s="46" t="str">
        <f>IF($J70="","",IF(ISBLANK(INDEX('Product Backlog'!$E$5:$E$504,$J70)),"",INDEX('Product Backlog'!$E$5:$E$504,$J70)))</f>
        <v/>
      </c>
      <c r="F70" s="47" t="str">
        <f>IF($J70="","",IF(ISBLANK(INDEX('Product Backlog'!$F$5:$F$504,$J70)),"",INDEX('Product Backlog'!$F$5:$F$504,$J70)))</f>
        <v/>
      </c>
      <c r="G70" s="47" t="str">
        <f>IF($J70="","",IF(ISBLANK(INDEX('Product Backlog'!$G$5:$G$504,$J70)),"",INDEX('Product Backlog'!$G$5:$G$504,$J70)))</f>
        <v/>
      </c>
      <c r="H70" s="48" t="str">
        <f>IF($J70="","",IF(ISBLANK(INDEX('Product Backlog'!$H$5:$H$504,$J70)),"",INDEX('Product Backlog'!$H$5:$H$504,$J70)))</f>
        <v/>
      </c>
      <c r="I70" s="48" t="str">
        <f>IF($J70="","",IF(ISBLANK(INDEX('Product Backlog'!$I$5:$I$504,$J70)),"",INDEX('Product Backlog'!$I$5:$I$504,$J70)))</f>
        <v/>
      </c>
      <c r="J70" t="str">
        <f>IFERROR(MATCH($B$4&amp;"-"&amp;ROWS($A$10:A70),'Product Backlog'!$J$5:$J$504,0),"")</f>
        <v/>
      </c>
    </row>
    <row r="71" spans="1:10" ht="21" customHeight="1" x14ac:dyDescent="0.2">
      <c r="A71" s="46" t="str">
        <f>IF($J71="","",IF(ISBLANK(INDEX('Product Backlog'!$A$5:$A$504,$J71)),"",INDEX('Product Backlog'!$A$5:$A$504,$J71)))</f>
        <v/>
      </c>
      <c r="B71" s="46" t="str">
        <f>IF($J71="","",IF(ISBLANK(INDEX('Product Backlog'!$B$5:$B$504,$J71)),"",INDEX('Product Backlog'!$B$5:$B$504,$J71)))</f>
        <v/>
      </c>
      <c r="C71" s="46" t="str">
        <f>IF($J71="","",IF(ISBLANK(INDEX('Product Backlog'!$C$5:$C$504,$J71)),"",INDEX('Product Backlog'!$C$5:$C$504,$J71)))</f>
        <v/>
      </c>
      <c r="D71" s="46" t="str">
        <f>IF($J71="","",IF(ISBLANK(INDEX('Product Backlog'!$D$5:$D$504,$J71)),"",INDEX('Product Backlog'!$D$5:$D$504,$J71)))</f>
        <v/>
      </c>
      <c r="E71" s="46" t="str">
        <f>IF($J71="","",IF(ISBLANK(INDEX('Product Backlog'!$E$5:$E$504,$J71)),"",INDEX('Product Backlog'!$E$5:$E$504,$J71)))</f>
        <v/>
      </c>
      <c r="F71" s="47" t="str">
        <f>IF($J71="","",IF(ISBLANK(INDEX('Product Backlog'!$F$5:$F$504,$J71)),"",INDEX('Product Backlog'!$F$5:$F$504,$J71)))</f>
        <v/>
      </c>
      <c r="G71" s="47" t="str">
        <f>IF($J71="","",IF(ISBLANK(INDEX('Product Backlog'!$G$5:$G$504,$J71)),"",INDEX('Product Backlog'!$G$5:$G$504,$J71)))</f>
        <v/>
      </c>
      <c r="H71" s="48" t="str">
        <f>IF($J71="","",IF(ISBLANK(INDEX('Product Backlog'!$H$5:$H$504,$J71)),"",INDEX('Product Backlog'!$H$5:$H$504,$J71)))</f>
        <v/>
      </c>
      <c r="I71" s="48" t="str">
        <f>IF($J71="","",IF(ISBLANK(INDEX('Product Backlog'!$I$5:$I$504,$J71)),"",INDEX('Product Backlog'!$I$5:$I$504,$J71)))</f>
        <v/>
      </c>
      <c r="J71" t="str">
        <f>IFERROR(MATCH($B$4&amp;"-"&amp;ROWS($A$10:A71),'Product Backlog'!$J$5:$J$504,0),"")</f>
        <v/>
      </c>
    </row>
    <row r="72" spans="1:10" ht="21" customHeight="1" x14ac:dyDescent="0.2">
      <c r="A72" s="46" t="str">
        <f>IF($J72="","",IF(ISBLANK(INDEX('Product Backlog'!$A$5:$A$504,$J72)),"",INDEX('Product Backlog'!$A$5:$A$504,$J72)))</f>
        <v/>
      </c>
      <c r="B72" s="46" t="str">
        <f>IF($J72="","",IF(ISBLANK(INDEX('Product Backlog'!$B$5:$B$504,$J72)),"",INDEX('Product Backlog'!$B$5:$B$504,$J72)))</f>
        <v/>
      </c>
      <c r="C72" s="46" t="str">
        <f>IF($J72="","",IF(ISBLANK(INDEX('Product Backlog'!$C$5:$C$504,$J72)),"",INDEX('Product Backlog'!$C$5:$C$504,$J72)))</f>
        <v/>
      </c>
      <c r="D72" s="46" t="str">
        <f>IF($J72="","",IF(ISBLANK(INDEX('Product Backlog'!$D$5:$D$504,$J72)),"",INDEX('Product Backlog'!$D$5:$D$504,$J72)))</f>
        <v/>
      </c>
      <c r="E72" s="46" t="str">
        <f>IF($J72="","",IF(ISBLANK(INDEX('Product Backlog'!$E$5:$E$504,$J72)),"",INDEX('Product Backlog'!$E$5:$E$504,$J72)))</f>
        <v/>
      </c>
      <c r="F72" s="47" t="str">
        <f>IF($J72="","",IF(ISBLANK(INDEX('Product Backlog'!$F$5:$F$504,$J72)),"",INDEX('Product Backlog'!$F$5:$F$504,$J72)))</f>
        <v/>
      </c>
      <c r="G72" s="47" t="str">
        <f>IF($J72="","",IF(ISBLANK(INDEX('Product Backlog'!$G$5:$G$504,$J72)),"",INDEX('Product Backlog'!$G$5:$G$504,$J72)))</f>
        <v/>
      </c>
      <c r="H72" s="48" t="str">
        <f>IF($J72="","",IF(ISBLANK(INDEX('Product Backlog'!$H$5:$H$504,$J72)),"",INDEX('Product Backlog'!$H$5:$H$504,$J72)))</f>
        <v/>
      </c>
      <c r="I72" s="48" t="str">
        <f>IF($J72="","",IF(ISBLANK(INDEX('Product Backlog'!$I$5:$I$504,$J72)),"",INDEX('Product Backlog'!$I$5:$I$504,$J72)))</f>
        <v/>
      </c>
      <c r="J72" t="str">
        <f>IFERROR(MATCH($B$4&amp;"-"&amp;ROWS($A$10:A72),'Product Backlog'!$J$5:$J$504,0),"")</f>
        <v/>
      </c>
    </row>
    <row r="73" spans="1:10" ht="21" customHeight="1" x14ac:dyDescent="0.2">
      <c r="A73" s="46" t="str">
        <f>IF($J73="","",IF(ISBLANK(INDEX('Product Backlog'!$A$5:$A$504,$J73)),"",INDEX('Product Backlog'!$A$5:$A$504,$J73)))</f>
        <v/>
      </c>
      <c r="B73" s="46" t="str">
        <f>IF($J73="","",IF(ISBLANK(INDEX('Product Backlog'!$B$5:$B$504,$J73)),"",INDEX('Product Backlog'!$B$5:$B$504,$J73)))</f>
        <v/>
      </c>
      <c r="C73" s="46" t="str">
        <f>IF($J73="","",IF(ISBLANK(INDEX('Product Backlog'!$C$5:$C$504,$J73)),"",INDEX('Product Backlog'!$C$5:$C$504,$J73)))</f>
        <v/>
      </c>
      <c r="D73" s="46" t="str">
        <f>IF($J73="","",IF(ISBLANK(INDEX('Product Backlog'!$D$5:$D$504,$J73)),"",INDEX('Product Backlog'!$D$5:$D$504,$J73)))</f>
        <v/>
      </c>
      <c r="E73" s="46" t="str">
        <f>IF($J73="","",IF(ISBLANK(INDEX('Product Backlog'!$E$5:$E$504,$J73)),"",INDEX('Product Backlog'!$E$5:$E$504,$J73)))</f>
        <v/>
      </c>
      <c r="F73" s="47" t="str">
        <f>IF($J73="","",IF(ISBLANK(INDEX('Product Backlog'!$F$5:$F$504,$J73)),"",INDEX('Product Backlog'!$F$5:$F$504,$J73)))</f>
        <v/>
      </c>
      <c r="G73" s="47" t="str">
        <f>IF($J73="","",IF(ISBLANK(INDEX('Product Backlog'!$G$5:$G$504,$J73)),"",INDEX('Product Backlog'!$G$5:$G$504,$J73)))</f>
        <v/>
      </c>
      <c r="H73" s="48" t="str">
        <f>IF($J73="","",IF(ISBLANK(INDEX('Product Backlog'!$H$5:$H$504,$J73)),"",INDEX('Product Backlog'!$H$5:$H$504,$J73)))</f>
        <v/>
      </c>
      <c r="I73" s="48" t="str">
        <f>IF($J73="","",IF(ISBLANK(INDEX('Product Backlog'!$I$5:$I$504,$J73)),"",INDEX('Product Backlog'!$I$5:$I$504,$J73)))</f>
        <v/>
      </c>
      <c r="J73" t="str">
        <f>IFERROR(MATCH($B$4&amp;"-"&amp;ROWS($A$10:A73),'Product Backlog'!$J$5:$J$504,0),"")</f>
        <v/>
      </c>
    </row>
    <row r="74" spans="1:10" ht="21" customHeight="1" x14ac:dyDescent="0.2">
      <c r="A74" s="46" t="str">
        <f>IF($J74="","",IF(ISBLANK(INDEX('Product Backlog'!$A$5:$A$504,$J74)),"",INDEX('Product Backlog'!$A$5:$A$504,$J74)))</f>
        <v/>
      </c>
      <c r="B74" s="46" t="str">
        <f>IF($J74="","",IF(ISBLANK(INDEX('Product Backlog'!$B$5:$B$504,$J74)),"",INDEX('Product Backlog'!$B$5:$B$504,$J74)))</f>
        <v/>
      </c>
      <c r="C74" s="46" t="str">
        <f>IF($J74="","",IF(ISBLANK(INDEX('Product Backlog'!$C$5:$C$504,$J74)),"",INDEX('Product Backlog'!$C$5:$C$504,$J74)))</f>
        <v/>
      </c>
      <c r="D74" s="46" t="str">
        <f>IF($J74="","",IF(ISBLANK(INDEX('Product Backlog'!$D$5:$D$504,$J74)),"",INDEX('Product Backlog'!$D$5:$D$504,$J74)))</f>
        <v/>
      </c>
      <c r="E74" s="46" t="str">
        <f>IF($J74="","",IF(ISBLANK(INDEX('Product Backlog'!$E$5:$E$504,$J74)),"",INDEX('Product Backlog'!$E$5:$E$504,$J74)))</f>
        <v/>
      </c>
      <c r="F74" s="47" t="str">
        <f>IF($J74="","",IF(ISBLANK(INDEX('Product Backlog'!$F$5:$F$504,$J74)),"",INDEX('Product Backlog'!$F$5:$F$504,$J74)))</f>
        <v/>
      </c>
      <c r="G74" s="47" t="str">
        <f>IF($J74="","",IF(ISBLANK(INDEX('Product Backlog'!$G$5:$G$504,$J74)),"",INDEX('Product Backlog'!$G$5:$G$504,$J74)))</f>
        <v/>
      </c>
      <c r="H74" s="48" t="str">
        <f>IF($J74="","",IF(ISBLANK(INDEX('Product Backlog'!$H$5:$H$504,$J74)),"",INDEX('Product Backlog'!$H$5:$H$504,$J74)))</f>
        <v/>
      </c>
      <c r="I74" s="48" t="str">
        <f>IF($J74="","",IF(ISBLANK(INDEX('Product Backlog'!$I$5:$I$504,$J74)),"",INDEX('Product Backlog'!$I$5:$I$504,$J74)))</f>
        <v/>
      </c>
      <c r="J74" t="str">
        <f>IFERROR(MATCH($B$4&amp;"-"&amp;ROWS($A$10:A74),'Product Backlog'!$J$5:$J$504,0),"")</f>
        <v/>
      </c>
    </row>
    <row r="75" spans="1:10" ht="21" customHeight="1" x14ac:dyDescent="0.2">
      <c r="A75" s="46" t="str">
        <f>IF($J75="","",IF(ISBLANK(INDEX('Product Backlog'!$A$5:$A$504,$J75)),"",INDEX('Product Backlog'!$A$5:$A$504,$J75)))</f>
        <v/>
      </c>
      <c r="B75" s="46" t="str">
        <f>IF($J75="","",IF(ISBLANK(INDEX('Product Backlog'!$B$5:$B$504,$J75)),"",INDEX('Product Backlog'!$B$5:$B$504,$J75)))</f>
        <v/>
      </c>
      <c r="C75" s="46" t="str">
        <f>IF($J75="","",IF(ISBLANK(INDEX('Product Backlog'!$C$5:$C$504,$J75)),"",INDEX('Product Backlog'!$C$5:$C$504,$J75)))</f>
        <v/>
      </c>
      <c r="D75" s="46" t="str">
        <f>IF($J75="","",IF(ISBLANK(INDEX('Product Backlog'!$D$5:$D$504,$J75)),"",INDEX('Product Backlog'!$D$5:$D$504,$J75)))</f>
        <v/>
      </c>
      <c r="E75" s="46" t="str">
        <f>IF($J75="","",IF(ISBLANK(INDEX('Product Backlog'!$E$5:$E$504,$J75)),"",INDEX('Product Backlog'!$E$5:$E$504,$J75)))</f>
        <v/>
      </c>
      <c r="F75" s="47" t="str">
        <f>IF($J75="","",IF(ISBLANK(INDEX('Product Backlog'!$F$5:$F$504,$J75)),"",INDEX('Product Backlog'!$F$5:$F$504,$J75)))</f>
        <v/>
      </c>
      <c r="G75" s="47" t="str">
        <f>IF($J75="","",IF(ISBLANK(INDEX('Product Backlog'!$G$5:$G$504,$J75)),"",INDEX('Product Backlog'!$G$5:$G$504,$J75)))</f>
        <v/>
      </c>
      <c r="H75" s="48" t="str">
        <f>IF($J75="","",IF(ISBLANK(INDEX('Product Backlog'!$H$5:$H$504,$J75)),"",INDEX('Product Backlog'!$H$5:$H$504,$J75)))</f>
        <v/>
      </c>
      <c r="I75" s="48" t="str">
        <f>IF($J75="","",IF(ISBLANK(INDEX('Product Backlog'!$I$5:$I$504,$J75)),"",INDEX('Product Backlog'!$I$5:$I$504,$J75)))</f>
        <v/>
      </c>
      <c r="J75" t="str">
        <f>IFERROR(MATCH($B$4&amp;"-"&amp;ROWS($A$10:A75),'Product Backlog'!$J$5:$J$504,0),"")</f>
        <v/>
      </c>
    </row>
    <row r="76" spans="1:10" ht="21" customHeight="1" x14ac:dyDescent="0.2">
      <c r="A76" s="46" t="str">
        <f>IF($J76="","",IF(ISBLANK(INDEX('Product Backlog'!$A$5:$A$504,$J76)),"",INDEX('Product Backlog'!$A$5:$A$504,$J76)))</f>
        <v/>
      </c>
      <c r="B76" s="46" t="str">
        <f>IF($J76="","",IF(ISBLANK(INDEX('Product Backlog'!$B$5:$B$504,$J76)),"",INDEX('Product Backlog'!$B$5:$B$504,$J76)))</f>
        <v/>
      </c>
      <c r="C76" s="46" t="str">
        <f>IF($J76="","",IF(ISBLANK(INDEX('Product Backlog'!$C$5:$C$504,$J76)),"",INDEX('Product Backlog'!$C$5:$C$504,$J76)))</f>
        <v/>
      </c>
      <c r="D76" s="46" t="str">
        <f>IF($J76="","",IF(ISBLANK(INDEX('Product Backlog'!$D$5:$D$504,$J76)),"",INDEX('Product Backlog'!$D$5:$D$504,$J76)))</f>
        <v/>
      </c>
      <c r="E76" s="46" t="str">
        <f>IF($J76="","",IF(ISBLANK(INDEX('Product Backlog'!$E$5:$E$504,$J76)),"",INDEX('Product Backlog'!$E$5:$E$504,$J76)))</f>
        <v/>
      </c>
      <c r="F76" s="47" t="str">
        <f>IF($J76="","",IF(ISBLANK(INDEX('Product Backlog'!$F$5:$F$504,$J76)),"",INDEX('Product Backlog'!$F$5:$F$504,$J76)))</f>
        <v/>
      </c>
      <c r="G76" s="47" t="str">
        <f>IF($J76="","",IF(ISBLANK(INDEX('Product Backlog'!$G$5:$G$504,$J76)),"",INDEX('Product Backlog'!$G$5:$G$504,$J76)))</f>
        <v/>
      </c>
      <c r="H76" s="48" t="str">
        <f>IF($J76="","",IF(ISBLANK(INDEX('Product Backlog'!$H$5:$H$504,$J76)),"",INDEX('Product Backlog'!$H$5:$H$504,$J76)))</f>
        <v/>
      </c>
      <c r="I76" s="48" t="str">
        <f>IF($J76="","",IF(ISBLANK(INDEX('Product Backlog'!$I$5:$I$504,$J76)),"",INDEX('Product Backlog'!$I$5:$I$504,$J76)))</f>
        <v/>
      </c>
      <c r="J76" t="str">
        <f>IFERROR(MATCH($B$4&amp;"-"&amp;ROWS($A$10:A76),'Product Backlog'!$J$5:$J$504,0),"")</f>
        <v/>
      </c>
    </row>
    <row r="77" spans="1:10" ht="21" customHeight="1" x14ac:dyDescent="0.2">
      <c r="A77" s="46" t="str">
        <f>IF($J77="","",IF(ISBLANK(INDEX('Product Backlog'!$A$5:$A$504,$J77)),"",INDEX('Product Backlog'!$A$5:$A$504,$J77)))</f>
        <v/>
      </c>
      <c r="B77" s="46" t="str">
        <f>IF($J77="","",IF(ISBLANK(INDEX('Product Backlog'!$B$5:$B$504,$J77)),"",INDEX('Product Backlog'!$B$5:$B$504,$J77)))</f>
        <v/>
      </c>
      <c r="C77" s="46" t="str">
        <f>IF($J77="","",IF(ISBLANK(INDEX('Product Backlog'!$C$5:$C$504,$J77)),"",INDEX('Product Backlog'!$C$5:$C$504,$J77)))</f>
        <v/>
      </c>
      <c r="D77" s="46" t="str">
        <f>IF($J77="","",IF(ISBLANK(INDEX('Product Backlog'!$D$5:$D$504,$J77)),"",INDEX('Product Backlog'!$D$5:$D$504,$J77)))</f>
        <v/>
      </c>
      <c r="E77" s="46" t="str">
        <f>IF($J77="","",IF(ISBLANK(INDEX('Product Backlog'!$E$5:$E$504,$J77)),"",INDEX('Product Backlog'!$E$5:$E$504,$J77)))</f>
        <v/>
      </c>
      <c r="F77" s="47" t="str">
        <f>IF($J77="","",IF(ISBLANK(INDEX('Product Backlog'!$F$5:$F$504,$J77)),"",INDEX('Product Backlog'!$F$5:$F$504,$J77)))</f>
        <v/>
      </c>
      <c r="G77" s="47" t="str">
        <f>IF($J77="","",IF(ISBLANK(INDEX('Product Backlog'!$G$5:$G$504,$J77)),"",INDEX('Product Backlog'!$G$5:$G$504,$J77)))</f>
        <v/>
      </c>
      <c r="H77" s="48" t="str">
        <f>IF($J77="","",IF(ISBLANK(INDEX('Product Backlog'!$H$5:$H$504,$J77)),"",INDEX('Product Backlog'!$H$5:$H$504,$J77)))</f>
        <v/>
      </c>
      <c r="I77" s="48" t="str">
        <f>IF($J77="","",IF(ISBLANK(INDEX('Product Backlog'!$I$5:$I$504,$J77)),"",INDEX('Product Backlog'!$I$5:$I$504,$J77)))</f>
        <v/>
      </c>
      <c r="J77" t="str">
        <f>IFERROR(MATCH($B$4&amp;"-"&amp;ROWS($A$10:A77),'Product Backlog'!$J$5:$J$504,0),"")</f>
        <v/>
      </c>
    </row>
    <row r="78" spans="1:10" ht="21" customHeight="1" x14ac:dyDescent="0.2">
      <c r="A78" s="46" t="str">
        <f>IF($J78="","",IF(ISBLANK(INDEX('Product Backlog'!$A$5:$A$504,$J78)),"",INDEX('Product Backlog'!$A$5:$A$504,$J78)))</f>
        <v/>
      </c>
      <c r="B78" s="46" t="str">
        <f>IF($J78="","",IF(ISBLANK(INDEX('Product Backlog'!$B$5:$B$504,$J78)),"",INDEX('Product Backlog'!$B$5:$B$504,$J78)))</f>
        <v/>
      </c>
      <c r="C78" s="46" t="str">
        <f>IF($J78="","",IF(ISBLANK(INDEX('Product Backlog'!$C$5:$C$504,$J78)),"",INDEX('Product Backlog'!$C$5:$C$504,$J78)))</f>
        <v/>
      </c>
      <c r="D78" s="46" t="str">
        <f>IF($J78="","",IF(ISBLANK(INDEX('Product Backlog'!$D$5:$D$504,$J78)),"",INDEX('Product Backlog'!$D$5:$D$504,$J78)))</f>
        <v/>
      </c>
      <c r="E78" s="46" t="str">
        <f>IF($J78="","",IF(ISBLANK(INDEX('Product Backlog'!$E$5:$E$504,$J78)),"",INDEX('Product Backlog'!$E$5:$E$504,$J78)))</f>
        <v/>
      </c>
      <c r="F78" s="47" t="str">
        <f>IF($J78="","",IF(ISBLANK(INDEX('Product Backlog'!$F$5:$F$504,$J78)),"",INDEX('Product Backlog'!$F$5:$F$504,$J78)))</f>
        <v/>
      </c>
      <c r="G78" s="47" t="str">
        <f>IF($J78="","",IF(ISBLANK(INDEX('Product Backlog'!$G$5:$G$504,$J78)),"",INDEX('Product Backlog'!$G$5:$G$504,$J78)))</f>
        <v/>
      </c>
      <c r="H78" s="48" t="str">
        <f>IF($J78="","",IF(ISBLANK(INDEX('Product Backlog'!$H$5:$H$504,$J78)),"",INDEX('Product Backlog'!$H$5:$H$504,$J78)))</f>
        <v/>
      </c>
      <c r="I78" s="48" t="str">
        <f>IF($J78="","",IF(ISBLANK(INDEX('Product Backlog'!$I$5:$I$504,$J78)),"",INDEX('Product Backlog'!$I$5:$I$504,$J78)))</f>
        <v/>
      </c>
      <c r="J78" t="str">
        <f>IFERROR(MATCH($B$4&amp;"-"&amp;ROWS($A$10:A78),'Product Backlog'!$J$5:$J$504,0),"")</f>
        <v/>
      </c>
    </row>
    <row r="79" spans="1:10" ht="21" customHeight="1" x14ac:dyDescent="0.2">
      <c r="A79" s="46" t="str">
        <f>IF($J79="","",IF(ISBLANK(INDEX('Product Backlog'!$A$5:$A$504,$J79)),"",INDEX('Product Backlog'!$A$5:$A$504,$J79)))</f>
        <v/>
      </c>
      <c r="B79" s="46" t="str">
        <f>IF($J79="","",IF(ISBLANK(INDEX('Product Backlog'!$B$5:$B$504,$J79)),"",INDEX('Product Backlog'!$B$5:$B$504,$J79)))</f>
        <v/>
      </c>
      <c r="C79" s="46" t="str">
        <f>IF($J79="","",IF(ISBLANK(INDEX('Product Backlog'!$C$5:$C$504,$J79)),"",INDEX('Product Backlog'!$C$5:$C$504,$J79)))</f>
        <v/>
      </c>
      <c r="D79" s="46" t="str">
        <f>IF($J79="","",IF(ISBLANK(INDEX('Product Backlog'!$D$5:$D$504,$J79)),"",INDEX('Product Backlog'!$D$5:$D$504,$J79)))</f>
        <v/>
      </c>
      <c r="E79" s="46" t="str">
        <f>IF($J79="","",IF(ISBLANK(INDEX('Product Backlog'!$E$5:$E$504,$J79)),"",INDEX('Product Backlog'!$E$5:$E$504,$J79)))</f>
        <v/>
      </c>
      <c r="F79" s="47" t="str">
        <f>IF($J79="","",IF(ISBLANK(INDEX('Product Backlog'!$F$5:$F$504,$J79)),"",INDEX('Product Backlog'!$F$5:$F$504,$J79)))</f>
        <v/>
      </c>
      <c r="G79" s="47" t="str">
        <f>IF($J79="","",IF(ISBLANK(INDEX('Product Backlog'!$G$5:$G$504,$J79)),"",INDEX('Product Backlog'!$G$5:$G$504,$J79)))</f>
        <v/>
      </c>
      <c r="H79" s="48" t="str">
        <f>IF($J79="","",IF(ISBLANK(INDEX('Product Backlog'!$H$5:$H$504,$J79)),"",INDEX('Product Backlog'!$H$5:$H$504,$J79)))</f>
        <v/>
      </c>
      <c r="I79" s="48" t="str">
        <f>IF($J79="","",IF(ISBLANK(INDEX('Product Backlog'!$I$5:$I$504,$J79)),"",INDEX('Product Backlog'!$I$5:$I$504,$J79)))</f>
        <v/>
      </c>
      <c r="J79" t="str">
        <f>IFERROR(MATCH($B$4&amp;"-"&amp;ROWS($A$10:A79),'Product Backlog'!$J$5:$J$504,0),"")</f>
        <v/>
      </c>
    </row>
    <row r="80" spans="1:10" ht="21" customHeight="1" x14ac:dyDescent="0.2">
      <c r="A80" s="46" t="str">
        <f>IF($J80="","",IF(ISBLANK(INDEX('Product Backlog'!$A$5:$A$504,$J80)),"",INDEX('Product Backlog'!$A$5:$A$504,$J80)))</f>
        <v/>
      </c>
      <c r="B80" s="46" t="str">
        <f>IF($J80="","",IF(ISBLANK(INDEX('Product Backlog'!$B$5:$B$504,$J80)),"",INDEX('Product Backlog'!$B$5:$B$504,$J80)))</f>
        <v/>
      </c>
      <c r="C80" s="46" t="str">
        <f>IF($J80="","",IF(ISBLANK(INDEX('Product Backlog'!$C$5:$C$504,$J80)),"",INDEX('Product Backlog'!$C$5:$C$504,$J80)))</f>
        <v/>
      </c>
      <c r="D80" s="46" t="str">
        <f>IF($J80="","",IF(ISBLANK(INDEX('Product Backlog'!$D$5:$D$504,$J80)),"",INDEX('Product Backlog'!$D$5:$D$504,$J80)))</f>
        <v/>
      </c>
      <c r="E80" s="46" t="str">
        <f>IF($J80="","",IF(ISBLANK(INDEX('Product Backlog'!$E$5:$E$504,$J80)),"",INDEX('Product Backlog'!$E$5:$E$504,$J80)))</f>
        <v/>
      </c>
      <c r="F80" s="47" t="str">
        <f>IF($J80="","",IF(ISBLANK(INDEX('Product Backlog'!$F$5:$F$504,$J80)),"",INDEX('Product Backlog'!$F$5:$F$504,$J80)))</f>
        <v/>
      </c>
      <c r="G80" s="47" t="str">
        <f>IF($J80="","",IF(ISBLANK(INDEX('Product Backlog'!$G$5:$G$504,$J80)),"",INDEX('Product Backlog'!$G$5:$G$504,$J80)))</f>
        <v/>
      </c>
      <c r="H80" s="48" t="str">
        <f>IF($J80="","",IF(ISBLANK(INDEX('Product Backlog'!$H$5:$H$504,$J80)),"",INDEX('Product Backlog'!$H$5:$H$504,$J80)))</f>
        <v/>
      </c>
      <c r="I80" s="48" t="str">
        <f>IF($J80="","",IF(ISBLANK(INDEX('Product Backlog'!$I$5:$I$504,$J80)),"",INDEX('Product Backlog'!$I$5:$I$504,$J80)))</f>
        <v/>
      </c>
      <c r="J80" t="str">
        <f>IFERROR(MATCH($B$4&amp;"-"&amp;ROWS($A$10:A80),'Product Backlog'!$J$5:$J$504,0),"")</f>
        <v/>
      </c>
    </row>
    <row r="81" spans="1:10" ht="21" customHeight="1" x14ac:dyDescent="0.2">
      <c r="A81" s="46" t="str">
        <f>IF($J81="","",IF(ISBLANK(INDEX('Product Backlog'!$A$5:$A$504,$J81)),"",INDEX('Product Backlog'!$A$5:$A$504,$J81)))</f>
        <v/>
      </c>
      <c r="B81" s="46" t="str">
        <f>IF($J81="","",IF(ISBLANK(INDEX('Product Backlog'!$B$5:$B$504,$J81)),"",INDEX('Product Backlog'!$B$5:$B$504,$J81)))</f>
        <v/>
      </c>
      <c r="C81" s="46" t="str">
        <f>IF($J81="","",IF(ISBLANK(INDEX('Product Backlog'!$C$5:$C$504,$J81)),"",INDEX('Product Backlog'!$C$5:$C$504,$J81)))</f>
        <v/>
      </c>
      <c r="D81" s="46" t="str">
        <f>IF($J81="","",IF(ISBLANK(INDEX('Product Backlog'!$D$5:$D$504,$J81)),"",INDEX('Product Backlog'!$D$5:$D$504,$J81)))</f>
        <v/>
      </c>
      <c r="E81" s="46" t="str">
        <f>IF($J81="","",IF(ISBLANK(INDEX('Product Backlog'!$E$5:$E$504,$J81)),"",INDEX('Product Backlog'!$E$5:$E$504,$J81)))</f>
        <v/>
      </c>
      <c r="F81" s="47" t="str">
        <f>IF($J81="","",IF(ISBLANK(INDEX('Product Backlog'!$F$5:$F$504,$J81)),"",INDEX('Product Backlog'!$F$5:$F$504,$J81)))</f>
        <v/>
      </c>
      <c r="G81" s="47" t="str">
        <f>IF($J81="","",IF(ISBLANK(INDEX('Product Backlog'!$G$5:$G$504,$J81)),"",INDEX('Product Backlog'!$G$5:$G$504,$J81)))</f>
        <v/>
      </c>
      <c r="H81" s="48" t="str">
        <f>IF($J81="","",IF(ISBLANK(INDEX('Product Backlog'!$H$5:$H$504,$J81)),"",INDEX('Product Backlog'!$H$5:$H$504,$J81)))</f>
        <v/>
      </c>
      <c r="I81" s="48" t="str">
        <f>IF($J81="","",IF(ISBLANK(INDEX('Product Backlog'!$I$5:$I$504,$J81)),"",INDEX('Product Backlog'!$I$5:$I$504,$J81)))</f>
        <v/>
      </c>
      <c r="J81" t="str">
        <f>IFERROR(MATCH($B$4&amp;"-"&amp;ROWS($A$10:A81),'Product Backlog'!$J$5:$J$504,0),"")</f>
        <v/>
      </c>
    </row>
    <row r="82" spans="1:10" ht="21" customHeight="1" x14ac:dyDescent="0.2">
      <c r="A82" s="46" t="str">
        <f>IF($J82="","",IF(ISBLANK(INDEX('Product Backlog'!$A$5:$A$504,$J82)),"",INDEX('Product Backlog'!$A$5:$A$504,$J82)))</f>
        <v/>
      </c>
      <c r="B82" s="46" t="str">
        <f>IF($J82="","",IF(ISBLANK(INDEX('Product Backlog'!$B$5:$B$504,$J82)),"",INDEX('Product Backlog'!$B$5:$B$504,$J82)))</f>
        <v/>
      </c>
      <c r="C82" s="46" t="str">
        <f>IF($J82="","",IF(ISBLANK(INDEX('Product Backlog'!$C$5:$C$504,$J82)),"",INDEX('Product Backlog'!$C$5:$C$504,$J82)))</f>
        <v/>
      </c>
      <c r="D82" s="46" t="str">
        <f>IF($J82="","",IF(ISBLANK(INDEX('Product Backlog'!$D$5:$D$504,$J82)),"",INDEX('Product Backlog'!$D$5:$D$504,$J82)))</f>
        <v/>
      </c>
      <c r="E82" s="46" t="str">
        <f>IF($J82="","",IF(ISBLANK(INDEX('Product Backlog'!$E$5:$E$504,$J82)),"",INDEX('Product Backlog'!$E$5:$E$504,$J82)))</f>
        <v/>
      </c>
      <c r="F82" s="47" t="str">
        <f>IF($J82="","",IF(ISBLANK(INDEX('Product Backlog'!$F$5:$F$504,$J82)),"",INDEX('Product Backlog'!$F$5:$F$504,$J82)))</f>
        <v/>
      </c>
      <c r="G82" s="47" t="str">
        <f>IF($J82="","",IF(ISBLANK(INDEX('Product Backlog'!$G$5:$G$504,$J82)),"",INDEX('Product Backlog'!$G$5:$G$504,$J82)))</f>
        <v/>
      </c>
      <c r="H82" s="48" t="str">
        <f>IF($J82="","",IF(ISBLANK(INDEX('Product Backlog'!$H$5:$H$504,$J82)),"",INDEX('Product Backlog'!$H$5:$H$504,$J82)))</f>
        <v/>
      </c>
      <c r="I82" s="48" t="str">
        <f>IF($J82="","",IF(ISBLANK(INDEX('Product Backlog'!$I$5:$I$504,$J82)),"",INDEX('Product Backlog'!$I$5:$I$504,$J82)))</f>
        <v/>
      </c>
      <c r="J82" t="str">
        <f>IFERROR(MATCH($B$4&amp;"-"&amp;ROWS($A$10:A82),'Product Backlog'!$J$5:$J$504,0),"")</f>
        <v/>
      </c>
    </row>
    <row r="83" spans="1:10" ht="21" customHeight="1" x14ac:dyDescent="0.2">
      <c r="A83" s="46" t="str">
        <f>IF($J83="","",IF(ISBLANK(INDEX('Product Backlog'!$A$5:$A$504,$J83)),"",INDEX('Product Backlog'!$A$5:$A$504,$J83)))</f>
        <v/>
      </c>
      <c r="B83" s="46" t="str">
        <f>IF($J83="","",IF(ISBLANK(INDEX('Product Backlog'!$B$5:$B$504,$J83)),"",INDEX('Product Backlog'!$B$5:$B$504,$J83)))</f>
        <v/>
      </c>
      <c r="C83" s="46" t="str">
        <f>IF($J83="","",IF(ISBLANK(INDEX('Product Backlog'!$C$5:$C$504,$J83)),"",INDEX('Product Backlog'!$C$5:$C$504,$J83)))</f>
        <v/>
      </c>
      <c r="D83" s="46" t="str">
        <f>IF($J83="","",IF(ISBLANK(INDEX('Product Backlog'!$D$5:$D$504,$J83)),"",INDEX('Product Backlog'!$D$5:$D$504,$J83)))</f>
        <v/>
      </c>
      <c r="E83" s="46" t="str">
        <f>IF($J83="","",IF(ISBLANK(INDEX('Product Backlog'!$E$5:$E$504,$J83)),"",INDEX('Product Backlog'!$E$5:$E$504,$J83)))</f>
        <v/>
      </c>
      <c r="F83" s="47" t="str">
        <f>IF($J83="","",IF(ISBLANK(INDEX('Product Backlog'!$F$5:$F$504,$J83)),"",INDEX('Product Backlog'!$F$5:$F$504,$J83)))</f>
        <v/>
      </c>
      <c r="G83" s="47" t="str">
        <f>IF($J83="","",IF(ISBLANK(INDEX('Product Backlog'!$G$5:$G$504,$J83)),"",INDEX('Product Backlog'!$G$5:$G$504,$J83)))</f>
        <v/>
      </c>
      <c r="H83" s="48" t="str">
        <f>IF($J83="","",IF(ISBLANK(INDEX('Product Backlog'!$H$5:$H$504,$J83)),"",INDEX('Product Backlog'!$H$5:$H$504,$J83)))</f>
        <v/>
      </c>
      <c r="I83" s="48" t="str">
        <f>IF($J83="","",IF(ISBLANK(INDEX('Product Backlog'!$I$5:$I$504,$J83)),"",INDEX('Product Backlog'!$I$5:$I$504,$J83)))</f>
        <v/>
      </c>
      <c r="J83" t="str">
        <f>IFERROR(MATCH($B$4&amp;"-"&amp;ROWS($A$10:A83),'Product Backlog'!$J$5:$J$504,0),"")</f>
        <v/>
      </c>
    </row>
    <row r="84" spans="1:10" ht="21" customHeight="1" x14ac:dyDescent="0.2">
      <c r="A84" s="46" t="str">
        <f>IF($J84="","",IF(ISBLANK(INDEX('Product Backlog'!$A$5:$A$504,$J84)),"",INDEX('Product Backlog'!$A$5:$A$504,$J84)))</f>
        <v/>
      </c>
      <c r="B84" s="46" t="str">
        <f>IF($J84="","",IF(ISBLANK(INDEX('Product Backlog'!$B$5:$B$504,$J84)),"",INDEX('Product Backlog'!$B$5:$B$504,$J84)))</f>
        <v/>
      </c>
      <c r="C84" s="46" t="str">
        <f>IF($J84="","",IF(ISBLANK(INDEX('Product Backlog'!$C$5:$C$504,$J84)),"",INDEX('Product Backlog'!$C$5:$C$504,$J84)))</f>
        <v/>
      </c>
      <c r="D84" s="46" t="str">
        <f>IF($J84="","",IF(ISBLANK(INDEX('Product Backlog'!$D$5:$D$504,$J84)),"",INDEX('Product Backlog'!$D$5:$D$504,$J84)))</f>
        <v/>
      </c>
      <c r="E84" s="46" t="str">
        <f>IF($J84="","",IF(ISBLANK(INDEX('Product Backlog'!$E$5:$E$504,$J84)),"",INDEX('Product Backlog'!$E$5:$E$504,$J84)))</f>
        <v/>
      </c>
      <c r="F84" s="47" t="str">
        <f>IF($J84="","",IF(ISBLANK(INDEX('Product Backlog'!$F$5:$F$504,$J84)),"",INDEX('Product Backlog'!$F$5:$F$504,$J84)))</f>
        <v/>
      </c>
      <c r="G84" s="47" t="str">
        <f>IF($J84="","",IF(ISBLANK(INDEX('Product Backlog'!$G$5:$G$504,$J84)),"",INDEX('Product Backlog'!$G$5:$G$504,$J84)))</f>
        <v/>
      </c>
      <c r="H84" s="48" t="str">
        <f>IF($J84="","",IF(ISBLANK(INDEX('Product Backlog'!$H$5:$H$504,$J84)),"",INDEX('Product Backlog'!$H$5:$H$504,$J84)))</f>
        <v/>
      </c>
      <c r="I84" s="48" t="str">
        <f>IF($J84="","",IF(ISBLANK(INDEX('Product Backlog'!$I$5:$I$504,$J84)),"",INDEX('Product Backlog'!$I$5:$I$504,$J84)))</f>
        <v/>
      </c>
      <c r="J84" t="str">
        <f>IFERROR(MATCH($B$4&amp;"-"&amp;ROWS($A$10:A84),'Product Backlog'!$J$5:$J$504,0),"")</f>
        <v/>
      </c>
    </row>
    <row r="85" spans="1:10" ht="21" customHeight="1" x14ac:dyDescent="0.2">
      <c r="A85" s="46" t="str">
        <f>IF($J85="","",IF(ISBLANK(INDEX('Product Backlog'!$A$5:$A$504,$J85)),"",INDEX('Product Backlog'!$A$5:$A$504,$J85)))</f>
        <v/>
      </c>
      <c r="B85" s="46" t="str">
        <f>IF($J85="","",IF(ISBLANK(INDEX('Product Backlog'!$B$5:$B$504,$J85)),"",INDEX('Product Backlog'!$B$5:$B$504,$J85)))</f>
        <v/>
      </c>
      <c r="C85" s="46" t="str">
        <f>IF($J85="","",IF(ISBLANK(INDEX('Product Backlog'!$C$5:$C$504,$J85)),"",INDEX('Product Backlog'!$C$5:$C$504,$J85)))</f>
        <v/>
      </c>
      <c r="D85" s="46" t="str">
        <f>IF($J85="","",IF(ISBLANK(INDEX('Product Backlog'!$D$5:$D$504,$J85)),"",INDEX('Product Backlog'!$D$5:$D$504,$J85)))</f>
        <v/>
      </c>
      <c r="E85" s="46" t="str">
        <f>IF($J85="","",IF(ISBLANK(INDEX('Product Backlog'!$E$5:$E$504,$J85)),"",INDEX('Product Backlog'!$E$5:$E$504,$J85)))</f>
        <v/>
      </c>
      <c r="F85" s="47" t="str">
        <f>IF($J85="","",IF(ISBLANK(INDEX('Product Backlog'!$F$5:$F$504,$J85)),"",INDEX('Product Backlog'!$F$5:$F$504,$J85)))</f>
        <v/>
      </c>
      <c r="G85" s="47" t="str">
        <f>IF($J85="","",IF(ISBLANK(INDEX('Product Backlog'!$G$5:$G$504,$J85)),"",INDEX('Product Backlog'!$G$5:$G$504,$J85)))</f>
        <v/>
      </c>
      <c r="H85" s="48" t="str">
        <f>IF($J85="","",IF(ISBLANK(INDEX('Product Backlog'!$H$5:$H$504,$J85)),"",INDEX('Product Backlog'!$H$5:$H$504,$J85)))</f>
        <v/>
      </c>
      <c r="I85" s="48" t="str">
        <f>IF($J85="","",IF(ISBLANK(INDEX('Product Backlog'!$I$5:$I$504,$J85)),"",INDEX('Product Backlog'!$I$5:$I$504,$J85)))</f>
        <v/>
      </c>
      <c r="J85" t="str">
        <f>IFERROR(MATCH($B$4&amp;"-"&amp;ROWS($A$10:A85),'Product Backlog'!$J$5:$J$504,0),"")</f>
        <v/>
      </c>
    </row>
    <row r="86" spans="1:10" ht="21" customHeight="1" x14ac:dyDescent="0.2">
      <c r="A86" s="46" t="str">
        <f>IF($J86="","",IF(ISBLANK(INDEX('Product Backlog'!$A$5:$A$504,$J86)),"",INDEX('Product Backlog'!$A$5:$A$504,$J86)))</f>
        <v/>
      </c>
      <c r="B86" s="46" t="str">
        <f>IF($J86="","",IF(ISBLANK(INDEX('Product Backlog'!$B$5:$B$504,$J86)),"",INDEX('Product Backlog'!$B$5:$B$504,$J86)))</f>
        <v/>
      </c>
      <c r="C86" s="46" t="str">
        <f>IF($J86="","",IF(ISBLANK(INDEX('Product Backlog'!$C$5:$C$504,$J86)),"",INDEX('Product Backlog'!$C$5:$C$504,$J86)))</f>
        <v/>
      </c>
      <c r="D86" s="46" t="str">
        <f>IF($J86="","",IF(ISBLANK(INDEX('Product Backlog'!$D$5:$D$504,$J86)),"",INDEX('Product Backlog'!$D$5:$D$504,$J86)))</f>
        <v/>
      </c>
      <c r="E86" s="46" t="str">
        <f>IF($J86="","",IF(ISBLANK(INDEX('Product Backlog'!$E$5:$E$504,$J86)),"",INDEX('Product Backlog'!$E$5:$E$504,$J86)))</f>
        <v/>
      </c>
      <c r="F86" s="47" t="str">
        <f>IF($J86="","",IF(ISBLANK(INDEX('Product Backlog'!$F$5:$F$504,$J86)),"",INDEX('Product Backlog'!$F$5:$F$504,$J86)))</f>
        <v/>
      </c>
      <c r="G86" s="47" t="str">
        <f>IF($J86="","",IF(ISBLANK(INDEX('Product Backlog'!$G$5:$G$504,$J86)),"",INDEX('Product Backlog'!$G$5:$G$504,$J86)))</f>
        <v/>
      </c>
      <c r="H86" s="48" t="str">
        <f>IF($J86="","",IF(ISBLANK(INDEX('Product Backlog'!$H$5:$H$504,$J86)),"",INDEX('Product Backlog'!$H$5:$H$504,$J86)))</f>
        <v/>
      </c>
      <c r="I86" s="48" t="str">
        <f>IF($J86="","",IF(ISBLANK(INDEX('Product Backlog'!$I$5:$I$504,$J86)),"",INDEX('Product Backlog'!$I$5:$I$504,$J86)))</f>
        <v/>
      </c>
      <c r="J86" t="str">
        <f>IFERROR(MATCH($B$4&amp;"-"&amp;ROWS($A$10:A86),'Product Backlog'!$J$5:$J$504,0),"")</f>
        <v/>
      </c>
    </row>
    <row r="87" spans="1:10" ht="21" customHeight="1" x14ac:dyDescent="0.2">
      <c r="A87" s="46" t="str">
        <f>IF($J87="","",IF(ISBLANK(INDEX('Product Backlog'!$A$5:$A$504,$J87)),"",INDEX('Product Backlog'!$A$5:$A$504,$J87)))</f>
        <v/>
      </c>
      <c r="B87" s="46" t="str">
        <f>IF($J87="","",IF(ISBLANK(INDEX('Product Backlog'!$B$5:$B$504,$J87)),"",INDEX('Product Backlog'!$B$5:$B$504,$J87)))</f>
        <v/>
      </c>
      <c r="C87" s="46" t="str">
        <f>IF($J87="","",IF(ISBLANK(INDEX('Product Backlog'!$C$5:$C$504,$J87)),"",INDEX('Product Backlog'!$C$5:$C$504,$J87)))</f>
        <v/>
      </c>
      <c r="D87" s="46" t="str">
        <f>IF($J87="","",IF(ISBLANK(INDEX('Product Backlog'!$D$5:$D$504,$J87)),"",INDEX('Product Backlog'!$D$5:$D$504,$J87)))</f>
        <v/>
      </c>
      <c r="E87" s="46" t="str">
        <f>IF($J87="","",IF(ISBLANK(INDEX('Product Backlog'!$E$5:$E$504,$J87)),"",INDEX('Product Backlog'!$E$5:$E$504,$J87)))</f>
        <v/>
      </c>
      <c r="F87" s="47" t="str">
        <f>IF($J87="","",IF(ISBLANK(INDEX('Product Backlog'!$F$5:$F$504,$J87)),"",INDEX('Product Backlog'!$F$5:$F$504,$J87)))</f>
        <v/>
      </c>
      <c r="G87" s="47" t="str">
        <f>IF($J87="","",IF(ISBLANK(INDEX('Product Backlog'!$G$5:$G$504,$J87)),"",INDEX('Product Backlog'!$G$5:$G$504,$J87)))</f>
        <v/>
      </c>
      <c r="H87" s="48" t="str">
        <f>IF($J87="","",IF(ISBLANK(INDEX('Product Backlog'!$H$5:$H$504,$J87)),"",INDEX('Product Backlog'!$H$5:$H$504,$J87)))</f>
        <v/>
      </c>
      <c r="I87" s="48" t="str">
        <f>IF($J87="","",IF(ISBLANK(INDEX('Product Backlog'!$I$5:$I$504,$J87)),"",INDEX('Product Backlog'!$I$5:$I$504,$J87)))</f>
        <v/>
      </c>
      <c r="J87" t="str">
        <f>IFERROR(MATCH($B$4&amp;"-"&amp;ROWS($A$10:A87),'Product Backlog'!$J$5:$J$504,0),"")</f>
        <v/>
      </c>
    </row>
    <row r="88" spans="1:10" ht="21" customHeight="1" x14ac:dyDescent="0.2">
      <c r="A88" s="46" t="str">
        <f>IF($J88="","",IF(ISBLANK(INDEX('Product Backlog'!$A$5:$A$504,$J88)),"",INDEX('Product Backlog'!$A$5:$A$504,$J88)))</f>
        <v/>
      </c>
      <c r="B88" s="46" t="str">
        <f>IF($J88="","",IF(ISBLANK(INDEX('Product Backlog'!$B$5:$B$504,$J88)),"",INDEX('Product Backlog'!$B$5:$B$504,$J88)))</f>
        <v/>
      </c>
      <c r="C88" s="46" t="str">
        <f>IF($J88="","",IF(ISBLANK(INDEX('Product Backlog'!$C$5:$C$504,$J88)),"",INDEX('Product Backlog'!$C$5:$C$504,$J88)))</f>
        <v/>
      </c>
      <c r="D88" s="46" t="str">
        <f>IF($J88="","",IF(ISBLANK(INDEX('Product Backlog'!$D$5:$D$504,$J88)),"",INDEX('Product Backlog'!$D$5:$D$504,$J88)))</f>
        <v/>
      </c>
      <c r="E88" s="46" t="str">
        <f>IF($J88="","",IF(ISBLANK(INDEX('Product Backlog'!$E$5:$E$504,$J88)),"",INDEX('Product Backlog'!$E$5:$E$504,$J88)))</f>
        <v/>
      </c>
      <c r="F88" s="47" t="str">
        <f>IF($J88="","",IF(ISBLANK(INDEX('Product Backlog'!$F$5:$F$504,$J88)),"",INDEX('Product Backlog'!$F$5:$F$504,$J88)))</f>
        <v/>
      </c>
      <c r="G88" s="47" t="str">
        <f>IF($J88="","",IF(ISBLANK(INDEX('Product Backlog'!$G$5:$G$504,$J88)),"",INDEX('Product Backlog'!$G$5:$G$504,$J88)))</f>
        <v/>
      </c>
      <c r="H88" s="48" t="str">
        <f>IF($J88="","",IF(ISBLANK(INDEX('Product Backlog'!$H$5:$H$504,$J88)),"",INDEX('Product Backlog'!$H$5:$H$504,$J88)))</f>
        <v/>
      </c>
      <c r="I88" s="48" t="str">
        <f>IF($J88="","",IF(ISBLANK(INDEX('Product Backlog'!$I$5:$I$504,$J88)),"",INDEX('Product Backlog'!$I$5:$I$504,$J88)))</f>
        <v/>
      </c>
      <c r="J88" t="str">
        <f>IFERROR(MATCH($B$4&amp;"-"&amp;ROWS($A$10:A88),'Product Backlog'!$J$5:$J$504,0),"")</f>
        <v/>
      </c>
    </row>
    <row r="89" spans="1:10" ht="21" customHeight="1" x14ac:dyDescent="0.2">
      <c r="A89" s="46" t="str">
        <f>IF($J89="","",IF(ISBLANK(INDEX('Product Backlog'!$A$5:$A$504,$J89)),"",INDEX('Product Backlog'!$A$5:$A$504,$J89)))</f>
        <v/>
      </c>
      <c r="B89" s="46" t="str">
        <f>IF($J89="","",IF(ISBLANK(INDEX('Product Backlog'!$B$5:$B$504,$J89)),"",INDEX('Product Backlog'!$B$5:$B$504,$J89)))</f>
        <v/>
      </c>
      <c r="C89" s="46" t="str">
        <f>IF($J89="","",IF(ISBLANK(INDEX('Product Backlog'!$C$5:$C$504,$J89)),"",INDEX('Product Backlog'!$C$5:$C$504,$J89)))</f>
        <v/>
      </c>
      <c r="D89" s="46" t="str">
        <f>IF($J89="","",IF(ISBLANK(INDEX('Product Backlog'!$D$5:$D$504,$J89)),"",INDEX('Product Backlog'!$D$5:$D$504,$J89)))</f>
        <v/>
      </c>
      <c r="E89" s="46" t="str">
        <f>IF($J89="","",IF(ISBLANK(INDEX('Product Backlog'!$E$5:$E$504,$J89)),"",INDEX('Product Backlog'!$E$5:$E$504,$J89)))</f>
        <v/>
      </c>
      <c r="F89" s="47" t="str">
        <f>IF($J89="","",IF(ISBLANK(INDEX('Product Backlog'!$F$5:$F$504,$J89)),"",INDEX('Product Backlog'!$F$5:$F$504,$J89)))</f>
        <v/>
      </c>
      <c r="G89" s="47" t="str">
        <f>IF($J89="","",IF(ISBLANK(INDEX('Product Backlog'!$G$5:$G$504,$J89)),"",INDEX('Product Backlog'!$G$5:$G$504,$J89)))</f>
        <v/>
      </c>
      <c r="H89" s="48" t="str">
        <f>IF($J89="","",IF(ISBLANK(INDEX('Product Backlog'!$H$5:$H$504,$J89)),"",INDEX('Product Backlog'!$H$5:$H$504,$J89)))</f>
        <v/>
      </c>
      <c r="I89" s="48" t="str">
        <f>IF($J89="","",IF(ISBLANK(INDEX('Product Backlog'!$I$5:$I$504,$J89)),"",INDEX('Product Backlog'!$I$5:$I$504,$J89)))</f>
        <v/>
      </c>
      <c r="J89" t="str">
        <f>IFERROR(MATCH($B$4&amp;"-"&amp;ROWS($A$10:A89),'Product Backlog'!$J$5:$J$504,0),"")</f>
        <v/>
      </c>
    </row>
    <row r="90" spans="1:10" ht="21" customHeight="1" x14ac:dyDescent="0.2">
      <c r="A90" s="46" t="str">
        <f>IF($J90="","",IF(ISBLANK(INDEX('Product Backlog'!$A$5:$A$504,$J90)),"",INDEX('Product Backlog'!$A$5:$A$504,$J90)))</f>
        <v/>
      </c>
      <c r="B90" s="46" t="str">
        <f>IF($J90="","",IF(ISBLANK(INDEX('Product Backlog'!$B$5:$B$504,$J90)),"",INDEX('Product Backlog'!$B$5:$B$504,$J90)))</f>
        <v/>
      </c>
      <c r="C90" s="46" t="str">
        <f>IF($J90="","",IF(ISBLANK(INDEX('Product Backlog'!$C$5:$C$504,$J90)),"",INDEX('Product Backlog'!$C$5:$C$504,$J90)))</f>
        <v/>
      </c>
      <c r="D90" s="46" t="str">
        <f>IF($J90="","",IF(ISBLANK(INDEX('Product Backlog'!$D$5:$D$504,$J90)),"",INDEX('Product Backlog'!$D$5:$D$504,$J90)))</f>
        <v/>
      </c>
      <c r="E90" s="46" t="str">
        <f>IF($J90="","",IF(ISBLANK(INDEX('Product Backlog'!$E$5:$E$504,$J90)),"",INDEX('Product Backlog'!$E$5:$E$504,$J90)))</f>
        <v/>
      </c>
      <c r="F90" s="47" t="str">
        <f>IF($J90="","",IF(ISBLANK(INDEX('Product Backlog'!$F$5:$F$504,$J90)),"",INDEX('Product Backlog'!$F$5:$F$504,$J90)))</f>
        <v/>
      </c>
      <c r="G90" s="47" t="str">
        <f>IF($J90="","",IF(ISBLANK(INDEX('Product Backlog'!$G$5:$G$504,$J90)),"",INDEX('Product Backlog'!$G$5:$G$504,$J90)))</f>
        <v/>
      </c>
      <c r="H90" s="48" t="str">
        <f>IF($J90="","",IF(ISBLANK(INDEX('Product Backlog'!$H$5:$H$504,$J90)),"",INDEX('Product Backlog'!$H$5:$H$504,$J90)))</f>
        <v/>
      </c>
      <c r="I90" s="48" t="str">
        <f>IF($J90="","",IF(ISBLANK(INDEX('Product Backlog'!$I$5:$I$504,$J90)),"",INDEX('Product Backlog'!$I$5:$I$504,$J90)))</f>
        <v/>
      </c>
      <c r="J90" t="str">
        <f>IFERROR(MATCH($B$4&amp;"-"&amp;ROWS($A$10:A90),'Product Backlog'!$J$5:$J$504,0),"")</f>
        <v/>
      </c>
    </row>
    <row r="91" spans="1:10" ht="21" customHeight="1" x14ac:dyDescent="0.2">
      <c r="A91" s="46" t="str">
        <f>IF($J91="","",IF(ISBLANK(INDEX('Product Backlog'!$A$5:$A$504,$J91)),"",INDEX('Product Backlog'!$A$5:$A$504,$J91)))</f>
        <v/>
      </c>
      <c r="B91" s="46" t="str">
        <f>IF($J91="","",IF(ISBLANK(INDEX('Product Backlog'!$B$5:$B$504,$J91)),"",INDEX('Product Backlog'!$B$5:$B$504,$J91)))</f>
        <v/>
      </c>
      <c r="C91" s="46" t="str">
        <f>IF($J91="","",IF(ISBLANK(INDEX('Product Backlog'!$C$5:$C$504,$J91)),"",INDEX('Product Backlog'!$C$5:$C$504,$J91)))</f>
        <v/>
      </c>
      <c r="D91" s="46" t="str">
        <f>IF($J91="","",IF(ISBLANK(INDEX('Product Backlog'!$D$5:$D$504,$J91)),"",INDEX('Product Backlog'!$D$5:$D$504,$J91)))</f>
        <v/>
      </c>
      <c r="E91" s="46" t="str">
        <f>IF($J91="","",IF(ISBLANK(INDEX('Product Backlog'!$E$5:$E$504,$J91)),"",INDEX('Product Backlog'!$E$5:$E$504,$J91)))</f>
        <v/>
      </c>
      <c r="F91" s="47" t="str">
        <f>IF($J91="","",IF(ISBLANK(INDEX('Product Backlog'!$F$5:$F$504,$J91)),"",INDEX('Product Backlog'!$F$5:$F$504,$J91)))</f>
        <v/>
      </c>
      <c r="G91" s="47" t="str">
        <f>IF($J91="","",IF(ISBLANK(INDEX('Product Backlog'!$G$5:$G$504,$J91)),"",INDEX('Product Backlog'!$G$5:$G$504,$J91)))</f>
        <v/>
      </c>
      <c r="H91" s="48" t="str">
        <f>IF($J91="","",IF(ISBLANK(INDEX('Product Backlog'!$H$5:$H$504,$J91)),"",INDEX('Product Backlog'!$H$5:$H$504,$J91)))</f>
        <v/>
      </c>
      <c r="I91" s="48" t="str">
        <f>IF($J91="","",IF(ISBLANK(INDEX('Product Backlog'!$I$5:$I$504,$J91)),"",INDEX('Product Backlog'!$I$5:$I$504,$J91)))</f>
        <v/>
      </c>
      <c r="J91" t="str">
        <f>IFERROR(MATCH($B$4&amp;"-"&amp;ROWS($A$10:A91),'Product Backlog'!$J$5:$J$504,0),"")</f>
        <v/>
      </c>
    </row>
    <row r="92" spans="1:10" ht="21" customHeight="1" x14ac:dyDescent="0.2">
      <c r="A92" s="46" t="str">
        <f>IF($J92="","",IF(ISBLANK(INDEX('Product Backlog'!$A$5:$A$504,$J92)),"",INDEX('Product Backlog'!$A$5:$A$504,$J92)))</f>
        <v/>
      </c>
      <c r="B92" s="46" t="str">
        <f>IF($J92="","",IF(ISBLANK(INDEX('Product Backlog'!$B$5:$B$504,$J92)),"",INDEX('Product Backlog'!$B$5:$B$504,$J92)))</f>
        <v/>
      </c>
      <c r="C92" s="46" t="str">
        <f>IF($J92="","",IF(ISBLANK(INDEX('Product Backlog'!$C$5:$C$504,$J92)),"",INDEX('Product Backlog'!$C$5:$C$504,$J92)))</f>
        <v/>
      </c>
      <c r="D92" s="46" t="str">
        <f>IF($J92="","",IF(ISBLANK(INDEX('Product Backlog'!$D$5:$D$504,$J92)),"",INDEX('Product Backlog'!$D$5:$D$504,$J92)))</f>
        <v/>
      </c>
      <c r="E92" s="46" t="str">
        <f>IF($J92="","",IF(ISBLANK(INDEX('Product Backlog'!$E$5:$E$504,$J92)),"",INDEX('Product Backlog'!$E$5:$E$504,$J92)))</f>
        <v/>
      </c>
      <c r="F92" s="47" t="str">
        <f>IF($J92="","",IF(ISBLANK(INDEX('Product Backlog'!$F$5:$F$504,$J92)),"",INDEX('Product Backlog'!$F$5:$F$504,$J92)))</f>
        <v/>
      </c>
      <c r="G92" s="47" t="str">
        <f>IF($J92="","",IF(ISBLANK(INDEX('Product Backlog'!$G$5:$G$504,$J92)),"",INDEX('Product Backlog'!$G$5:$G$504,$J92)))</f>
        <v/>
      </c>
      <c r="H92" s="48" t="str">
        <f>IF($J92="","",IF(ISBLANK(INDEX('Product Backlog'!$H$5:$H$504,$J92)),"",INDEX('Product Backlog'!$H$5:$H$504,$J92)))</f>
        <v/>
      </c>
      <c r="I92" s="48" t="str">
        <f>IF($J92="","",IF(ISBLANK(INDEX('Product Backlog'!$I$5:$I$504,$J92)),"",INDEX('Product Backlog'!$I$5:$I$504,$J92)))</f>
        <v/>
      </c>
      <c r="J92" t="str">
        <f>IFERROR(MATCH($B$4&amp;"-"&amp;ROWS($A$10:A92),'Product Backlog'!$J$5:$J$504,0),"")</f>
        <v/>
      </c>
    </row>
    <row r="93" spans="1:10" ht="21" customHeight="1" x14ac:dyDescent="0.2">
      <c r="A93" s="46" t="str">
        <f>IF($J93="","",IF(ISBLANK(INDEX('Product Backlog'!$A$5:$A$504,$J93)),"",INDEX('Product Backlog'!$A$5:$A$504,$J93)))</f>
        <v/>
      </c>
      <c r="B93" s="46" t="str">
        <f>IF($J93="","",IF(ISBLANK(INDEX('Product Backlog'!$B$5:$B$504,$J93)),"",INDEX('Product Backlog'!$B$5:$B$504,$J93)))</f>
        <v/>
      </c>
      <c r="C93" s="46" t="str">
        <f>IF($J93="","",IF(ISBLANK(INDEX('Product Backlog'!$C$5:$C$504,$J93)),"",INDEX('Product Backlog'!$C$5:$C$504,$J93)))</f>
        <v/>
      </c>
      <c r="D93" s="46" t="str">
        <f>IF($J93="","",IF(ISBLANK(INDEX('Product Backlog'!$D$5:$D$504,$J93)),"",INDEX('Product Backlog'!$D$5:$D$504,$J93)))</f>
        <v/>
      </c>
      <c r="E93" s="46" t="str">
        <f>IF($J93="","",IF(ISBLANK(INDEX('Product Backlog'!$E$5:$E$504,$J93)),"",INDEX('Product Backlog'!$E$5:$E$504,$J93)))</f>
        <v/>
      </c>
      <c r="F93" s="47" t="str">
        <f>IF($J93="","",IF(ISBLANK(INDEX('Product Backlog'!$F$5:$F$504,$J93)),"",INDEX('Product Backlog'!$F$5:$F$504,$J93)))</f>
        <v/>
      </c>
      <c r="G93" s="47" t="str">
        <f>IF($J93="","",IF(ISBLANK(INDEX('Product Backlog'!$G$5:$G$504,$J93)),"",INDEX('Product Backlog'!$G$5:$G$504,$J93)))</f>
        <v/>
      </c>
      <c r="H93" s="48" t="str">
        <f>IF($J93="","",IF(ISBLANK(INDEX('Product Backlog'!$H$5:$H$504,$J93)),"",INDEX('Product Backlog'!$H$5:$H$504,$J93)))</f>
        <v/>
      </c>
      <c r="I93" s="48" t="str">
        <f>IF($J93="","",IF(ISBLANK(INDEX('Product Backlog'!$I$5:$I$504,$J93)),"",INDEX('Product Backlog'!$I$5:$I$504,$J93)))</f>
        <v/>
      </c>
      <c r="J93" t="str">
        <f>IFERROR(MATCH($B$4&amp;"-"&amp;ROWS($A$10:A93),'Product Backlog'!$J$5:$J$504,0),"")</f>
        <v/>
      </c>
    </row>
    <row r="94" spans="1:10" ht="21" customHeight="1" x14ac:dyDescent="0.2">
      <c r="A94" s="46" t="str">
        <f>IF($J94="","",IF(ISBLANK(INDEX('Product Backlog'!$A$5:$A$504,$J94)),"",INDEX('Product Backlog'!$A$5:$A$504,$J94)))</f>
        <v/>
      </c>
      <c r="B94" s="46" t="str">
        <f>IF($J94="","",IF(ISBLANK(INDEX('Product Backlog'!$B$5:$B$504,$J94)),"",INDEX('Product Backlog'!$B$5:$B$504,$J94)))</f>
        <v/>
      </c>
      <c r="C94" s="46" t="str">
        <f>IF($J94="","",IF(ISBLANK(INDEX('Product Backlog'!$C$5:$C$504,$J94)),"",INDEX('Product Backlog'!$C$5:$C$504,$J94)))</f>
        <v/>
      </c>
      <c r="D94" s="46" t="str">
        <f>IF($J94="","",IF(ISBLANK(INDEX('Product Backlog'!$D$5:$D$504,$J94)),"",INDEX('Product Backlog'!$D$5:$D$504,$J94)))</f>
        <v/>
      </c>
      <c r="E94" s="46" t="str">
        <f>IF($J94="","",IF(ISBLANK(INDEX('Product Backlog'!$E$5:$E$504,$J94)),"",INDEX('Product Backlog'!$E$5:$E$504,$J94)))</f>
        <v/>
      </c>
      <c r="F94" s="47" t="str">
        <f>IF($J94="","",IF(ISBLANK(INDEX('Product Backlog'!$F$5:$F$504,$J94)),"",INDEX('Product Backlog'!$F$5:$F$504,$J94)))</f>
        <v/>
      </c>
      <c r="G94" s="47" t="str">
        <f>IF($J94="","",IF(ISBLANK(INDEX('Product Backlog'!$G$5:$G$504,$J94)),"",INDEX('Product Backlog'!$G$5:$G$504,$J94)))</f>
        <v/>
      </c>
      <c r="H94" s="48" t="str">
        <f>IF($J94="","",IF(ISBLANK(INDEX('Product Backlog'!$H$5:$H$504,$J94)),"",INDEX('Product Backlog'!$H$5:$H$504,$J94)))</f>
        <v/>
      </c>
      <c r="I94" s="48" t="str">
        <f>IF($J94="","",IF(ISBLANK(INDEX('Product Backlog'!$I$5:$I$504,$J94)),"",INDEX('Product Backlog'!$I$5:$I$504,$J94)))</f>
        <v/>
      </c>
      <c r="J94" t="str">
        <f>IFERROR(MATCH($B$4&amp;"-"&amp;ROWS($A$10:A94),'Product Backlog'!$J$5:$J$504,0),"")</f>
        <v/>
      </c>
    </row>
    <row r="95" spans="1:10" ht="21" customHeight="1" x14ac:dyDescent="0.2">
      <c r="A95" s="46" t="str">
        <f>IF($J95="","",IF(ISBLANK(INDEX('Product Backlog'!$A$5:$A$504,$J95)),"",INDEX('Product Backlog'!$A$5:$A$504,$J95)))</f>
        <v/>
      </c>
      <c r="B95" s="46" t="str">
        <f>IF($J95="","",IF(ISBLANK(INDEX('Product Backlog'!$B$5:$B$504,$J95)),"",INDEX('Product Backlog'!$B$5:$B$504,$J95)))</f>
        <v/>
      </c>
      <c r="C95" s="46" t="str">
        <f>IF($J95="","",IF(ISBLANK(INDEX('Product Backlog'!$C$5:$C$504,$J95)),"",INDEX('Product Backlog'!$C$5:$C$504,$J95)))</f>
        <v/>
      </c>
      <c r="D95" s="46" t="str">
        <f>IF($J95="","",IF(ISBLANK(INDEX('Product Backlog'!$D$5:$D$504,$J95)),"",INDEX('Product Backlog'!$D$5:$D$504,$J95)))</f>
        <v/>
      </c>
      <c r="E95" s="46" t="str">
        <f>IF($J95="","",IF(ISBLANK(INDEX('Product Backlog'!$E$5:$E$504,$J95)),"",INDEX('Product Backlog'!$E$5:$E$504,$J95)))</f>
        <v/>
      </c>
      <c r="F95" s="47" t="str">
        <f>IF($J95="","",IF(ISBLANK(INDEX('Product Backlog'!$F$5:$F$504,$J95)),"",INDEX('Product Backlog'!$F$5:$F$504,$J95)))</f>
        <v/>
      </c>
      <c r="G95" s="47" t="str">
        <f>IF($J95="","",IF(ISBLANK(INDEX('Product Backlog'!$G$5:$G$504,$J95)),"",INDEX('Product Backlog'!$G$5:$G$504,$J95)))</f>
        <v/>
      </c>
      <c r="H95" s="48" t="str">
        <f>IF($J95="","",IF(ISBLANK(INDEX('Product Backlog'!$H$5:$H$504,$J95)),"",INDEX('Product Backlog'!$H$5:$H$504,$J95)))</f>
        <v/>
      </c>
      <c r="I95" s="48" t="str">
        <f>IF($J95="","",IF(ISBLANK(INDEX('Product Backlog'!$I$5:$I$504,$J95)),"",INDEX('Product Backlog'!$I$5:$I$504,$J95)))</f>
        <v/>
      </c>
      <c r="J95" t="str">
        <f>IFERROR(MATCH($B$4&amp;"-"&amp;ROWS($A$10:A95),'Product Backlog'!$J$5:$J$504,0),"")</f>
        <v/>
      </c>
    </row>
    <row r="96" spans="1:10" ht="21" customHeight="1" x14ac:dyDescent="0.2">
      <c r="A96" s="46" t="str">
        <f>IF($J96="","",IF(ISBLANK(INDEX('Product Backlog'!$A$5:$A$504,$J96)),"",INDEX('Product Backlog'!$A$5:$A$504,$J96)))</f>
        <v/>
      </c>
      <c r="B96" s="46" t="str">
        <f>IF($J96="","",IF(ISBLANK(INDEX('Product Backlog'!$B$5:$B$504,$J96)),"",INDEX('Product Backlog'!$B$5:$B$504,$J96)))</f>
        <v/>
      </c>
      <c r="C96" s="46" t="str">
        <f>IF($J96="","",IF(ISBLANK(INDEX('Product Backlog'!$C$5:$C$504,$J96)),"",INDEX('Product Backlog'!$C$5:$C$504,$J96)))</f>
        <v/>
      </c>
      <c r="D96" s="46" t="str">
        <f>IF($J96="","",IF(ISBLANK(INDEX('Product Backlog'!$D$5:$D$504,$J96)),"",INDEX('Product Backlog'!$D$5:$D$504,$J96)))</f>
        <v/>
      </c>
      <c r="E96" s="46" t="str">
        <f>IF($J96="","",IF(ISBLANK(INDEX('Product Backlog'!$E$5:$E$504,$J96)),"",INDEX('Product Backlog'!$E$5:$E$504,$J96)))</f>
        <v/>
      </c>
      <c r="F96" s="47" t="str">
        <f>IF($J96="","",IF(ISBLANK(INDEX('Product Backlog'!$F$5:$F$504,$J96)),"",INDEX('Product Backlog'!$F$5:$F$504,$J96)))</f>
        <v/>
      </c>
      <c r="G96" s="47" t="str">
        <f>IF($J96="","",IF(ISBLANK(INDEX('Product Backlog'!$G$5:$G$504,$J96)),"",INDEX('Product Backlog'!$G$5:$G$504,$J96)))</f>
        <v/>
      </c>
      <c r="H96" s="48" t="str">
        <f>IF($J96="","",IF(ISBLANK(INDEX('Product Backlog'!$H$5:$H$504,$J96)),"",INDEX('Product Backlog'!$H$5:$H$504,$J96)))</f>
        <v/>
      </c>
      <c r="I96" s="48" t="str">
        <f>IF($J96="","",IF(ISBLANK(INDEX('Product Backlog'!$I$5:$I$504,$J96)),"",INDEX('Product Backlog'!$I$5:$I$504,$J96)))</f>
        <v/>
      </c>
      <c r="J96" t="str">
        <f>IFERROR(MATCH($B$4&amp;"-"&amp;ROWS($A$10:A96),'Product Backlog'!$J$5:$J$504,0),"")</f>
        <v/>
      </c>
    </row>
    <row r="97" spans="1:10" ht="21" customHeight="1" x14ac:dyDescent="0.2">
      <c r="A97" s="46" t="str">
        <f>IF($J97="","",IF(ISBLANK(INDEX('Product Backlog'!$A$5:$A$504,$J97)),"",INDEX('Product Backlog'!$A$5:$A$504,$J97)))</f>
        <v/>
      </c>
      <c r="B97" s="46" t="str">
        <f>IF($J97="","",IF(ISBLANK(INDEX('Product Backlog'!$B$5:$B$504,$J97)),"",INDEX('Product Backlog'!$B$5:$B$504,$J97)))</f>
        <v/>
      </c>
      <c r="C97" s="46" t="str">
        <f>IF($J97="","",IF(ISBLANK(INDEX('Product Backlog'!$C$5:$C$504,$J97)),"",INDEX('Product Backlog'!$C$5:$C$504,$J97)))</f>
        <v/>
      </c>
      <c r="D97" s="46" t="str">
        <f>IF($J97="","",IF(ISBLANK(INDEX('Product Backlog'!$D$5:$D$504,$J97)),"",INDEX('Product Backlog'!$D$5:$D$504,$J97)))</f>
        <v/>
      </c>
      <c r="E97" s="46" t="str">
        <f>IF($J97="","",IF(ISBLANK(INDEX('Product Backlog'!$E$5:$E$504,$J97)),"",INDEX('Product Backlog'!$E$5:$E$504,$J97)))</f>
        <v/>
      </c>
      <c r="F97" s="47" t="str">
        <f>IF($J97="","",IF(ISBLANK(INDEX('Product Backlog'!$F$5:$F$504,$J97)),"",INDEX('Product Backlog'!$F$5:$F$504,$J97)))</f>
        <v/>
      </c>
      <c r="G97" s="47" t="str">
        <f>IF($J97="","",IF(ISBLANK(INDEX('Product Backlog'!$G$5:$G$504,$J97)),"",INDEX('Product Backlog'!$G$5:$G$504,$J97)))</f>
        <v/>
      </c>
      <c r="H97" s="48" t="str">
        <f>IF($J97="","",IF(ISBLANK(INDEX('Product Backlog'!$H$5:$H$504,$J97)),"",INDEX('Product Backlog'!$H$5:$H$504,$J97)))</f>
        <v/>
      </c>
      <c r="I97" s="48" t="str">
        <f>IF($J97="","",IF(ISBLANK(INDEX('Product Backlog'!$I$5:$I$504,$J97)),"",INDEX('Product Backlog'!$I$5:$I$504,$J97)))</f>
        <v/>
      </c>
      <c r="J97" t="str">
        <f>IFERROR(MATCH($B$4&amp;"-"&amp;ROWS($A$10:A97),'Product Backlog'!$J$5:$J$504,0),"")</f>
        <v/>
      </c>
    </row>
    <row r="98" spans="1:10" ht="21" customHeight="1" x14ac:dyDescent="0.2">
      <c r="A98" s="46" t="str">
        <f>IF($J98="","",IF(ISBLANK(INDEX('Product Backlog'!$A$5:$A$504,$J98)),"",INDEX('Product Backlog'!$A$5:$A$504,$J98)))</f>
        <v/>
      </c>
      <c r="B98" s="46" t="str">
        <f>IF($J98="","",IF(ISBLANK(INDEX('Product Backlog'!$B$5:$B$504,$J98)),"",INDEX('Product Backlog'!$B$5:$B$504,$J98)))</f>
        <v/>
      </c>
      <c r="C98" s="46" t="str">
        <f>IF($J98="","",IF(ISBLANK(INDEX('Product Backlog'!$C$5:$C$504,$J98)),"",INDEX('Product Backlog'!$C$5:$C$504,$J98)))</f>
        <v/>
      </c>
      <c r="D98" s="46" t="str">
        <f>IF($J98="","",IF(ISBLANK(INDEX('Product Backlog'!$D$5:$D$504,$J98)),"",INDEX('Product Backlog'!$D$5:$D$504,$J98)))</f>
        <v/>
      </c>
      <c r="E98" s="46" t="str">
        <f>IF($J98="","",IF(ISBLANK(INDEX('Product Backlog'!$E$5:$E$504,$J98)),"",INDEX('Product Backlog'!$E$5:$E$504,$J98)))</f>
        <v/>
      </c>
      <c r="F98" s="47" t="str">
        <f>IF($J98="","",IF(ISBLANK(INDEX('Product Backlog'!$F$5:$F$504,$J98)),"",INDEX('Product Backlog'!$F$5:$F$504,$J98)))</f>
        <v/>
      </c>
      <c r="G98" s="47" t="str">
        <f>IF($J98="","",IF(ISBLANK(INDEX('Product Backlog'!$G$5:$G$504,$J98)),"",INDEX('Product Backlog'!$G$5:$G$504,$J98)))</f>
        <v/>
      </c>
      <c r="H98" s="48" t="str">
        <f>IF($J98="","",IF(ISBLANK(INDEX('Product Backlog'!$H$5:$H$504,$J98)),"",INDEX('Product Backlog'!$H$5:$H$504,$J98)))</f>
        <v/>
      </c>
      <c r="I98" s="48" t="str">
        <f>IF($J98="","",IF(ISBLANK(INDEX('Product Backlog'!$I$5:$I$504,$J98)),"",INDEX('Product Backlog'!$I$5:$I$504,$J98)))</f>
        <v/>
      </c>
      <c r="J98" t="str">
        <f>IFERROR(MATCH($B$4&amp;"-"&amp;ROWS($A$10:A98),'Product Backlog'!$J$5:$J$504,0),"")</f>
        <v/>
      </c>
    </row>
    <row r="99" spans="1:10" ht="21" customHeight="1" x14ac:dyDescent="0.2">
      <c r="A99" s="46" t="str">
        <f>IF($J99="","",IF(ISBLANK(INDEX('Product Backlog'!$A$5:$A$504,$J99)),"",INDEX('Product Backlog'!$A$5:$A$504,$J99)))</f>
        <v/>
      </c>
      <c r="B99" s="46" t="str">
        <f>IF($J99="","",IF(ISBLANK(INDEX('Product Backlog'!$B$5:$B$504,$J99)),"",INDEX('Product Backlog'!$B$5:$B$504,$J99)))</f>
        <v/>
      </c>
      <c r="C99" s="46" t="str">
        <f>IF($J99="","",IF(ISBLANK(INDEX('Product Backlog'!$C$5:$C$504,$J99)),"",INDEX('Product Backlog'!$C$5:$C$504,$J99)))</f>
        <v/>
      </c>
      <c r="D99" s="46" t="str">
        <f>IF($J99="","",IF(ISBLANK(INDEX('Product Backlog'!$D$5:$D$504,$J99)),"",INDEX('Product Backlog'!$D$5:$D$504,$J99)))</f>
        <v/>
      </c>
      <c r="E99" s="46" t="str">
        <f>IF($J99="","",IF(ISBLANK(INDEX('Product Backlog'!$E$5:$E$504,$J99)),"",INDEX('Product Backlog'!$E$5:$E$504,$J99)))</f>
        <v/>
      </c>
      <c r="F99" s="47" t="str">
        <f>IF($J99="","",IF(ISBLANK(INDEX('Product Backlog'!$F$5:$F$504,$J99)),"",INDEX('Product Backlog'!$F$5:$F$504,$J99)))</f>
        <v/>
      </c>
      <c r="G99" s="47" t="str">
        <f>IF($J99="","",IF(ISBLANK(INDEX('Product Backlog'!$G$5:$G$504,$J99)),"",INDEX('Product Backlog'!$G$5:$G$504,$J99)))</f>
        <v/>
      </c>
      <c r="H99" s="48" t="str">
        <f>IF($J99="","",IF(ISBLANK(INDEX('Product Backlog'!$H$5:$H$504,$J99)),"",INDEX('Product Backlog'!$H$5:$H$504,$J99)))</f>
        <v/>
      </c>
      <c r="I99" s="48" t="str">
        <f>IF($J99="","",IF(ISBLANK(INDEX('Product Backlog'!$I$5:$I$504,$J99)),"",INDEX('Product Backlog'!$I$5:$I$504,$J99)))</f>
        <v/>
      </c>
      <c r="J99" t="str">
        <f>IFERROR(MATCH($B$4&amp;"-"&amp;ROWS($A$10:A99),'Product Backlog'!$J$5:$J$504,0),"")</f>
        <v/>
      </c>
    </row>
    <row r="100" spans="1:10" ht="21" customHeight="1" x14ac:dyDescent="0.2">
      <c r="A100" s="46" t="str">
        <f>IF($J100="","",IF(ISBLANK(INDEX('Product Backlog'!$A$5:$A$504,$J100)),"",INDEX('Product Backlog'!$A$5:$A$504,$J100)))</f>
        <v/>
      </c>
      <c r="B100" s="46" t="str">
        <f>IF($J100="","",IF(ISBLANK(INDEX('Product Backlog'!$B$5:$B$504,$J100)),"",INDEX('Product Backlog'!$B$5:$B$504,$J100)))</f>
        <v/>
      </c>
      <c r="C100" s="46" t="str">
        <f>IF($J100="","",IF(ISBLANK(INDEX('Product Backlog'!$C$5:$C$504,$J100)),"",INDEX('Product Backlog'!$C$5:$C$504,$J100)))</f>
        <v/>
      </c>
      <c r="D100" s="46" t="str">
        <f>IF($J100="","",IF(ISBLANK(INDEX('Product Backlog'!$D$5:$D$504,$J100)),"",INDEX('Product Backlog'!$D$5:$D$504,$J100)))</f>
        <v/>
      </c>
      <c r="E100" s="46" t="str">
        <f>IF($J100="","",IF(ISBLANK(INDEX('Product Backlog'!$E$5:$E$504,$J100)),"",INDEX('Product Backlog'!$E$5:$E$504,$J100)))</f>
        <v/>
      </c>
      <c r="F100" s="47" t="str">
        <f>IF($J100="","",IF(ISBLANK(INDEX('Product Backlog'!$F$5:$F$504,$J100)),"",INDEX('Product Backlog'!$F$5:$F$504,$J100)))</f>
        <v/>
      </c>
      <c r="G100" s="47" t="str">
        <f>IF($J100="","",IF(ISBLANK(INDEX('Product Backlog'!$G$5:$G$504,$J100)),"",INDEX('Product Backlog'!$G$5:$G$504,$J100)))</f>
        <v/>
      </c>
      <c r="H100" s="48" t="str">
        <f>IF($J100="","",IF(ISBLANK(INDEX('Product Backlog'!$H$5:$H$504,$J100)),"",INDEX('Product Backlog'!$H$5:$H$504,$J100)))</f>
        <v/>
      </c>
      <c r="I100" s="48" t="str">
        <f>IF($J100="","",IF(ISBLANK(INDEX('Product Backlog'!$I$5:$I$504,$J100)),"",INDEX('Product Backlog'!$I$5:$I$504,$J100)))</f>
        <v/>
      </c>
      <c r="J100" t="str">
        <f>IFERROR(MATCH($B$4&amp;"-"&amp;ROWS($A$10:A100),'Product Backlog'!$J$5:$J$504,0),"")</f>
        <v/>
      </c>
    </row>
    <row r="101" spans="1:10" ht="21" customHeight="1" x14ac:dyDescent="0.2">
      <c r="A101" s="46" t="str">
        <f>IF($J101="","",IF(ISBLANK(INDEX('Product Backlog'!$A$5:$A$504,$J101)),"",INDEX('Product Backlog'!$A$5:$A$504,$J101)))</f>
        <v/>
      </c>
      <c r="B101" s="46" t="str">
        <f>IF($J101="","",IF(ISBLANK(INDEX('Product Backlog'!$B$5:$B$504,$J101)),"",INDEX('Product Backlog'!$B$5:$B$504,$J101)))</f>
        <v/>
      </c>
      <c r="C101" s="46" t="str">
        <f>IF($J101="","",IF(ISBLANK(INDEX('Product Backlog'!$C$5:$C$504,$J101)),"",INDEX('Product Backlog'!$C$5:$C$504,$J101)))</f>
        <v/>
      </c>
      <c r="D101" s="46" t="str">
        <f>IF($J101="","",IF(ISBLANK(INDEX('Product Backlog'!$D$5:$D$504,$J101)),"",INDEX('Product Backlog'!$D$5:$D$504,$J101)))</f>
        <v/>
      </c>
      <c r="E101" s="46" t="str">
        <f>IF($J101="","",IF(ISBLANK(INDEX('Product Backlog'!$E$5:$E$504,$J101)),"",INDEX('Product Backlog'!$E$5:$E$504,$J101)))</f>
        <v/>
      </c>
      <c r="F101" s="47" t="str">
        <f>IF($J101="","",IF(ISBLANK(INDEX('Product Backlog'!$F$5:$F$504,$J101)),"",INDEX('Product Backlog'!$F$5:$F$504,$J101)))</f>
        <v/>
      </c>
      <c r="G101" s="47" t="str">
        <f>IF($J101="","",IF(ISBLANK(INDEX('Product Backlog'!$G$5:$G$504,$J101)),"",INDEX('Product Backlog'!$G$5:$G$504,$J101)))</f>
        <v/>
      </c>
      <c r="H101" s="48" t="str">
        <f>IF($J101="","",IF(ISBLANK(INDEX('Product Backlog'!$H$5:$H$504,$J101)),"",INDEX('Product Backlog'!$H$5:$H$504,$J101)))</f>
        <v/>
      </c>
      <c r="I101" s="48" t="str">
        <f>IF($J101="","",IF(ISBLANK(INDEX('Product Backlog'!$I$5:$I$504,$J101)),"",INDEX('Product Backlog'!$I$5:$I$504,$J101)))</f>
        <v/>
      </c>
      <c r="J101" t="str">
        <f>IFERROR(MATCH($B$4&amp;"-"&amp;ROWS($A$10:A101),'Product Backlog'!$J$5:$J$504,0),"")</f>
        <v/>
      </c>
    </row>
    <row r="102" spans="1:10" ht="21" customHeight="1" x14ac:dyDescent="0.2">
      <c r="A102" s="46" t="str">
        <f>IF($J102="","",IF(ISBLANK(INDEX('Product Backlog'!$A$5:$A$504,$J102)),"",INDEX('Product Backlog'!$A$5:$A$504,$J102)))</f>
        <v/>
      </c>
      <c r="B102" s="46" t="str">
        <f>IF($J102="","",IF(ISBLANK(INDEX('Product Backlog'!$B$5:$B$504,$J102)),"",INDEX('Product Backlog'!$B$5:$B$504,$J102)))</f>
        <v/>
      </c>
      <c r="C102" s="46" t="str">
        <f>IF($J102="","",IF(ISBLANK(INDEX('Product Backlog'!$C$5:$C$504,$J102)),"",INDEX('Product Backlog'!$C$5:$C$504,$J102)))</f>
        <v/>
      </c>
      <c r="D102" s="46" t="str">
        <f>IF($J102="","",IF(ISBLANK(INDEX('Product Backlog'!$D$5:$D$504,$J102)),"",INDEX('Product Backlog'!$D$5:$D$504,$J102)))</f>
        <v/>
      </c>
      <c r="E102" s="46" t="str">
        <f>IF($J102="","",IF(ISBLANK(INDEX('Product Backlog'!$E$5:$E$504,$J102)),"",INDEX('Product Backlog'!$E$5:$E$504,$J102)))</f>
        <v/>
      </c>
      <c r="F102" s="47" t="str">
        <f>IF($J102="","",IF(ISBLANK(INDEX('Product Backlog'!$F$5:$F$504,$J102)),"",INDEX('Product Backlog'!$F$5:$F$504,$J102)))</f>
        <v/>
      </c>
      <c r="G102" s="47" t="str">
        <f>IF($J102="","",IF(ISBLANK(INDEX('Product Backlog'!$G$5:$G$504,$J102)),"",INDEX('Product Backlog'!$G$5:$G$504,$J102)))</f>
        <v/>
      </c>
      <c r="H102" s="48" t="str">
        <f>IF($J102="","",IF(ISBLANK(INDEX('Product Backlog'!$H$5:$H$504,$J102)),"",INDEX('Product Backlog'!$H$5:$H$504,$J102)))</f>
        <v/>
      </c>
      <c r="I102" s="48" t="str">
        <f>IF($J102="","",IF(ISBLANK(INDEX('Product Backlog'!$I$5:$I$504,$J102)),"",INDEX('Product Backlog'!$I$5:$I$504,$J102)))</f>
        <v/>
      </c>
      <c r="J102" t="str">
        <f>IFERROR(MATCH($B$4&amp;"-"&amp;ROWS($A$10:A102),'Product Backlog'!$J$5:$J$504,0),"")</f>
        <v/>
      </c>
    </row>
    <row r="103" spans="1:10" ht="21" customHeight="1" x14ac:dyDescent="0.2">
      <c r="A103" s="46" t="str">
        <f>IF($J103="","",IF(ISBLANK(INDEX('Product Backlog'!$A$5:$A$504,$J103)),"",INDEX('Product Backlog'!$A$5:$A$504,$J103)))</f>
        <v/>
      </c>
      <c r="B103" s="46" t="str">
        <f>IF($J103="","",IF(ISBLANK(INDEX('Product Backlog'!$B$5:$B$504,$J103)),"",INDEX('Product Backlog'!$B$5:$B$504,$J103)))</f>
        <v/>
      </c>
      <c r="C103" s="46" t="str">
        <f>IF($J103="","",IF(ISBLANK(INDEX('Product Backlog'!$C$5:$C$504,$J103)),"",INDEX('Product Backlog'!$C$5:$C$504,$J103)))</f>
        <v/>
      </c>
      <c r="D103" s="46" t="str">
        <f>IF($J103="","",IF(ISBLANK(INDEX('Product Backlog'!$D$5:$D$504,$J103)),"",INDEX('Product Backlog'!$D$5:$D$504,$J103)))</f>
        <v/>
      </c>
      <c r="E103" s="46" t="str">
        <f>IF($J103="","",IF(ISBLANK(INDEX('Product Backlog'!$E$5:$E$504,$J103)),"",INDEX('Product Backlog'!$E$5:$E$504,$J103)))</f>
        <v/>
      </c>
      <c r="F103" s="47" t="str">
        <f>IF($J103="","",IF(ISBLANK(INDEX('Product Backlog'!$F$5:$F$504,$J103)),"",INDEX('Product Backlog'!$F$5:$F$504,$J103)))</f>
        <v/>
      </c>
      <c r="G103" s="47" t="str">
        <f>IF($J103="","",IF(ISBLANK(INDEX('Product Backlog'!$G$5:$G$504,$J103)),"",INDEX('Product Backlog'!$G$5:$G$504,$J103)))</f>
        <v/>
      </c>
      <c r="H103" s="48" t="str">
        <f>IF($J103="","",IF(ISBLANK(INDEX('Product Backlog'!$H$5:$H$504,$J103)),"",INDEX('Product Backlog'!$H$5:$H$504,$J103)))</f>
        <v/>
      </c>
      <c r="I103" s="48" t="str">
        <f>IF($J103="","",IF(ISBLANK(INDEX('Product Backlog'!$I$5:$I$504,$J103)),"",INDEX('Product Backlog'!$I$5:$I$504,$J103)))</f>
        <v/>
      </c>
      <c r="J103" t="str">
        <f>IFERROR(MATCH($B$4&amp;"-"&amp;ROWS($A$10:A103),'Product Backlog'!$J$5:$J$504,0),"")</f>
        <v/>
      </c>
    </row>
    <row r="104" spans="1:10" ht="21" customHeight="1" x14ac:dyDescent="0.2">
      <c r="A104" s="46" t="str">
        <f>IF($J104="","",IF(ISBLANK(INDEX('Product Backlog'!$A$5:$A$504,$J104)),"",INDEX('Product Backlog'!$A$5:$A$504,$J104)))</f>
        <v/>
      </c>
      <c r="B104" s="46" t="str">
        <f>IF($J104="","",IF(ISBLANK(INDEX('Product Backlog'!$B$5:$B$504,$J104)),"",INDEX('Product Backlog'!$B$5:$B$504,$J104)))</f>
        <v/>
      </c>
      <c r="C104" s="46" t="str">
        <f>IF($J104="","",IF(ISBLANK(INDEX('Product Backlog'!$C$5:$C$504,$J104)),"",INDEX('Product Backlog'!$C$5:$C$504,$J104)))</f>
        <v/>
      </c>
      <c r="D104" s="46" t="str">
        <f>IF($J104="","",IF(ISBLANK(INDEX('Product Backlog'!$D$5:$D$504,$J104)),"",INDEX('Product Backlog'!$D$5:$D$504,$J104)))</f>
        <v/>
      </c>
      <c r="E104" s="46" t="str">
        <f>IF($J104="","",IF(ISBLANK(INDEX('Product Backlog'!$E$5:$E$504,$J104)),"",INDEX('Product Backlog'!$E$5:$E$504,$J104)))</f>
        <v/>
      </c>
      <c r="F104" s="47" t="str">
        <f>IF($J104="","",IF(ISBLANK(INDEX('Product Backlog'!$F$5:$F$504,$J104)),"",INDEX('Product Backlog'!$F$5:$F$504,$J104)))</f>
        <v/>
      </c>
      <c r="G104" s="47" t="str">
        <f>IF($J104="","",IF(ISBLANK(INDEX('Product Backlog'!$G$5:$G$504,$J104)),"",INDEX('Product Backlog'!$G$5:$G$504,$J104)))</f>
        <v/>
      </c>
      <c r="H104" s="48" t="str">
        <f>IF($J104="","",IF(ISBLANK(INDEX('Product Backlog'!$H$5:$H$504,$J104)),"",INDEX('Product Backlog'!$H$5:$H$504,$J104)))</f>
        <v/>
      </c>
      <c r="I104" s="48" t="str">
        <f>IF($J104="","",IF(ISBLANK(INDEX('Product Backlog'!$I$5:$I$504,$J104)),"",INDEX('Product Backlog'!$I$5:$I$504,$J104)))</f>
        <v/>
      </c>
      <c r="J104" t="str">
        <f>IFERROR(MATCH($B$4&amp;"-"&amp;ROWS($A$10:A104),'Product Backlog'!$J$5:$J$504,0),"")</f>
        <v/>
      </c>
    </row>
    <row r="105" spans="1:10" ht="21" customHeight="1" x14ac:dyDescent="0.2">
      <c r="A105" s="46" t="str">
        <f>IF($J105="","",IF(ISBLANK(INDEX('Product Backlog'!$A$5:$A$504,$J105)),"",INDEX('Product Backlog'!$A$5:$A$504,$J105)))</f>
        <v/>
      </c>
      <c r="B105" s="46" t="str">
        <f>IF($J105="","",IF(ISBLANK(INDEX('Product Backlog'!$B$5:$B$504,$J105)),"",INDEX('Product Backlog'!$B$5:$B$504,$J105)))</f>
        <v/>
      </c>
      <c r="C105" s="46" t="str">
        <f>IF($J105="","",IF(ISBLANK(INDEX('Product Backlog'!$C$5:$C$504,$J105)),"",INDEX('Product Backlog'!$C$5:$C$504,$J105)))</f>
        <v/>
      </c>
      <c r="D105" s="46" t="str">
        <f>IF($J105="","",IF(ISBLANK(INDEX('Product Backlog'!$D$5:$D$504,$J105)),"",INDEX('Product Backlog'!$D$5:$D$504,$J105)))</f>
        <v/>
      </c>
      <c r="E105" s="46" t="str">
        <f>IF($J105="","",IF(ISBLANK(INDEX('Product Backlog'!$E$5:$E$504,$J105)),"",INDEX('Product Backlog'!$E$5:$E$504,$J105)))</f>
        <v/>
      </c>
      <c r="F105" s="47" t="str">
        <f>IF($J105="","",IF(ISBLANK(INDEX('Product Backlog'!$F$5:$F$504,$J105)),"",INDEX('Product Backlog'!$F$5:$F$504,$J105)))</f>
        <v/>
      </c>
      <c r="G105" s="47" t="str">
        <f>IF($J105="","",IF(ISBLANK(INDEX('Product Backlog'!$G$5:$G$504,$J105)),"",INDEX('Product Backlog'!$G$5:$G$504,$J105)))</f>
        <v/>
      </c>
      <c r="H105" s="48" t="str">
        <f>IF($J105="","",IF(ISBLANK(INDEX('Product Backlog'!$H$5:$H$504,$J105)),"",INDEX('Product Backlog'!$H$5:$H$504,$J105)))</f>
        <v/>
      </c>
      <c r="I105" s="48" t="str">
        <f>IF($J105="","",IF(ISBLANK(INDEX('Product Backlog'!$I$5:$I$504,$J105)),"",INDEX('Product Backlog'!$I$5:$I$504,$J105)))</f>
        <v/>
      </c>
      <c r="J105" t="str">
        <f>IFERROR(MATCH($B$4&amp;"-"&amp;ROWS($A$10:A105),'Product Backlog'!$J$5:$J$504,0),"")</f>
        <v/>
      </c>
    </row>
    <row r="106" spans="1:10" ht="21" customHeight="1" x14ac:dyDescent="0.2">
      <c r="A106" s="46" t="str">
        <f>IF($J106="","",IF(ISBLANK(INDEX('Product Backlog'!$A$5:$A$504,$J106)),"",INDEX('Product Backlog'!$A$5:$A$504,$J106)))</f>
        <v/>
      </c>
      <c r="B106" s="46" t="str">
        <f>IF($J106="","",IF(ISBLANK(INDEX('Product Backlog'!$B$5:$B$504,$J106)),"",INDEX('Product Backlog'!$B$5:$B$504,$J106)))</f>
        <v/>
      </c>
      <c r="C106" s="46" t="str">
        <f>IF($J106="","",IF(ISBLANK(INDEX('Product Backlog'!$C$5:$C$504,$J106)),"",INDEX('Product Backlog'!$C$5:$C$504,$J106)))</f>
        <v/>
      </c>
      <c r="D106" s="46" t="str">
        <f>IF($J106="","",IF(ISBLANK(INDEX('Product Backlog'!$D$5:$D$504,$J106)),"",INDEX('Product Backlog'!$D$5:$D$504,$J106)))</f>
        <v/>
      </c>
      <c r="E106" s="46" t="str">
        <f>IF($J106="","",IF(ISBLANK(INDEX('Product Backlog'!$E$5:$E$504,$J106)),"",INDEX('Product Backlog'!$E$5:$E$504,$J106)))</f>
        <v/>
      </c>
      <c r="F106" s="47" t="str">
        <f>IF($J106="","",IF(ISBLANK(INDEX('Product Backlog'!$F$5:$F$504,$J106)),"",INDEX('Product Backlog'!$F$5:$F$504,$J106)))</f>
        <v/>
      </c>
      <c r="G106" s="47" t="str">
        <f>IF($J106="","",IF(ISBLANK(INDEX('Product Backlog'!$G$5:$G$504,$J106)),"",INDEX('Product Backlog'!$G$5:$G$504,$J106)))</f>
        <v/>
      </c>
      <c r="H106" s="48" t="str">
        <f>IF($J106="","",IF(ISBLANK(INDEX('Product Backlog'!$H$5:$H$504,$J106)),"",INDEX('Product Backlog'!$H$5:$H$504,$J106)))</f>
        <v/>
      </c>
      <c r="I106" s="48" t="str">
        <f>IF($J106="","",IF(ISBLANK(INDEX('Product Backlog'!$I$5:$I$504,$J106)),"",INDEX('Product Backlog'!$I$5:$I$504,$J106)))</f>
        <v/>
      </c>
      <c r="J106" t="str">
        <f>IFERROR(MATCH($B$4&amp;"-"&amp;ROWS($A$10:A106),'Product Backlog'!$J$5:$J$504,0),"")</f>
        <v/>
      </c>
    </row>
    <row r="107" spans="1:10" ht="21" customHeight="1" x14ac:dyDescent="0.2">
      <c r="A107" s="46" t="str">
        <f>IF($J107="","",IF(ISBLANK(INDEX('Product Backlog'!$A$5:$A$504,$J107)),"",INDEX('Product Backlog'!$A$5:$A$504,$J107)))</f>
        <v/>
      </c>
      <c r="B107" s="46" t="str">
        <f>IF($J107="","",IF(ISBLANK(INDEX('Product Backlog'!$B$5:$B$504,$J107)),"",INDEX('Product Backlog'!$B$5:$B$504,$J107)))</f>
        <v/>
      </c>
      <c r="C107" s="46" t="str">
        <f>IF($J107="","",IF(ISBLANK(INDEX('Product Backlog'!$C$5:$C$504,$J107)),"",INDEX('Product Backlog'!$C$5:$C$504,$J107)))</f>
        <v/>
      </c>
      <c r="D107" s="46" t="str">
        <f>IF($J107="","",IF(ISBLANK(INDEX('Product Backlog'!$D$5:$D$504,$J107)),"",INDEX('Product Backlog'!$D$5:$D$504,$J107)))</f>
        <v/>
      </c>
      <c r="E107" s="46" t="str">
        <f>IF($J107="","",IF(ISBLANK(INDEX('Product Backlog'!$E$5:$E$504,$J107)),"",INDEX('Product Backlog'!$E$5:$E$504,$J107)))</f>
        <v/>
      </c>
      <c r="F107" s="47" t="str">
        <f>IF($J107="","",IF(ISBLANK(INDEX('Product Backlog'!$F$5:$F$504,$J107)),"",INDEX('Product Backlog'!$F$5:$F$504,$J107)))</f>
        <v/>
      </c>
      <c r="G107" s="47" t="str">
        <f>IF($J107="","",IF(ISBLANK(INDEX('Product Backlog'!$G$5:$G$504,$J107)),"",INDEX('Product Backlog'!$G$5:$G$504,$J107)))</f>
        <v/>
      </c>
      <c r="H107" s="48" t="str">
        <f>IF($J107="","",IF(ISBLANK(INDEX('Product Backlog'!$H$5:$H$504,$J107)),"",INDEX('Product Backlog'!$H$5:$H$504,$J107)))</f>
        <v/>
      </c>
      <c r="I107" s="48" t="str">
        <f>IF($J107="","",IF(ISBLANK(INDEX('Product Backlog'!$I$5:$I$504,$J107)),"",INDEX('Product Backlog'!$I$5:$I$504,$J107)))</f>
        <v/>
      </c>
      <c r="J107" t="str">
        <f>IFERROR(MATCH($B$4&amp;"-"&amp;ROWS($A$10:A107),'Product Backlog'!$J$5:$J$504,0),"")</f>
        <v/>
      </c>
    </row>
    <row r="108" spans="1:10" ht="21" customHeight="1" x14ac:dyDescent="0.2">
      <c r="A108" s="46" t="str">
        <f>IF($J108="","",IF(ISBLANK(INDEX('Product Backlog'!$A$5:$A$504,$J108)),"",INDEX('Product Backlog'!$A$5:$A$504,$J108)))</f>
        <v/>
      </c>
      <c r="B108" s="46" t="str">
        <f>IF($J108="","",IF(ISBLANK(INDEX('Product Backlog'!$B$5:$B$504,$J108)),"",INDEX('Product Backlog'!$B$5:$B$504,$J108)))</f>
        <v/>
      </c>
      <c r="C108" s="46" t="str">
        <f>IF($J108="","",IF(ISBLANK(INDEX('Product Backlog'!$C$5:$C$504,$J108)),"",INDEX('Product Backlog'!$C$5:$C$504,$J108)))</f>
        <v/>
      </c>
      <c r="D108" s="46" t="str">
        <f>IF($J108="","",IF(ISBLANK(INDEX('Product Backlog'!$D$5:$D$504,$J108)),"",INDEX('Product Backlog'!$D$5:$D$504,$J108)))</f>
        <v/>
      </c>
      <c r="E108" s="46" t="str">
        <f>IF($J108="","",IF(ISBLANK(INDEX('Product Backlog'!$E$5:$E$504,$J108)),"",INDEX('Product Backlog'!$E$5:$E$504,$J108)))</f>
        <v/>
      </c>
      <c r="F108" s="47" t="str">
        <f>IF($J108="","",IF(ISBLANK(INDEX('Product Backlog'!$F$5:$F$504,$J108)),"",INDEX('Product Backlog'!$F$5:$F$504,$J108)))</f>
        <v/>
      </c>
      <c r="G108" s="47" t="str">
        <f>IF($J108="","",IF(ISBLANK(INDEX('Product Backlog'!$G$5:$G$504,$J108)),"",INDEX('Product Backlog'!$G$5:$G$504,$J108)))</f>
        <v/>
      </c>
      <c r="H108" s="48" t="str">
        <f>IF($J108="","",IF(ISBLANK(INDEX('Product Backlog'!$H$5:$H$504,$J108)),"",INDEX('Product Backlog'!$H$5:$H$504,$J108)))</f>
        <v/>
      </c>
      <c r="I108" s="48" t="str">
        <f>IF($J108="","",IF(ISBLANK(INDEX('Product Backlog'!$I$5:$I$504,$J108)),"",INDEX('Product Backlog'!$I$5:$I$504,$J108)))</f>
        <v/>
      </c>
      <c r="J108" t="str">
        <f>IFERROR(MATCH($B$4&amp;"-"&amp;ROWS($A$10:A108),'Product Backlog'!$J$5:$J$504,0),"")</f>
        <v/>
      </c>
    </row>
    <row r="109" spans="1:10" ht="21" customHeight="1" x14ac:dyDescent="0.2">
      <c r="A109" s="46" t="str">
        <f>IF($J109="","",IF(ISBLANK(INDEX('Product Backlog'!$A$5:$A$504,$J109)),"",INDEX('Product Backlog'!$A$5:$A$504,$J109)))</f>
        <v/>
      </c>
      <c r="B109" s="46" t="str">
        <f>IF($J109="","",IF(ISBLANK(INDEX('Product Backlog'!$B$5:$B$504,$J109)),"",INDEX('Product Backlog'!$B$5:$B$504,$J109)))</f>
        <v/>
      </c>
      <c r="C109" s="46" t="str">
        <f>IF($J109="","",IF(ISBLANK(INDEX('Product Backlog'!$C$5:$C$504,$J109)),"",INDEX('Product Backlog'!$C$5:$C$504,$J109)))</f>
        <v/>
      </c>
      <c r="D109" s="46" t="str">
        <f>IF($J109="","",IF(ISBLANK(INDEX('Product Backlog'!$D$5:$D$504,$J109)),"",INDEX('Product Backlog'!$D$5:$D$504,$J109)))</f>
        <v/>
      </c>
      <c r="E109" s="46" t="str">
        <f>IF($J109="","",IF(ISBLANK(INDEX('Product Backlog'!$E$5:$E$504,$J109)),"",INDEX('Product Backlog'!$E$5:$E$504,$J109)))</f>
        <v/>
      </c>
      <c r="F109" s="47" t="str">
        <f>IF($J109="","",IF(ISBLANK(INDEX('Product Backlog'!$F$5:$F$504,$J109)),"",INDEX('Product Backlog'!$F$5:$F$504,$J109)))</f>
        <v/>
      </c>
      <c r="G109" s="47" t="str">
        <f>IF($J109="","",IF(ISBLANK(INDEX('Product Backlog'!$G$5:$G$504,$J109)),"",INDEX('Product Backlog'!$G$5:$G$504,$J109)))</f>
        <v/>
      </c>
      <c r="H109" s="48" t="str">
        <f>IF($J109="","",IF(ISBLANK(INDEX('Product Backlog'!$H$5:$H$504,$J109)),"",INDEX('Product Backlog'!$H$5:$H$504,$J109)))</f>
        <v/>
      </c>
      <c r="I109" s="48" t="str">
        <f>IF($J109="","",IF(ISBLANK(INDEX('Product Backlog'!$I$5:$I$504,$J109)),"",INDEX('Product Backlog'!$I$5:$I$504,$J109)))</f>
        <v/>
      </c>
      <c r="J109" t="str">
        <f>IFERROR(MATCH($B$4&amp;"-"&amp;ROWS($A$10:A109),'Product Backlog'!$J$5:$J$504,0),"")</f>
        <v/>
      </c>
    </row>
    <row r="110" spans="1:10" ht="21" customHeight="1" x14ac:dyDescent="0.2">
      <c r="A110" s="46"/>
      <c r="B110" s="46"/>
      <c r="C110" s="46"/>
      <c r="D110" s="46"/>
      <c r="E110" s="46"/>
      <c r="F110" s="47"/>
      <c r="G110" s="47"/>
      <c r="H110" s="48"/>
      <c r="I110" s="48"/>
    </row>
    <row r="111" spans="1:10" ht="21" customHeight="1" x14ac:dyDescent="0.2">
      <c r="A111" s="46"/>
      <c r="B111" s="46"/>
      <c r="C111" s="46"/>
      <c r="D111" s="46"/>
      <c r="E111" s="46"/>
      <c r="F111" s="47"/>
      <c r="G111" s="47"/>
      <c r="H111" s="48"/>
      <c r="I111" s="48"/>
    </row>
    <row r="112" spans="1:10" ht="21" customHeight="1" x14ac:dyDescent="0.2">
      <c r="A112" s="46"/>
      <c r="B112" s="46"/>
      <c r="C112" s="46"/>
      <c r="D112" s="46"/>
      <c r="E112" s="46"/>
      <c r="F112" s="47"/>
      <c r="G112" s="47"/>
      <c r="H112" s="48"/>
      <c r="I112" s="48"/>
    </row>
    <row r="113" spans="1:9" ht="21" customHeight="1" x14ac:dyDescent="0.2">
      <c r="A113" s="46"/>
      <c r="B113" s="46"/>
      <c r="C113" s="46"/>
      <c r="D113" s="46"/>
      <c r="E113" s="46"/>
      <c r="F113" s="47"/>
      <c r="G113" s="47"/>
      <c r="H113" s="48"/>
      <c r="I113" s="48"/>
    </row>
    <row r="114" spans="1:9" ht="21" customHeight="1" x14ac:dyDescent="0.2">
      <c r="A114" s="46"/>
      <c r="B114" s="46"/>
      <c r="C114" s="46"/>
      <c r="D114" s="46"/>
      <c r="E114" s="46"/>
      <c r="F114" s="47"/>
      <c r="G114" s="47"/>
      <c r="H114" s="48"/>
      <c r="I114" s="48"/>
    </row>
    <row r="115" spans="1:9" ht="21" customHeight="1" x14ac:dyDescent="0.2">
      <c r="A115" s="46"/>
      <c r="B115" s="46"/>
      <c r="C115" s="46"/>
      <c r="D115" s="46"/>
      <c r="E115" s="46"/>
      <c r="F115" s="47"/>
      <c r="G115" s="47"/>
      <c r="H115" s="48"/>
      <c r="I115" s="48"/>
    </row>
    <row r="116" spans="1:9" ht="21" customHeight="1" x14ac:dyDescent="0.2">
      <c r="A116" s="46"/>
      <c r="B116" s="46"/>
      <c r="C116" s="46"/>
      <c r="D116" s="46"/>
      <c r="E116" s="46"/>
      <c r="F116" s="47"/>
      <c r="G116" s="47"/>
      <c r="H116" s="48"/>
      <c r="I116" s="48"/>
    </row>
    <row r="117" spans="1:9" ht="21" customHeight="1" x14ac:dyDescent="0.2">
      <c r="A117" s="46"/>
      <c r="B117" s="46"/>
      <c r="C117" s="46"/>
      <c r="D117" s="46"/>
      <c r="E117" s="46"/>
      <c r="F117" s="47"/>
      <c r="G117" s="47"/>
      <c r="H117" s="48"/>
      <c r="I117" s="48"/>
    </row>
    <row r="118" spans="1:9" ht="21" customHeight="1" x14ac:dyDescent="0.2">
      <c r="A118" s="46"/>
      <c r="B118" s="46"/>
      <c r="C118" s="46"/>
      <c r="D118" s="46"/>
      <c r="E118" s="46"/>
      <c r="F118" s="47"/>
      <c r="G118" s="47"/>
      <c r="H118" s="48"/>
      <c r="I118" s="48"/>
    </row>
    <row r="119" spans="1:9" ht="21" customHeight="1" x14ac:dyDescent="0.2">
      <c r="A119" s="46"/>
      <c r="B119" s="46"/>
      <c r="C119" s="46"/>
      <c r="D119" s="46"/>
      <c r="E119" s="46"/>
      <c r="F119" s="47"/>
      <c r="G119" s="47"/>
      <c r="H119" s="48"/>
      <c r="I119" s="48"/>
    </row>
    <row r="120" spans="1:9" ht="21" customHeight="1" x14ac:dyDescent="0.2">
      <c r="A120" s="46"/>
      <c r="B120" s="46"/>
      <c r="C120" s="46"/>
      <c r="D120" s="46"/>
      <c r="E120" s="46"/>
      <c r="F120" s="47"/>
      <c r="G120" s="47"/>
      <c r="H120" s="48"/>
      <c r="I120" s="48"/>
    </row>
    <row r="121" spans="1:9" ht="21" customHeight="1" x14ac:dyDescent="0.2">
      <c r="A121" s="46"/>
      <c r="B121" s="46"/>
      <c r="C121" s="46"/>
      <c r="D121" s="46"/>
      <c r="E121" s="46"/>
      <c r="F121" s="47"/>
      <c r="G121" s="47"/>
      <c r="H121" s="48"/>
      <c r="I121" s="48"/>
    </row>
    <row r="122" spans="1:9" ht="21" customHeight="1" x14ac:dyDescent="0.2">
      <c r="A122" s="46"/>
      <c r="B122" s="46"/>
      <c r="C122" s="46"/>
      <c r="D122" s="46"/>
      <c r="E122" s="46"/>
      <c r="F122" s="47"/>
      <c r="G122" s="47"/>
      <c r="H122" s="48"/>
      <c r="I122" s="48"/>
    </row>
    <row r="123" spans="1:9" ht="21" customHeight="1" x14ac:dyDescent="0.2">
      <c r="A123" s="46"/>
      <c r="B123" s="46"/>
      <c r="C123" s="46"/>
      <c r="D123" s="46"/>
      <c r="E123" s="46"/>
      <c r="F123" s="47"/>
      <c r="G123" s="47"/>
      <c r="H123" s="48"/>
      <c r="I123" s="48"/>
    </row>
    <row r="124" spans="1:9" ht="21" customHeight="1" x14ac:dyDescent="0.2">
      <c r="A124" s="46"/>
      <c r="B124" s="46"/>
      <c r="C124" s="46"/>
      <c r="D124" s="46"/>
      <c r="E124" s="46"/>
      <c r="F124" s="47"/>
      <c r="G124" s="47"/>
      <c r="H124" s="48"/>
      <c r="I124" s="48"/>
    </row>
    <row r="125" spans="1:9" ht="21" customHeight="1" x14ac:dyDescent="0.2">
      <c r="A125" s="46"/>
      <c r="B125" s="46"/>
      <c r="C125" s="46"/>
      <c r="D125" s="46"/>
      <c r="E125" s="46"/>
      <c r="F125" s="47"/>
      <c r="G125" s="47"/>
      <c r="H125" s="48"/>
      <c r="I125" s="48"/>
    </row>
    <row r="126" spans="1:9" ht="21" customHeight="1" x14ac:dyDescent="0.2">
      <c r="A126" s="46"/>
      <c r="B126" s="46"/>
      <c r="C126" s="46"/>
      <c r="D126" s="46"/>
      <c r="E126" s="46"/>
      <c r="F126" s="47"/>
      <c r="G126" s="47"/>
      <c r="H126" s="48"/>
      <c r="I126" s="48"/>
    </row>
    <row r="127" spans="1:9" ht="21" customHeight="1" x14ac:dyDescent="0.2">
      <c r="A127" s="46"/>
      <c r="B127" s="46"/>
      <c r="C127" s="46"/>
      <c r="D127" s="46"/>
      <c r="E127" s="46"/>
      <c r="F127" s="47"/>
      <c r="G127" s="47"/>
      <c r="H127" s="48"/>
      <c r="I127" s="48"/>
    </row>
    <row r="128" spans="1:9" ht="21" customHeight="1" x14ac:dyDescent="0.2">
      <c r="A128" s="46"/>
      <c r="B128" s="46"/>
      <c r="C128" s="46"/>
      <c r="D128" s="46"/>
      <c r="E128" s="46"/>
      <c r="F128" s="47"/>
      <c r="G128" s="47"/>
      <c r="H128" s="48"/>
      <c r="I128" s="48"/>
    </row>
    <row r="129" spans="1:9" ht="21" customHeight="1" x14ac:dyDescent="0.2">
      <c r="A129" s="46"/>
      <c r="B129" s="46"/>
      <c r="C129" s="46"/>
      <c r="D129" s="46"/>
      <c r="E129" s="46"/>
      <c r="F129" s="47"/>
      <c r="G129" s="47"/>
      <c r="H129" s="48"/>
      <c r="I129" s="48"/>
    </row>
    <row r="130" spans="1:9" ht="21" customHeight="1" x14ac:dyDescent="0.2">
      <c r="A130" s="46"/>
      <c r="B130" s="46"/>
      <c r="C130" s="46"/>
      <c r="D130" s="46"/>
      <c r="E130" s="46"/>
      <c r="F130" s="47"/>
      <c r="G130" s="47"/>
      <c r="H130" s="48"/>
      <c r="I130" s="48"/>
    </row>
    <row r="131" spans="1:9" ht="21" customHeight="1" x14ac:dyDescent="0.2">
      <c r="A131" s="46"/>
      <c r="B131" s="46"/>
      <c r="C131" s="46"/>
      <c r="D131" s="46"/>
      <c r="E131" s="46"/>
      <c r="F131" s="47"/>
      <c r="G131" s="47"/>
      <c r="H131" s="48"/>
      <c r="I131" s="48"/>
    </row>
    <row r="132" spans="1:9" ht="21" customHeight="1" x14ac:dyDescent="0.2">
      <c r="A132" s="46"/>
      <c r="B132" s="46"/>
      <c r="C132" s="46"/>
      <c r="D132" s="46"/>
      <c r="E132" s="46"/>
      <c r="F132" s="47"/>
      <c r="G132" s="47"/>
      <c r="H132" s="48"/>
      <c r="I132" s="48"/>
    </row>
    <row r="133" spans="1:9" ht="21" customHeight="1" x14ac:dyDescent="0.2">
      <c r="A133" s="46"/>
      <c r="B133" s="46"/>
      <c r="C133" s="46"/>
      <c r="D133" s="46"/>
      <c r="E133" s="46"/>
      <c r="F133" s="47"/>
      <c r="G133" s="47"/>
      <c r="H133" s="48"/>
      <c r="I133" s="48"/>
    </row>
    <row r="134" spans="1:9" ht="21" customHeight="1" x14ac:dyDescent="0.2">
      <c r="A134" s="46"/>
      <c r="B134" s="46"/>
      <c r="C134" s="46"/>
      <c r="D134" s="46"/>
      <c r="E134" s="46"/>
      <c r="F134" s="47"/>
      <c r="G134" s="47"/>
      <c r="H134" s="48"/>
      <c r="I134" s="48"/>
    </row>
    <row r="135" spans="1:9" ht="21" customHeight="1" x14ac:dyDescent="0.2">
      <c r="A135" s="46"/>
      <c r="B135" s="46"/>
      <c r="C135" s="46"/>
      <c r="D135" s="46"/>
      <c r="E135" s="46"/>
      <c r="F135" s="47"/>
      <c r="G135" s="47"/>
      <c r="H135" s="48"/>
      <c r="I135" s="48"/>
    </row>
    <row r="136" spans="1:9" ht="21" customHeight="1" x14ac:dyDescent="0.2">
      <c r="A136" s="46"/>
      <c r="B136" s="46"/>
      <c r="C136" s="46"/>
      <c r="D136" s="46"/>
      <c r="E136" s="46"/>
      <c r="F136" s="47"/>
      <c r="G136" s="47"/>
      <c r="H136" s="48"/>
      <c r="I136" s="48"/>
    </row>
    <row r="137" spans="1:9" ht="21" customHeight="1" x14ac:dyDescent="0.2">
      <c r="A137" s="46"/>
      <c r="B137" s="46"/>
      <c r="C137" s="46"/>
      <c r="D137" s="46"/>
      <c r="E137" s="46"/>
      <c r="F137" s="47"/>
      <c r="G137" s="47"/>
      <c r="H137" s="48"/>
      <c r="I137" s="48"/>
    </row>
    <row r="138" spans="1:9" ht="21" customHeight="1" x14ac:dyDescent="0.2">
      <c r="A138" s="46"/>
      <c r="B138" s="46"/>
      <c r="C138" s="46"/>
      <c r="D138" s="46"/>
      <c r="E138" s="46"/>
      <c r="F138" s="47"/>
      <c r="G138" s="47"/>
      <c r="H138" s="48"/>
      <c r="I138" s="48"/>
    </row>
    <row r="139" spans="1:9" ht="21" customHeight="1" x14ac:dyDescent="0.2">
      <c r="A139" s="46"/>
      <c r="B139" s="46"/>
      <c r="C139" s="46"/>
      <c r="D139" s="46"/>
      <c r="E139" s="46"/>
      <c r="F139" s="47"/>
      <c r="G139" s="47"/>
      <c r="H139" s="48"/>
      <c r="I139" s="48"/>
    </row>
    <row r="140" spans="1:9" ht="21" customHeight="1" x14ac:dyDescent="0.2">
      <c r="A140" s="46"/>
      <c r="B140" s="46"/>
      <c r="C140" s="46"/>
      <c r="D140" s="46"/>
      <c r="E140" s="46"/>
      <c r="F140" s="47"/>
      <c r="G140" s="47"/>
      <c r="H140" s="48"/>
      <c r="I140" s="48"/>
    </row>
    <row r="141" spans="1:9" ht="21" customHeight="1" x14ac:dyDescent="0.2">
      <c r="A141" s="46"/>
      <c r="B141" s="46"/>
      <c r="C141" s="46"/>
      <c r="D141" s="46"/>
      <c r="E141" s="46"/>
      <c r="F141" s="47"/>
      <c r="G141" s="47"/>
      <c r="H141" s="48"/>
      <c r="I141" s="48"/>
    </row>
    <row r="142" spans="1:9" ht="21" customHeight="1" x14ac:dyDescent="0.2">
      <c r="A142" s="46"/>
      <c r="B142" s="46"/>
      <c r="C142" s="46"/>
      <c r="D142" s="46"/>
      <c r="E142" s="46"/>
      <c r="F142" s="47"/>
      <c r="G142" s="47"/>
      <c r="H142" s="48"/>
      <c r="I142" s="48"/>
    </row>
    <row r="143" spans="1:9" ht="21" customHeight="1" x14ac:dyDescent="0.2">
      <c r="A143" s="46"/>
      <c r="B143" s="46"/>
      <c r="C143" s="46"/>
      <c r="D143" s="46"/>
      <c r="E143" s="46"/>
      <c r="F143" s="47"/>
      <c r="G143" s="47"/>
      <c r="H143" s="48"/>
      <c r="I143" s="48"/>
    </row>
    <row r="144" spans="1:9" ht="21" customHeight="1" x14ac:dyDescent="0.2">
      <c r="A144" s="46"/>
      <c r="B144" s="46"/>
      <c r="C144" s="46"/>
      <c r="D144" s="46"/>
      <c r="E144" s="46"/>
      <c r="F144" s="47"/>
      <c r="G144" s="47"/>
      <c r="H144" s="48"/>
      <c r="I144" s="48"/>
    </row>
    <row r="145" spans="1:9" ht="21" customHeight="1" x14ac:dyDescent="0.2">
      <c r="A145" s="46"/>
      <c r="B145" s="46"/>
      <c r="C145" s="46"/>
      <c r="D145" s="46"/>
      <c r="E145" s="46"/>
      <c r="F145" s="47"/>
      <c r="G145" s="47"/>
      <c r="H145" s="48"/>
      <c r="I145" s="48"/>
    </row>
    <row r="146" spans="1:9" ht="21" customHeight="1" x14ac:dyDescent="0.2">
      <c r="A146" s="46"/>
      <c r="B146" s="46"/>
      <c r="C146" s="46"/>
      <c r="D146" s="46"/>
      <c r="E146" s="46"/>
      <c r="F146" s="47"/>
      <c r="G146" s="47"/>
      <c r="H146" s="48"/>
      <c r="I146" s="48"/>
    </row>
    <row r="147" spans="1:9" ht="21" customHeight="1" x14ac:dyDescent="0.2">
      <c r="A147" s="46"/>
      <c r="B147" s="46"/>
      <c r="C147" s="46"/>
      <c r="D147" s="46"/>
      <c r="E147" s="46"/>
      <c r="F147" s="47"/>
      <c r="G147" s="47"/>
      <c r="H147" s="48"/>
      <c r="I147" s="48"/>
    </row>
    <row r="148" spans="1:9" ht="21" customHeight="1" x14ac:dyDescent="0.2">
      <c r="A148" s="46"/>
      <c r="B148" s="46"/>
      <c r="C148" s="46"/>
      <c r="D148" s="46"/>
      <c r="E148" s="46"/>
      <c r="F148" s="47"/>
      <c r="G148" s="47"/>
      <c r="H148" s="48"/>
      <c r="I148" s="48"/>
    </row>
    <row r="149" spans="1:9" ht="21" customHeight="1" x14ac:dyDescent="0.2">
      <c r="A149" s="46"/>
      <c r="B149" s="46"/>
      <c r="C149" s="46"/>
      <c r="D149" s="46"/>
      <c r="E149" s="46"/>
      <c r="F149" s="47"/>
      <c r="G149" s="47"/>
      <c r="H149" s="48"/>
      <c r="I149" s="48"/>
    </row>
    <row r="150" spans="1:9" ht="21" customHeight="1" x14ac:dyDescent="0.2">
      <c r="A150" s="46"/>
      <c r="B150" s="46"/>
      <c r="C150" s="46"/>
      <c r="D150" s="46"/>
      <c r="E150" s="46"/>
      <c r="F150" s="47"/>
      <c r="G150" s="47"/>
      <c r="H150" s="48"/>
      <c r="I150" s="48"/>
    </row>
    <row r="151" spans="1:9" ht="21" customHeight="1" x14ac:dyDescent="0.2">
      <c r="A151" s="46"/>
      <c r="B151" s="46"/>
      <c r="C151" s="46"/>
      <c r="D151" s="46"/>
      <c r="E151" s="46"/>
      <c r="F151" s="47"/>
      <c r="G151" s="47"/>
      <c r="H151" s="48"/>
      <c r="I151" s="48"/>
    </row>
    <row r="152" spans="1:9" ht="21" customHeight="1" x14ac:dyDescent="0.2">
      <c r="A152" s="46"/>
      <c r="B152" s="46"/>
      <c r="C152" s="46"/>
      <c r="D152" s="46"/>
      <c r="E152" s="46"/>
      <c r="F152" s="47"/>
      <c r="G152" s="47"/>
      <c r="H152" s="48"/>
      <c r="I152" s="48"/>
    </row>
    <row r="153" spans="1:9" ht="21" customHeight="1" x14ac:dyDescent="0.2">
      <c r="A153" s="46"/>
      <c r="B153" s="46"/>
      <c r="C153" s="46"/>
      <c r="D153" s="46"/>
      <c r="E153" s="46"/>
      <c r="F153" s="47"/>
      <c r="G153" s="47"/>
      <c r="H153" s="48"/>
      <c r="I153" s="48"/>
    </row>
    <row r="154" spans="1:9" ht="21" customHeight="1" x14ac:dyDescent="0.2">
      <c r="A154" s="46"/>
      <c r="B154" s="46"/>
      <c r="C154" s="46"/>
      <c r="D154" s="46"/>
      <c r="E154" s="46"/>
      <c r="F154" s="47"/>
      <c r="G154" s="47"/>
      <c r="H154" s="48"/>
      <c r="I154" s="48"/>
    </row>
    <row r="155" spans="1:9" ht="21" customHeight="1" x14ac:dyDescent="0.2">
      <c r="A155" s="46"/>
      <c r="B155" s="46"/>
      <c r="C155" s="46"/>
      <c r="D155" s="46"/>
      <c r="E155" s="46"/>
      <c r="F155" s="47"/>
      <c r="G155" s="47"/>
      <c r="H155" s="48"/>
      <c r="I155" s="48"/>
    </row>
    <row r="156" spans="1:9" ht="21" customHeight="1" x14ac:dyDescent="0.2">
      <c r="A156" s="46"/>
      <c r="B156" s="46"/>
      <c r="C156" s="46"/>
      <c r="D156" s="46"/>
      <c r="E156" s="46"/>
      <c r="F156" s="47"/>
      <c r="G156" s="47"/>
      <c r="H156" s="48"/>
      <c r="I156" s="48"/>
    </row>
    <row r="157" spans="1:9" ht="21" customHeight="1" x14ac:dyDescent="0.2">
      <c r="A157" s="46"/>
      <c r="B157" s="46"/>
      <c r="C157" s="46"/>
      <c r="D157" s="46"/>
      <c r="E157" s="46"/>
      <c r="F157" s="47"/>
      <c r="G157" s="47"/>
      <c r="H157" s="48"/>
      <c r="I157" s="48"/>
    </row>
    <row r="158" spans="1:9" ht="21" customHeight="1" x14ac:dyDescent="0.2">
      <c r="A158" s="46"/>
      <c r="B158" s="46"/>
      <c r="C158" s="46"/>
      <c r="D158" s="46"/>
      <c r="E158" s="46"/>
      <c r="F158" s="47"/>
      <c r="G158" s="47"/>
      <c r="H158" s="48"/>
      <c r="I158" s="48"/>
    </row>
    <row r="159" spans="1:9" ht="21" customHeight="1" x14ac:dyDescent="0.2">
      <c r="A159" s="46"/>
      <c r="B159" s="46"/>
      <c r="C159" s="46"/>
      <c r="D159" s="46"/>
      <c r="E159" s="46"/>
      <c r="F159" s="47"/>
      <c r="G159" s="47"/>
      <c r="H159" s="48"/>
      <c r="I159" s="48"/>
    </row>
    <row r="160" spans="1:9" ht="21" customHeight="1" x14ac:dyDescent="0.2">
      <c r="A160" s="46"/>
      <c r="B160" s="46"/>
      <c r="C160" s="46"/>
      <c r="D160" s="46"/>
      <c r="E160" s="46"/>
      <c r="F160" s="47"/>
      <c r="G160" s="47"/>
      <c r="H160" s="48"/>
      <c r="I160" s="48"/>
    </row>
    <row r="161" spans="1:9" ht="21" customHeight="1" x14ac:dyDescent="0.2">
      <c r="A161" s="46"/>
      <c r="B161" s="46"/>
      <c r="C161" s="46"/>
      <c r="D161" s="46"/>
      <c r="E161" s="46"/>
      <c r="F161" s="47"/>
      <c r="G161" s="47"/>
      <c r="H161" s="48"/>
      <c r="I161" s="48"/>
    </row>
    <row r="162" spans="1:9" ht="21" customHeight="1" x14ac:dyDescent="0.2">
      <c r="A162" s="46"/>
      <c r="B162" s="46"/>
      <c r="C162" s="46"/>
      <c r="D162" s="46"/>
      <c r="E162" s="46"/>
      <c r="F162" s="47"/>
      <c r="G162" s="47"/>
      <c r="H162" s="48"/>
      <c r="I162" s="48"/>
    </row>
    <row r="163" spans="1:9" ht="21" customHeight="1" x14ac:dyDescent="0.2">
      <c r="A163" s="46"/>
      <c r="B163" s="46"/>
      <c r="C163" s="46"/>
      <c r="D163" s="46"/>
      <c r="E163" s="46"/>
      <c r="F163" s="47"/>
      <c r="G163" s="47"/>
      <c r="H163" s="48"/>
      <c r="I163" s="48"/>
    </row>
    <row r="164" spans="1:9" ht="21" customHeight="1" x14ac:dyDescent="0.2">
      <c r="A164" s="46"/>
      <c r="B164" s="46"/>
      <c r="C164" s="46"/>
      <c r="D164" s="46"/>
      <c r="E164" s="46"/>
      <c r="F164" s="47"/>
      <c r="G164" s="47"/>
      <c r="H164" s="48"/>
      <c r="I164" s="48"/>
    </row>
    <row r="165" spans="1:9" ht="21" customHeight="1" x14ac:dyDescent="0.2">
      <c r="A165" s="46"/>
      <c r="B165" s="46"/>
      <c r="C165" s="46"/>
      <c r="D165" s="46"/>
      <c r="E165" s="46"/>
      <c r="F165" s="47"/>
      <c r="G165" s="47"/>
      <c r="H165" s="48"/>
      <c r="I165" s="48"/>
    </row>
    <row r="166" spans="1:9" ht="21" customHeight="1" x14ac:dyDescent="0.2">
      <c r="A166" s="46"/>
      <c r="B166" s="46"/>
      <c r="C166" s="46"/>
      <c r="D166" s="46"/>
      <c r="E166" s="46"/>
      <c r="F166" s="47"/>
      <c r="G166" s="47"/>
      <c r="H166" s="48"/>
      <c r="I166" s="48"/>
    </row>
    <row r="167" spans="1:9" ht="21" customHeight="1" x14ac:dyDescent="0.2">
      <c r="A167" s="46"/>
      <c r="B167" s="46"/>
      <c r="C167" s="46"/>
      <c r="D167" s="46"/>
      <c r="E167" s="46"/>
      <c r="F167" s="47"/>
      <c r="G167" s="47"/>
      <c r="H167" s="48"/>
      <c r="I167" s="48"/>
    </row>
    <row r="168" spans="1:9" ht="21" customHeight="1" x14ac:dyDescent="0.2">
      <c r="A168" s="46"/>
      <c r="B168" s="46"/>
      <c r="C168" s="46"/>
      <c r="D168" s="46"/>
      <c r="E168" s="46"/>
      <c r="F168" s="47"/>
      <c r="G168" s="47"/>
      <c r="H168" s="48"/>
      <c r="I168" s="48"/>
    </row>
    <row r="169" spans="1:9" ht="21" customHeight="1" x14ac:dyDescent="0.2">
      <c r="A169" s="46"/>
      <c r="B169" s="46"/>
      <c r="C169" s="46"/>
      <c r="D169" s="46"/>
      <c r="E169" s="46"/>
      <c r="F169" s="47"/>
      <c r="G169" s="47"/>
      <c r="H169" s="48"/>
      <c r="I169" s="48"/>
    </row>
    <row r="170" spans="1:9" ht="21" customHeight="1" x14ac:dyDescent="0.2">
      <c r="A170" s="46"/>
      <c r="B170" s="46"/>
      <c r="C170" s="46"/>
      <c r="D170" s="46"/>
      <c r="E170" s="46"/>
      <c r="F170" s="47"/>
      <c r="G170" s="47"/>
      <c r="H170" s="48"/>
      <c r="I170" s="48"/>
    </row>
    <row r="171" spans="1:9" ht="21" customHeight="1" x14ac:dyDescent="0.2">
      <c r="A171" s="46"/>
      <c r="B171" s="46"/>
      <c r="C171" s="46"/>
      <c r="D171" s="46"/>
      <c r="E171" s="46"/>
      <c r="F171" s="47"/>
      <c r="G171" s="47"/>
      <c r="H171" s="48"/>
      <c r="I171" s="48"/>
    </row>
    <row r="172" spans="1:9" ht="21" customHeight="1" x14ac:dyDescent="0.2">
      <c r="A172" s="46"/>
      <c r="B172" s="46"/>
      <c r="C172" s="46"/>
      <c r="D172" s="46"/>
      <c r="E172" s="46"/>
      <c r="F172" s="47"/>
      <c r="G172" s="47"/>
      <c r="H172" s="48"/>
      <c r="I172" s="48"/>
    </row>
    <row r="173" spans="1:9" ht="21" customHeight="1" x14ac:dyDescent="0.2">
      <c r="A173" s="46"/>
      <c r="B173" s="46"/>
      <c r="C173" s="46"/>
      <c r="D173" s="46"/>
      <c r="E173" s="46"/>
      <c r="F173" s="47"/>
      <c r="G173" s="47"/>
      <c r="H173" s="48"/>
      <c r="I173" s="48"/>
    </row>
    <row r="174" spans="1:9" ht="21" customHeight="1" x14ac:dyDescent="0.2">
      <c r="A174" s="46"/>
      <c r="B174" s="46"/>
      <c r="C174" s="46"/>
      <c r="D174" s="46"/>
      <c r="E174" s="46"/>
      <c r="F174" s="47"/>
      <c r="G174" s="47"/>
      <c r="H174" s="48"/>
      <c r="I174" s="48"/>
    </row>
    <row r="175" spans="1:9" ht="21" customHeight="1" x14ac:dyDescent="0.2">
      <c r="A175" s="46"/>
      <c r="B175" s="46"/>
      <c r="C175" s="46"/>
      <c r="D175" s="46"/>
      <c r="E175" s="46"/>
      <c r="F175" s="47"/>
      <c r="G175" s="47"/>
      <c r="H175" s="48"/>
      <c r="I175" s="48"/>
    </row>
    <row r="176" spans="1:9" ht="21" customHeight="1" x14ac:dyDescent="0.2">
      <c r="A176" s="46"/>
      <c r="B176" s="46"/>
      <c r="C176" s="46"/>
      <c r="D176" s="46"/>
      <c r="E176" s="46"/>
      <c r="F176" s="47"/>
      <c r="G176" s="47"/>
      <c r="H176" s="48"/>
      <c r="I176" s="48"/>
    </row>
    <row r="177" spans="1:9" ht="21" customHeight="1" x14ac:dyDescent="0.2">
      <c r="A177" s="46"/>
      <c r="B177" s="46"/>
      <c r="C177" s="46"/>
      <c r="D177" s="46"/>
      <c r="E177" s="46"/>
      <c r="F177" s="47"/>
      <c r="G177" s="47"/>
      <c r="H177" s="48"/>
      <c r="I177" s="48"/>
    </row>
    <row r="178" spans="1:9" ht="21" customHeight="1" x14ac:dyDescent="0.2">
      <c r="A178" s="46"/>
      <c r="B178" s="46"/>
      <c r="C178" s="46"/>
      <c r="D178" s="46"/>
      <c r="E178" s="46"/>
      <c r="F178" s="47"/>
      <c r="G178" s="47"/>
      <c r="H178" s="48"/>
      <c r="I178" s="48"/>
    </row>
    <row r="179" spans="1:9" ht="21" customHeight="1" x14ac:dyDescent="0.2">
      <c r="A179" s="46"/>
      <c r="B179" s="46"/>
      <c r="C179" s="46"/>
      <c r="D179" s="46"/>
      <c r="E179" s="46"/>
      <c r="F179" s="47"/>
      <c r="G179" s="47"/>
      <c r="H179" s="48"/>
      <c r="I179" s="48"/>
    </row>
    <row r="180" spans="1:9" ht="21" customHeight="1" x14ac:dyDescent="0.2">
      <c r="A180" s="46"/>
      <c r="B180" s="46"/>
      <c r="C180" s="46"/>
      <c r="D180" s="46"/>
      <c r="E180" s="46"/>
      <c r="F180" s="47"/>
      <c r="G180" s="47"/>
      <c r="H180" s="48"/>
      <c r="I180" s="48"/>
    </row>
    <row r="181" spans="1:9" ht="21" customHeight="1" x14ac:dyDescent="0.2">
      <c r="A181" s="46"/>
      <c r="B181" s="46"/>
      <c r="C181" s="46"/>
      <c r="D181" s="46"/>
      <c r="E181" s="46"/>
      <c r="F181" s="47"/>
      <c r="G181" s="47"/>
      <c r="H181" s="48"/>
      <c r="I181" s="48"/>
    </row>
    <row r="182" spans="1:9" ht="21" customHeight="1" x14ac:dyDescent="0.2">
      <c r="A182" s="46"/>
      <c r="B182" s="46"/>
      <c r="C182" s="46"/>
      <c r="D182" s="46"/>
      <c r="E182" s="46"/>
      <c r="F182" s="47"/>
      <c r="G182" s="47"/>
      <c r="H182" s="48"/>
      <c r="I182" s="48"/>
    </row>
    <row r="183" spans="1:9" ht="21" customHeight="1" x14ac:dyDescent="0.2">
      <c r="A183" s="46"/>
      <c r="B183" s="46"/>
      <c r="C183" s="46"/>
      <c r="D183" s="46"/>
      <c r="E183" s="46"/>
      <c r="F183" s="47"/>
      <c r="G183" s="47"/>
      <c r="H183" s="48"/>
      <c r="I183" s="48"/>
    </row>
    <row r="184" spans="1:9" ht="21" customHeight="1" x14ac:dyDescent="0.2">
      <c r="A184" s="46"/>
      <c r="B184" s="46"/>
      <c r="C184" s="46"/>
      <c r="D184" s="46"/>
      <c r="E184" s="46"/>
      <c r="F184" s="47"/>
      <c r="G184" s="47"/>
      <c r="H184" s="48"/>
      <c r="I184" s="48"/>
    </row>
    <row r="185" spans="1:9" ht="21" customHeight="1" x14ac:dyDescent="0.2">
      <c r="A185" s="46"/>
      <c r="B185" s="46"/>
      <c r="C185" s="46"/>
      <c r="D185" s="46"/>
      <c r="E185" s="46"/>
      <c r="F185" s="47"/>
      <c r="G185" s="47"/>
      <c r="H185" s="48"/>
      <c r="I185" s="48"/>
    </row>
    <row r="186" spans="1:9" ht="21" customHeight="1" x14ac:dyDescent="0.2">
      <c r="A186" s="46"/>
      <c r="B186" s="46"/>
      <c r="C186" s="46"/>
      <c r="D186" s="46"/>
      <c r="E186" s="46"/>
      <c r="F186" s="47"/>
      <c r="G186" s="47"/>
      <c r="H186" s="48"/>
      <c r="I186" s="48"/>
    </row>
    <row r="187" spans="1:9" ht="21" customHeight="1" x14ac:dyDescent="0.2">
      <c r="A187" s="46"/>
      <c r="B187" s="46"/>
      <c r="C187" s="46"/>
      <c r="D187" s="46"/>
      <c r="E187" s="46"/>
      <c r="F187" s="47"/>
      <c r="G187" s="47"/>
      <c r="H187" s="48"/>
      <c r="I187" s="48"/>
    </row>
    <row r="188" spans="1:9" ht="21" customHeight="1" x14ac:dyDescent="0.2">
      <c r="A188" s="46"/>
      <c r="B188" s="46"/>
      <c r="C188" s="46"/>
      <c r="D188" s="46"/>
      <c r="E188" s="46"/>
      <c r="F188" s="47"/>
      <c r="G188" s="47"/>
      <c r="H188" s="48"/>
      <c r="I188" s="48"/>
    </row>
    <row r="189" spans="1:9" ht="21" customHeight="1" x14ac:dyDescent="0.2">
      <c r="A189" s="46"/>
      <c r="B189" s="46"/>
      <c r="C189" s="46"/>
      <c r="D189" s="46"/>
      <c r="E189" s="46"/>
      <c r="F189" s="47"/>
      <c r="G189" s="47"/>
      <c r="H189" s="48"/>
      <c r="I189" s="48"/>
    </row>
    <row r="190" spans="1:9" ht="21" customHeight="1" x14ac:dyDescent="0.2">
      <c r="A190" s="46"/>
      <c r="B190" s="46"/>
      <c r="C190" s="46"/>
      <c r="D190" s="46"/>
      <c r="E190" s="46"/>
      <c r="F190" s="47"/>
      <c r="G190" s="47"/>
      <c r="H190" s="48"/>
      <c r="I190" s="48"/>
    </row>
    <row r="191" spans="1:9" ht="21" customHeight="1" x14ac:dyDescent="0.2">
      <c r="A191" s="46"/>
      <c r="B191" s="46"/>
      <c r="C191" s="46"/>
      <c r="D191" s="46"/>
      <c r="E191" s="46"/>
      <c r="F191" s="47"/>
      <c r="G191" s="47"/>
      <c r="H191" s="48"/>
      <c r="I191" s="48"/>
    </row>
    <row r="192" spans="1:9" ht="21" customHeight="1" x14ac:dyDescent="0.2">
      <c r="A192" s="46"/>
      <c r="B192" s="46"/>
      <c r="C192" s="46"/>
      <c r="D192" s="46"/>
      <c r="E192" s="46"/>
      <c r="F192" s="47"/>
      <c r="G192" s="47"/>
      <c r="H192" s="48"/>
      <c r="I192" s="48"/>
    </row>
    <row r="193" spans="1:9" ht="21" customHeight="1" x14ac:dyDescent="0.2">
      <c r="A193" s="46"/>
      <c r="B193" s="46"/>
      <c r="C193" s="46"/>
      <c r="D193" s="46"/>
      <c r="E193" s="46"/>
      <c r="F193" s="47"/>
      <c r="G193" s="47"/>
      <c r="H193" s="48"/>
      <c r="I193" s="48"/>
    </row>
    <row r="194" spans="1:9" ht="21" customHeight="1" x14ac:dyDescent="0.2">
      <c r="A194" s="46"/>
      <c r="B194" s="46"/>
      <c r="C194" s="46"/>
      <c r="D194" s="46"/>
      <c r="E194" s="46"/>
      <c r="F194" s="47"/>
      <c r="G194" s="47"/>
      <c r="H194" s="48"/>
      <c r="I194" s="48"/>
    </row>
    <row r="195" spans="1:9" ht="21" customHeight="1" x14ac:dyDescent="0.2">
      <c r="A195" s="46"/>
      <c r="B195" s="46"/>
      <c r="C195" s="46"/>
      <c r="D195" s="46"/>
      <c r="E195" s="46"/>
      <c r="F195" s="47"/>
      <c r="G195" s="47"/>
      <c r="H195" s="48"/>
      <c r="I195" s="48"/>
    </row>
    <row r="196" spans="1:9" ht="21" customHeight="1" x14ac:dyDescent="0.2">
      <c r="A196" s="46"/>
      <c r="B196" s="46"/>
      <c r="C196" s="46"/>
      <c r="D196" s="46"/>
      <c r="E196" s="46"/>
      <c r="F196" s="47"/>
      <c r="G196" s="47"/>
      <c r="H196" s="48"/>
      <c r="I196" s="48"/>
    </row>
    <row r="197" spans="1:9" ht="21" customHeight="1" x14ac:dyDescent="0.2">
      <c r="A197" s="46"/>
      <c r="B197" s="46"/>
      <c r="C197" s="46"/>
      <c r="D197" s="46"/>
      <c r="E197" s="46"/>
      <c r="F197" s="47"/>
      <c r="G197" s="47"/>
      <c r="H197" s="48"/>
      <c r="I197" s="48"/>
    </row>
    <row r="198" spans="1:9" ht="21" customHeight="1" x14ac:dyDescent="0.2">
      <c r="A198" s="46"/>
      <c r="B198" s="46"/>
      <c r="C198" s="46"/>
      <c r="D198" s="46"/>
      <c r="E198" s="46"/>
      <c r="F198" s="47"/>
      <c r="G198" s="47"/>
      <c r="H198" s="48"/>
      <c r="I198" s="48"/>
    </row>
    <row r="199" spans="1:9" ht="21" customHeight="1" x14ac:dyDescent="0.2">
      <c r="A199" s="46"/>
      <c r="B199" s="46"/>
      <c r="C199" s="46"/>
      <c r="D199" s="46"/>
      <c r="E199" s="46"/>
      <c r="F199" s="47"/>
      <c r="G199" s="47"/>
      <c r="H199" s="48"/>
      <c r="I199" s="48"/>
    </row>
    <row r="200" spans="1:9" ht="21" customHeight="1" x14ac:dyDescent="0.2">
      <c r="A200" s="46"/>
      <c r="B200" s="46"/>
      <c r="C200" s="46"/>
      <c r="D200" s="46"/>
      <c r="E200" s="46"/>
      <c r="F200" s="47"/>
      <c r="G200" s="47"/>
      <c r="H200" s="48"/>
      <c r="I200" s="48"/>
    </row>
    <row r="201" spans="1:9" ht="21" customHeight="1" x14ac:dyDescent="0.2">
      <c r="A201" s="46"/>
      <c r="B201" s="46"/>
      <c r="C201" s="46"/>
      <c r="D201" s="46"/>
      <c r="E201" s="46"/>
      <c r="F201" s="47"/>
      <c r="G201" s="47"/>
      <c r="H201" s="48"/>
      <c r="I201" s="48"/>
    </row>
    <row r="202" spans="1:9" ht="21" customHeight="1" x14ac:dyDescent="0.2">
      <c r="A202" s="46"/>
      <c r="B202" s="46"/>
      <c r="C202" s="46"/>
      <c r="D202" s="46"/>
      <c r="E202" s="46"/>
      <c r="F202" s="47"/>
      <c r="G202" s="47"/>
      <c r="H202" s="48"/>
      <c r="I202" s="48"/>
    </row>
    <row r="203" spans="1:9" ht="21" customHeight="1" x14ac:dyDescent="0.2">
      <c r="A203" s="46"/>
      <c r="B203" s="46"/>
      <c r="C203" s="46"/>
      <c r="D203" s="46"/>
      <c r="E203" s="46"/>
      <c r="F203" s="47"/>
      <c r="G203" s="47"/>
      <c r="H203" s="48"/>
      <c r="I203" s="48"/>
    </row>
    <row r="204" spans="1:9" ht="21" customHeight="1" x14ac:dyDescent="0.2">
      <c r="A204" s="46"/>
      <c r="B204" s="46"/>
      <c r="C204" s="46"/>
      <c r="D204" s="46"/>
      <c r="E204" s="46"/>
      <c r="F204" s="47"/>
      <c r="G204" s="47"/>
      <c r="H204" s="48"/>
      <c r="I204" s="48"/>
    </row>
    <row r="205" spans="1:9" ht="21" customHeight="1" x14ac:dyDescent="0.2">
      <c r="A205" s="46"/>
      <c r="B205" s="46"/>
      <c r="C205" s="46"/>
      <c r="D205" s="46"/>
      <c r="E205" s="46"/>
      <c r="F205" s="47"/>
      <c r="G205" s="47"/>
      <c r="H205" s="48"/>
      <c r="I205" s="48"/>
    </row>
    <row r="206" spans="1:9" ht="21" customHeight="1" x14ac:dyDescent="0.2">
      <c r="A206" s="46"/>
      <c r="B206" s="46"/>
      <c r="C206" s="46"/>
      <c r="D206" s="46"/>
      <c r="E206" s="46"/>
      <c r="F206" s="47"/>
      <c r="G206" s="47"/>
      <c r="H206" s="48"/>
      <c r="I206" s="48"/>
    </row>
    <row r="207" spans="1:9" ht="21" customHeight="1" x14ac:dyDescent="0.2">
      <c r="A207" s="46"/>
      <c r="B207" s="46"/>
      <c r="C207" s="46"/>
      <c r="D207" s="46"/>
      <c r="E207" s="46"/>
      <c r="F207" s="47"/>
      <c r="G207" s="47"/>
      <c r="H207" s="48"/>
      <c r="I207" s="48"/>
    </row>
    <row r="208" spans="1:9" ht="21" customHeight="1" x14ac:dyDescent="0.2">
      <c r="A208" s="46"/>
      <c r="B208" s="46"/>
      <c r="C208" s="46"/>
      <c r="D208" s="46"/>
      <c r="E208" s="46"/>
      <c r="F208" s="47"/>
      <c r="G208" s="47"/>
      <c r="H208" s="48"/>
      <c r="I208" s="48"/>
    </row>
    <row r="209" spans="1:9" ht="21" customHeight="1" x14ac:dyDescent="0.2">
      <c r="A209" s="46"/>
      <c r="B209" s="46"/>
      <c r="C209" s="46"/>
      <c r="D209" s="46"/>
      <c r="E209" s="46"/>
      <c r="F209" s="47"/>
      <c r="G209" s="47"/>
      <c r="H209" s="48"/>
      <c r="I209" s="48"/>
    </row>
    <row r="210" spans="1:9" ht="21" customHeight="1" x14ac:dyDescent="0.2">
      <c r="A210" s="46"/>
      <c r="B210" s="46"/>
      <c r="C210" s="46"/>
      <c r="D210" s="46"/>
      <c r="E210" s="46"/>
      <c r="F210" s="47"/>
      <c r="G210" s="47"/>
      <c r="H210" s="48"/>
      <c r="I210" s="48"/>
    </row>
    <row r="211" spans="1:9" ht="21" customHeight="1" x14ac:dyDescent="0.2">
      <c r="A211" s="46"/>
      <c r="B211" s="46"/>
      <c r="C211" s="46"/>
      <c r="D211" s="46"/>
      <c r="E211" s="46"/>
      <c r="F211" s="47"/>
      <c r="G211" s="47"/>
      <c r="H211" s="48"/>
      <c r="I211" s="48"/>
    </row>
    <row r="212" spans="1:9" ht="21" customHeight="1" x14ac:dyDescent="0.2">
      <c r="A212" s="46"/>
      <c r="B212" s="46"/>
      <c r="C212" s="46"/>
      <c r="D212" s="46"/>
      <c r="E212" s="46"/>
      <c r="F212" s="47"/>
      <c r="G212" s="47"/>
      <c r="H212" s="48"/>
      <c r="I212" s="48"/>
    </row>
    <row r="213" spans="1:9" ht="21" customHeight="1" x14ac:dyDescent="0.2">
      <c r="A213" s="46"/>
      <c r="B213" s="46"/>
      <c r="C213" s="46"/>
      <c r="D213" s="46"/>
      <c r="E213" s="46"/>
      <c r="F213" s="47"/>
      <c r="G213" s="47"/>
      <c r="H213" s="48"/>
      <c r="I213" s="48"/>
    </row>
    <row r="214" spans="1:9" ht="21" customHeight="1" x14ac:dyDescent="0.2">
      <c r="A214" s="46"/>
      <c r="B214" s="46"/>
      <c r="C214" s="46"/>
      <c r="D214" s="46"/>
      <c r="E214" s="46"/>
      <c r="F214" s="47"/>
      <c r="G214" s="47"/>
      <c r="H214" s="48"/>
      <c r="I214" s="48"/>
    </row>
    <row r="215" spans="1:9" ht="21" customHeight="1" x14ac:dyDescent="0.2">
      <c r="A215" s="46"/>
      <c r="B215" s="46"/>
      <c r="C215" s="46"/>
      <c r="D215" s="46"/>
      <c r="E215" s="46"/>
      <c r="F215" s="47"/>
      <c r="G215" s="47"/>
      <c r="H215" s="48"/>
      <c r="I215" s="48"/>
    </row>
    <row r="216" spans="1:9" ht="21" customHeight="1" x14ac:dyDescent="0.2">
      <c r="A216" s="46"/>
      <c r="B216" s="46"/>
      <c r="C216" s="46"/>
      <c r="D216" s="46"/>
      <c r="E216" s="46"/>
      <c r="F216" s="47"/>
      <c r="G216" s="47"/>
      <c r="H216" s="48"/>
      <c r="I216" s="48"/>
    </row>
    <row r="217" spans="1:9" ht="21" customHeight="1" x14ac:dyDescent="0.2">
      <c r="A217" s="46"/>
      <c r="B217" s="46"/>
      <c r="C217" s="46"/>
      <c r="D217" s="46"/>
      <c r="E217" s="46"/>
      <c r="F217" s="47"/>
      <c r="G217" s="47"/>
      <c r="H217" s="48"/>
      <c r="I217" s="48"/>
    </row>
    <row r="218" spans="1:9" ht="21" customHeight="1" x14ac:dyDescent="0.2">
      <c r="A218" s="46"/>
      <c r="B218" s="46"/>
      <c r="C218" s="46"/>
      <c r="D218" s="46"/>
      <c r="E218" s="46"/>
      <c r="F218" s="47"/>
      <c r="G218" s="47"/>
      <c r="H218" s="48"/>
      <c r="I218" s="48"/>
    </row>
    <row r="219" spans="1:9" ht="21" customHeight="1" x14ac:dyDescent="0.2">
      <c r="A219" s="46"/>
      <c r="B219" s="46"/>
      <c r="C219" s="46"/>
      <c r="D219" s="46"/>
      <c r="E219" s="46"/>
      <c r="F219" s="47"/>
      <c r="G219" s="47"/>
      <c r="H219" s="48"/>
      <c r="I219" s="48"/>
    </row>
    <row r="220" spans="1:9" ht="21" customHeight="1" x14ac:dyDescent="0.2">
      <c r="A220" s="46"/>
      <c r="B220" s="46"/>
      <c r="C220" s="46"/>
      <c r="D220" s="46"/>
      <c r="E220" s="46"/>
      <c r="F220" s="47"/>
      <c r="G220" s="47"/>
      <c r="H220" s="48"/>
      <c r="I220" s="48"/>
    </row>
    <row r="221" spans="1:9" ht="21" customHeight="1" x14ac:dyDescent="0.2">
      <c r="A221" s="46"/>
      <c r="B221" s="46"/>
      <c r="C221" s="46"/>
      <c r="D221" s="46"/>
      <c r="E221" s="46"/>
      <c r="F221" s="47"/>
      <c r="G221" s="47"/>
      <c r="H221" s="48"/>
      <c r="I221" s="48"/>
    </row>
    <row r="222" spans="1:9" ht="21" customHeight="1" x14ac:dyDescent="0.2">
      <c r="A222" s="46"/>
      <c r="B222" s="46"/>
      <c r="C222" s="46"/>
      <c r="D222" s="46"/>
      <c r="E222" s="46"/>
      <c r="F222" s="47"/>
      <c r="G222" s="47"/>
      <c r="H222" s="48"/>
      <c r="I222" s="48"/>
    </row>
    <row r="223" spans="1:9" ht="21" customHeight="1" x14ac:dyDescent="0.2">
      <c r="A223" s="46"/>
      <c r="B223" s="46"/>
      <c r="C223" s="46"/>
      <c r="D223" s="46"/>
      <c r="E223" s="46"/>
      <c r="F223" s="47"/>
      <c r="G223" s="47"/>
      <c r="H223" s="48"/>
      <c r="I223" s="48"/>
    </row>
    <row r="224" spans="1:9" ht="21" customHeight="1" x14ac:dyDescent="0.2">
      <c r="A224" s="46"/>
      <c r="B224" s="46"/>
      <c r="C224" s="46"/>
      <c r="D224" s="46"/>
      <c r="E224" s="46"/>
      <c r="F224" s="47"/>
      <c r="G224" s="47"/>
      <c r="H224" s="48"/>
      <c r="I224" s="48"/>
    </row>
    <row r="225" spans="1:9" ht="21" customHeight="1" x14ac:dyDescent="0.2">
      <c r="A225" s="46"/>
      <c r="B225" s="46"/>
      <c r="C225" s="46"/>
      <c r="D225" s="46"/>
      <c r="E225" s="46"/>
      <c r="F225" s="47"/>
      <c r="G225" s="47"/>
      <c r="H225" s="48"/>
      <c r="I225" s="48"/>
    </row>
    <row r="226" spans="1:9" ht="21" customHeight="1" x14ac:dyDescent="0.2">
      <c r="A226" s="46"/>
      <c r="B226" s="46"/>
      <c r="C226" s="46"/>
      <c r="D226" s="46"/>
      <c r="E226" s="46"/>
      <c r="F226" s="47"/>
      <c r="G226" s="47"/>
      <c r="H226" s="48"/>
      <c r="I226" s="48"/>
    </row>
    <row r="227" spans="1:9" ht="21" customHeight="1" x14ac:dyDescent="0.2">
      <c r="A227" s="46"/>
      <c r="B227" s="46"/>
      <c r="C227" s="46"/>
      <c r="D227" s="46"/>
      <c r="E227" s="46"/>
      <c r="F227" s="47"/>
      <c r="G227" s="47"/>
      <c r="H227" s="48"/>
      <c r="I227" s="48"/>
    </row>
    <row r="228" spans="1:9" ht="21" customHeight="1" x14ac:dyDescent="0.2">
      <c r="A228" s="46"/>
      <c r="B228" s="46"/>
      <c r="C228" s="46"/>
      <c r="D228" s="46"/>
      <c r="E228" s="46"/>
      <c r="F228" s="47"/>
      <c r="G228" s="47"/>
      <c r="H228" s="48"/>
      <c r="I228" s="48"/>
    </row>
    <row r="229" spans="1:9" ht="21" customHeight="1" x14ac:dyDescent="0.2">
      <c r="A229" s="46"/>
      <c r="B229" s="46"/>
      <c r="C229" s="46"/>
      <c r="D229" s="46"/>
      <c r="E229" s="46"/>
      <c r="F229" s="47"/>
      <c r="G229" s="47"/>
      <c r="H229" s="48"/>
      <c r="I229" s="48"/>
    </row>
    <row r="230" spans="1:9" ht="21" customHeight="1" x14ac:dyDescent="0.2">
      <c r="A230" s="46"/>
      <c r="B230" s="46"/>
      <c r="C230" s="46"/>
      <c r="D230" s="46"/>
      <c r="E230" s="46"/>
      <c r="F230" s="47"/>
      <c r="G230" s="47"/>
      <c r="H230" s="48"/>
      <c r="I230" s="48"/>
    </row>
    <row r="231" spans="1:9" ht="21" customHeight="1" x14ac:dyDescent="0.2">
      <c r="A231" s="46"/>
      <c r="B231" s="46"/>
      <c r="C231" s="46"/>
      <c r="D231" s="46"/>
      <c r="E231" s="46"/>
      <c r="F231" s="47"/>
      <c r="G231" s="47"/>
      <c r="H231" s="48"/>
      <c r="I231" s="48"/>
    </row>
    <row r="232" spans="1:9" ht="21" customHeight="1" x14ac:dyDescent="0.2">
      <c r="A232" s="46"/>
      <c r="B232" s="46"/>
      <c r="C232" s="46"/>
      <c r="D232" s="46"/>
      <c r="E232" s="46"/>
      <c r="F232" s="47"/>
      <c r="G232" s="47"/>
      <c r="H232" s="48"/>
      <c r="I232" s="48"/>
    </row>
    <row r="233" spans="1:9" ht="21" customHeight="1" x14ac:dyDescent="0.2">
      <c r="A233" s="46"/>
      <c r="B233" s="46"/>
      <c r="C233" s="46"/>
      <c r="D233" s="46"/>
      <c r="E233" s="46"/>
      <c r="F233" s="47"/>
      <c r="G233" s="47"/>
      <c r="H233" s="48"/>
      <c r="I233" s="48"/>
    </row>
    <row r="234" spans="1:9" ht="21" customHeight="1" x14ac:dyDescent="0.2">
      <c r="A234" s="46"/>
      <c r="B234" s="46"/>
      <c r="C234" s="46"/>
      <c r="D234" s="46"/>
      <c r="E234" s="46"/>
      <c r="F234" s="47"/>
      <c r="G234" s="47"/>
      <c r="H234" s="48"/>
      <c r="I234" s="48"/>
    </row>
    <row r="235" spans="1:9" ht="21" customHeight="1" x14ac:dyDescent="0.2">
      <c r="A235" s="46"/>
      <c r="B235" s="46"/>
      <c r="C235" s="46"/>
      <c r="D235" s="46"/>
      <c r="E235" s="46"/>
      <c r="F235" s="47"/>
      <c r="G235" s="47"/>
      <c r="H235" s="48"/>
      <c r="I235" s="48"/>
    </row>
    <row r="236" spans="1:9" ht="21" customHeight="1" x14ac:dyDescent="0.2">
      <c r="A236" s="46"/>
      <c r="B236" s="46"/>
      <c r="C236" s="46"/>
      <c r="D236" s="46"/>
      <c r="E236" s="46"/>
      <c r="F236" s="47"/>
      <c r="G236" s="47"/>
      <c r="H236" s="48"/>
      <c r="I236" s="48"/>
    </row>
    <row r="237" spans="1:9" ht="21" customHeight="1" x14ac:dyDescent="0.2">
      <c r="A237" s="46"/>
      <c r="B237" s="46"/>
      <c r="C237" s="46"/>
      <c r="D237" s="46"/>
      <c r="E237" s="46"/>
      <c r="F237" s="47"/>
      <c r="G237" s="47"/>
      <c r="H237" s="48"/>
      <c r="I237" s="48"/>
    </row>
    <row r="238" spans="1:9" ht="21" customHeight="1" x14ac:dyDescent="0.2">
      <c r="A238" s="46"/>
      <c r="B238" s="46"/>
      <c r="C238" s="46"/>
      <c r="D238" s="46"/>
      <c r="E238" s="46"/>
      <c r="F238" s="47"/>
      <c r="G238" s="47"/>
      <c r="H238" s="48"/>
      <c r="I238" s="48"/>
    </row>
    <row r="239" spans="1:9" ht="21" customHeight="1" x14ac:dyDescent="0.2">
      <c r="A239" s="46"/>
      <c r="B239" s="46"/>
      <c r="C239" s="46"/>
      <c r="D239" s="46"/>
      <c r="E239" s="46"/>
      <c r="F239" s="47"/>
      <c r="G239" s="47"/>
      <c r="H239" s="48"/>
      <c r="I239" s="48"/>
    </row>
    <row r="240" spans="1:9" ht="21" customHeight="1" x14ac:dyDescent="0.2">
      <c r="A240" s="46"/>
      <c r="B240" s="46"/>
      <c r="C240" s="46"/>
      <c r="D240" s="46"/>
      <c r="E240" s="46"/>
      <c r="F240" s="47"/>
      <c r="G240" s="47"/>
      <c r="H240" s="48"/>
      <c r="I240" s="48"/>
    </row>
    <row r="241" spans="1:9" ht="21" customHeight="1" x14ac:dyDescent="0.2">
      <c r="A241" s="46"/>
      <c r="B241" s="46"/>
      <c r="C241" s="46"/>
      <c r="D241" s="46"/>
      <c r="E241" s="46"/>
      <c r="F241" s="47"/>
      <c r="G241" s="47"/>
      <c r="H241" s="48"/>
      <c r="I241" s="48"/>
    </row>
    <row r="242" spans="1:9" ht="21" customHeight="1" x14ac:dyDescent="0.2">
      <c r="A242" s="46"/>
      <c r="B242" s="46"/>
      <c r="C242" s="46"/>
      <c r="D242" s="46"/>
      <c r="E242" s="46"/>
      <c r="F242" s="47"/>
      <c r="G242" s="47"/>
      <c r="H242" s="48"/>
      <c r="I242" s="48"/>
    </row>
    <row r="243" spans="1:9" ht="21" customHeight="1" x14ac:dyDescent="0.2">
      <c r="A243" s="46"/>
      <c r="B243" s="46"/>
      <c r="C243" s="46"/>
      <c r="D243" s="46"/>
      <c r="E243" s="46"/>
      <c r="F243" s="47"/>
      <c r="G243" s="47"/>
      <c r="H243" s="48"/>
      <c r="I243" s="48"/>
    </row>
    <row r="244" spans="1:9" ht="21" customHeight="1" x14ac:dyDescent="0.2">
      <c r="A244" s="46"/>
      <c r="B244" s="46"/>
      <c r="C244" s="46"/>
      <c r="D244" s="46"/>
      <c r="E244" s="46"/>
      <c r="F244" s="47"/>
      <c r="G244" s="47"/>
      <c r="H244" s="48"/>
      <c r="I244" s="48"/>
    </row>
    <row r="245" spans="1:9" ht="21" customHeight="1" x14ac:dyDescent="0.2">
      <c r="A245" s="46"/>
      <c r="B245" s="46"/>
      <c r="C245" s="46"/>
      <c r="D245" s="46"/>
      <c r="E245" s="46"/>
      <c r="F245" s="47"/>
      <c r="G245" s="47"/>
      <c r="H245" s="48"/>
      <c r="I245" s="48"/>
    </row>
    <row r="246" spans="1:9" ht="21" customHeight="1" x14ac:dyDescent="0.2">
      <c r="A246" s="46"/>
      <c r="B246" s="46"/>
      <c r="C246" s="46"/>
      <c r="D246" s="46"/>
      <c r="E246" s="46"/>
      <c r="F246" s="47"/>
      <c r="G246" s="47"/>
      <c r="H246" s="48"/>
      <c r="I246" s="48"/>
    </row>
    <row r="247" spans="1:9" ht="21" customHeight="1" x14ac:dyDescent="0.2">
      <c r="A247" s="46"/>
      <c r="B247" s="46"/>
      <c r="C247" s="46"/>
      <c r="D247" s="46"/>
      <c r="E247" s="46"/>
      <c r="F247" s="47"/>
      <c r="G247" s="47"/>
      <c r="H247" s="48"/>
      <c r="I247" s="48"/>
    </row>
    <row r="248" spans="1:9" ht="21" customHeight="1" x14ac:dyDescent="0.2">
      <c r="A248" s="46"/>
      <c r="B248" s="46"/>
      <c r="C248" s="46"/>
      <c r="D248" s="46"/>
      <c r="E248" s="46"/>
      <c r="F248" s="47"/>
      <c r="G248" s="47"/>
      <c r="H248" s="48"/>
      <c r="I248" s="48"/>
    </row>
    <row r="249" spans="1:9" ht="21" customHeight="1" x14ac:dyDescent="0.2">
      <c r="A249" s="46"/>
      <c r="B249" s="46"/>
      <c r="C249" s="46"/>
      <c r="D249" s="46"/>
      <c r="E249" s="46"/>
      <c r="F249" s="47"/>
      <c r="G249" s="47"/>
      <c r="H249" s="48"/>
      <c r="I249" s="48"/>
    </row>
    <row r="250" spans="1:9" ht="21" customHeight="1" x14ac:dyDescent="0.2">
      <c r="A250" s="46"/>
      <c r="B250" s="46"/>
      <c r="C250" s="46"/>
      <c r="D250" s="46"/>
      <c r="E250" s="46"/>
      <c r="F250" s="47"/>
      <c r="G250" s="47"/>
      <c r="H250" s="48"/>
      <c r="I250" s="48"/>
    </row>
    <row r="251" spans="1:9" ht="21" customHeight="1" x14ac:dyDescent="0.2">
      <c r="A251" s="46"/>
      <c r="B251" s="46"/>
      <c r="C251" s="46"/>
      <c r="D251" s="46"/>
      <c r="E251" s="46"/>
      <c r="F251" s="47"/>
      <c r="G251" s="47"/>
      <c r="H251" s="48"/>
      <c r="I251" s="48"/>
    </row>
    <row r="252" spans="1:9" ht="21" customHeight="1" x14ac:dyDescent="0.2">
      <c r="A252" s="46"/>
      <c r="B252" s="46"/>
      <c r="C252" s="46"/>
      <c r="D252" s="46"/>
      <c r="E252" s="46"/>
      <c r="F252" s="47"/>
      <c r="G252" s="47"/>
      <c r="H252" s="48"/>
      <c r="I252" s="48"/>
    </row>
    <row r="253" spans="1:9" ht="21" customHeight="1" x14ac:dyDescent="0.2">
      <c r="A253" s="46"/>
      <c r="B253" s="46"/>
      <c r="C253" s="46"/>
      <c r="D253" s="46"/>
      <c r="E253" s="46"/>
      <c r="F253" s="47"/>
      <c r="G253" s="47"/>
      <c r="H253" s="48"/>
      <c r="I253" s="48"/>
    </row>
    <row r="254" spans="1:9" ht="21" customHeight="1" x14ac:dyDescent="0.2">
      <c r="A254" s="46"/>
      <c r="B254" s="46"/>
      <c r="C254" s="46"/>
      <c r="D254" s="46"/>
      <c r="E254" s="46"/>
      <c r="F254" s="47"/>
      <c r="G254" s="47"/>
      <c r="H254" s="48"/>
      <c r="I254" s="48"/>
    </row>
    <row r="255" spans="1:9" ht="21" customHeight="1" x14ac:dyDescent="0.2">
      <c r="A255" s="46"/>
      <c r="B255" s="46"/>
      <c r="C255" s="46"/>
      <c r="D255" s="46"/>
      <c r="E255" s="46"/>
      <c r="F255" s="47"/>
      <c r="G255" s="47"/>
      <c r="H255" s="48"/>
      <c r="I255" s="48"/>
    </row>
    <row r="256" spans="1:9" ht="21" customHeight="1" x14ac:dyDescent="0.2">
      <c r="A256" s="46"/>
      <c r="B256" s="46"/>
      <c r="C256" s="46"/>
      <c r="D256" s="46"/>
      <c r="E256" s="46"/>
      <c r="F256" s="47"/>
      <c r="G256" s="47"/>
      <c r="H256" s="48"/>
      <c r="I256" s="48"/>
    </row>
    <row r="257" spans="1:9" ht="21" customHeight="1" x14ac:dyDescent="0.2">
      <c r="A257" s="46"/>
      <c r="B257" s="46"/>
      <c r="C257" s="46"/>
      <c r="D257" s="46"/>
      <c r="E257" s="46"/>
      <c r="F257" s="47"/>
      <c r="G257" s="47"/>
      <c r="H257" s="48"/>
      <c r="I257" s="48"/>
    </row>
    <row r="258" spans="1:9" ht="21" customHeight="1" x14ac:dyDescent="0.2">
      <c r="A258" s="46"/>
      <c r="B258" s="46"/>
      <c r="C258" s="46"/>
      <c r="D258" s="46"/>
      <c r="E258" s="46"/>
      <c r="F258" s="47"/>
      <c r="G258" s="47"/>
      <c r="H258" s="48"/>
      <c r="I258" s="48"/>
    </row>
    <row r="259" spans="1:9" ht="21" customHeight="1" x14ac:dyDescent="0.2">
      <c r="A259" s="46"/>
      <c r="B259" s="46"/>
      <c r="C259" s="46"/>
      <c r="D259" s="46"/>
      <c r="E259" s="46"/>
      <c r="F259" s="47"/>
      <c r="G259" s="47"/>
      <c r="H259" s="48"/>
      <c r="I259" s="48"/>
    </row>
    <row r="260" spans="1:9" ht="21" customHeight="1" x14ac:dyDescent="0.2">
      <c r="A260" s="46"/>
      <c r="B260" s="46"/>
      <c r="C260" s="46"/>
      <c r="D260" s="46"/>
      <c r="E260" s="46"/>
      <c r="F260" s="47"/>
      <c r="G260" s="47"/>
      <c r="H260" s="48"/>
      <c r="I260" s="48"/>
    </row>
    <row r="261" spans="1:9" ht="21" customHeight="1" x14ac:dyDescent="0.2">
      <c r="A261" s="46"/>
      <c r="B261" s="46"/>
      <c r="C261" s="46"/>
      <c r="D261" s="46"/>
      <c r="E261" s="46"/>
      <c r="F261" s="47"/>
      <c r="G261" s="47"/>
      <c r="H261" s="48"/>
      <c r="I261" s="48"/>
    </row>
    <row r="262" spans="1:9" ht="21" customHeight="1" x14ac:dyDescent="0.2">
      <c r="A262" s="46"/>
      <c r="B262" s="46"/>
      <c r="C262" s="46"/>
      <c r="D262" s="46"/>
      <c r="E262" s="46"/>
      <c r="F262" s="47"/>
      <c r="G262" s="47"/>
      <c r="H262" s="48"/>
      <c r="I262" s="48"/>
    </row>
    <row r="263" spans="1:9" ht="21" customHeight="1" x14ac:dyDescent="0.2">
      <c r="A263" s="46"/>
      <c r="B263" s="46"/>
      <c r="C263" s="46"/>
      <c r="D263" s="46"/>
      <c r="E263" s="46"/>
      <c r="F263" s="47"/>
      <c r="G263" s="47"/>
      <c r="H263" s="48"/>
      <c r="I263" s="48"/>
    </row>
    <row r="264" spans="1:9" ht="21" customHeight="1" x14ac:dyDescent="0.2">
      <c r="A264" s="46"/>
      <c r="B264" s="46"/>
      <c r="C264" s="46"/>
      <c r="D264" s="46"/>
      <c r="E264" s="46"/>
      <c r="F264" s="47"/>
      <c r="G264" s="47"/>
      <c r="H264" s="48"/>
      <c r="I264" s="48"/>
    </row>
    <row r="265" spans="1:9" ht="21" customHeight="1" x14ac:dyDescent="0.2">
      <c r="A265" s="46"/>
      <c r="B265" s="46"/>
      <c r="C265" s="46"/>
      <c r="D265" s="46"/>
      <c r="E265" s="46"/>
      <c r="F265" s="47"/>
      <c r="G265" s="47"/>
      <c r="H265" s="48"/>
      <c r="I265" s="48"/>
    </row>
    <row r="266" spans="1:9" ht="21" customHeight="1" x14ac:dyDescent="0.2">
      <c r="A266" s="46"/>
      <c r="B266" s="46"/>
      <c r="C266" s="46"/>
      <c r="D266" s="46"/>
      <c r="E266" s="46"/>
      <c r="F266" s="47"/>
      <c r="G266" s="47"/>
      <c r="H266" s="48"/>
      <c r="I266" s="48"/>
    </row>
    <row r="267" spans="1:9" ht="21" customHeight="1" x14ac:dyDescent="0.2">
      <c r="A267" s="46"/>
      <c r="B267" s="46"/>
      <c r="C267" s="46"/>
      <c r="D267" s="46"/>
      <c r="E267" s="46"/>
      <c r="F267" s="47"/>
      <c r="G267" s="47"/>
      <c r="H267" s="48"/>
      <c r="I267" s="48"/>
    </row>
    <row r="268" spans="1:9" ht="21" customHeight="1" x14ac:dyDescent="0.2">
      <c r="A268" s="46"/>
      <c r="B268" s="46"/>
      <c r="C268" s="46"/>
      <c r="D268" s="46"/>
      <c r="E268" s="46"/>
      <c r="F268" s="47"/>
      <c r="G268" s="47"/>
      <c r="H268" s="48"/>
      <c r="I268" s="48"/>
    </row>
    <row r="269" spans="1:9" ht="21" customHeight="1" x14ac:dyDescent="0.2">
      <c r="A269" s="46"/>
      <c r="B269" s="46"/>
      <c r="C269" s="46"/>
      <c r="D269" s="46"/>
      <c r="E269" s="46"/>
      <c r="F269" s="47"/>
      <c r="G269" s="47"/>
      <c r="H269" s="48"/>
      <c r="I269" s="48"/>
    </row>
    <row r="270" spans="1:9" ht="21" customHeight="1" x14ac:dyDescent="0.2">
      <c r="A270" s="46"/>
      <c r="B270" s="46"/>
      <c r="C270" s="46"/>
      <c r="D270" s="46"/>
      <c r="E270" s="46"/>
      <c r="F270" s="47"/>
      <c r="G270" s="47"/>
      <c r="H270" s="48"/>
      <c r="I270" s="48"/>
    </row>
    <row r="271" spans="1:9" ht="21" customHeight="1" x14ac:dyDescent="0.2">
      <c r="A271" s="46"/>
      <c r="B271" s="46"/>
      <c r="C271" s="46"/>
      <c r="D271" s="46"/>
      <c r="E271" s="46"/>
      <c r="F271" s="47"/>
      <c r="G271" s="47"/>
      <c r="H271" s="48"/>
      <c r="I271" s="48"/>
    </row>
    <row r="272" spans="1:9" ht="21" customHeight="1" x14ac:dyDescent="0.2">
      <c r="A272" s="46"/>
      <c r="B272" s="46"/>
      <c r="C272" s="46"/>
      <c r="D272" s="46"/>
      <c r="E272" s="46"/>
      <c r="F272" s="47"/>
      <c r="G272" s="47"/>
      <c r="H272" s="48"/>
      <c r="I272" s="48"/>
    </row>
    <row r="273" spans="1:9" ht="21" customHeight="1" x14ac:dyDescent="0.2">
      <c r="A273" s="46"/>
      <c r="B273" s="46"/>
      <c r="C273" s="46"/>
      <c r="D273" s="46"/>
      <c r="E273" s="46"/>
      <c r="F273" s="47"/>
      <c r="G273" s="47"/>
      <c r="H273" s="48"/>
      <c r="I273" s="48"/>
    </row>
    <row r="274" spans="1:9" ht="21" customHeight="1" x14ac:dyDescent="0.2">
      <c r="A274" s="46"/>
      <c r="B274" s="46"/>
      <c r="C274" s="46"/>
      <c r="D274" s="46"/>
      <c r="E274" s="46"/>
      <c r="F274" s="47"/>
      <c r="G274" s="47"/>
      <c r="H274" s="48"/>
      <c r="I274" s="48"/>
    </row>
    <row r="275" spans="1:9" ht="21" customHeight="1" x14ac:dyDescent="0.2">
      <c r="A275" s="46"/>
      <c r="B275" s="46"/>
      <c r="C275" s="46"/>
      <c r="D275" s="46"/>
      <c r="E275" s="46"/>
      <c r="F275" s="47"/>
      <c r="G275" s="47"/>
      <c r="H275" s="48"/>
      <c r="I275" s="48"/>
    </row>
    <row r="276" spans="1:9" ht="21" customHeight="1" x14ac:dyDescent="0.2">
      <c r="A276" s="46"/>
      <c r="B276" s="46"/>
      <c r="C276" s="46"/>
      <c r="D276" s="46"/>
      <c r="E276" s="46"/>
      <c r="F276" s="47"/>
      <c r="G276" s="47"/>
      <c r="H276" s="48"/>
      <c r="I276" s="48"/>
    </row>
    <row r="277" spans="1:9" ht="21" customHeight="1" x14ac:dyDescent="0.2">
      <c r="A277" s="46"/>
      <c r="B277" s="46"/>
      <c r="C277" s="46"/>
      <c r="D277" s="46"/>
      <c r="E277" s="46"/>
      <c r="F277" s="47"/>
      <c r="G277" s="47"/>
      <c r="H277" s="48"/>
      <c r="I277" s="48"/>
    </row>
    <row r="278" spans="1:9" ht="21" customHeight="1" x14ac:dyDescent="0.2">
      <c r="A278" s="46"/>
      <c r="B278" s="46"/>
      <c r="C278" s="46"/>
      <c r="D278" s="46"/>
      <c r="E278" s="46"/>
      <c r="F278" s="47"/>
      <c r="G278" s="47"/>
      <c r="H278" s="48"/>
      <c r="I278" s="48"/>
    </row>
    <row r="279" spans="1:9" ht="21" customHeight="1" x14ac:dyDescent="0.2">
      <c r="A279" s="46"/>
      <c r="B279" s="46"/>
      <c r="C279" s="46"/>
      <c r="D279" s="46"/>
      <c r="E279" s="46"/>
      <c r="F279" s="47"/>
      <c r="G279" s="47"/>
      <c r="H279" s="48"/>
      <c r="I279" s="48"/>
    </row>
    <row r="280" spans="1:9" ht="21" customHeight="1" x14ac:dyDescent="0.2">
      <c r="A280" s="46"/>
      <c r="B280" s="46"/>
      <c r="C280" s="46"/>
      <c r="D280" s="46"/>
      <c r="E280" s="46"/>
      <c r="F280" s="47"/>
      <c r="G280" s="47"/>
      <c r="H280" s="48"/>
      <c r="I280" s="48"/>
    </row>
    <row r="281" spans="1:9" ht="21" customHeight="1" x14ac:dyDescent="0.2">
      <c r="A281" s="46"/>
      <c r="B281" s="46"/>
      <c r="C281" s="46"/>
      <c r="D281" s="46"/>
      <c r="E281" s="46"/>
      <c r="F281" s="47"/>
      <c r="G281" s="47"/>
      <c r="H281" s="48"/>
      <c r="I281" s="48"/>
    </row>
    <row r="282" spans="1:9" ht="21" customHeight="1" x14ac:dyDescent="0.2">
      <c r="A282" s="46"/>
      <c r="B282" s="46"/>
      <c r="C282" s="46"/>
      <c r="D282" s="46"/>
      <c r="E282" s="46"/>
      <c r="F282" s="47"/>
      <c r="G282" s="47"/>
      <c r="H282" s="48"/>
      <c r="I282" s="48"/>
    </row>
    <row r="283" spans="1:9" ht="21" customHeight="1" x14ac:dyDescent="0.2">
      <c r="A283" s="46"/>
      <c r="B283" s="46"/>
      <c r="C283" s="46"/>
      <c r="D283" s="46"/>
      <c r="E283" s="46"/>
      <c r="F283" s="47"/>
      <c r="G283" s="47"/>
      <c r="H283" s="48"/>
      <c r="I283" s="48"/>
    </row>
    <row r="284" spans="1:9" ht="21" customHeight="1" x14ac:dyDescent="0.2">
      <c r="A284" s="46"/>
      <c r="B284" s="46"/>
      <c r="C284" s="46"/>
      <c r="D284" s="46"/>
      <c r="E284" s="46"/>
      <c r="F284" s="47"/>
      <c r="G284" s="47"/>
      <c r="H284" s="48"/>
      <c r="I284" s="48"/>
    </row>
    <row r="285" spans="1:9" ht="21" customHeight="1" x14ac:dyDescent="0.2">
      <c r="A285" s="46"/>
      <c r="B285" s="46"/>
      <c r="C285" s="46"/>
      <c r="D285" s="46"/>
      <c r="E285" s="46"/>
      <c r="F285" s="47"/>
      <c r="G285" s="47"/>
      <c r="H285" s="48"/>
      <c r="I285" s="48"/>
    </row>
    <row r="286" spans="1:9" ht="21" customHeight="1" x14ac:dyDescent="0.2">
      <c r="A286" s="46"/>
      <c r="B286" s="46"/>
      <c r="C286" s="46"/>
      <c r="D286" s="46"/>
      <c r="E286" s="46"/>
      <c r="F286" s="47"/>
      <c r="G286" s="47"/>
      <c r="H286" s="48"/>
      <c r="I286" s="48"/>
    </row>
    <row r="287" spans="1:9" ht="21" customHeight="1" x14ac:dyDescent="0.2">
      <c r="A287" s="46"/>
      <c r="B287" s="46"/>
      <c r="C287" s="46"/>
      <c r="D287" s="46"/>
      <c r="E287" s="46"/>
      <c r="F287" s="47"/>
      <c r="G287" s="47"/>
      <c r="H287" s="48"/>
      <c r="I287" s="48"/>
    </row>
    <row r="288" spans="1:9" ht="21" customHeight="1" x14ac:dyDescent="0.2">
      <c r="A288" s="46"/>
      <c r="B288" s="46"/>
      <c r="C288" s="46"/>
      <c r="D288" s="46"/>
      <c r="E288" s="46"/>
      <c r="F288" s="47"/>
      <c r="G288" s="47"/>
      <c r="H288" s="48"/>
      <c r="I288" s="48"/>
    </row>
    <row r="289" spans="1:9" ht="21" customHeight="1" x14ac:dyDescent="0.2">
      <c r="A289" s="46"/>
      <c r="B289" s="46"/>
      <c r="C289" s="46"/>
      <c r="D289" s="46"/>
      <c r="E289" s="46"/>
      <c r="F289" s="47"/>
      <c r="G289" s="47"/>
      <c r="H289" s="48"/>
      <c r="I289" s="48"/>
    </row>
    <row r="290" spans="1:9" ht="21" customHeight="1" x14ac:dyDescent="0.2">
      <c r="A290" s="46"/>
      <c r="B290" s="46"/>
      <c r="C290" s="46"/>
      <c r="D290" s="46"/>
      <c r="E290" s="46"/>
      <c r="F290" s="47"/>
      <c r="G290" s="47"/>
      <c r="H290" s="48"/>
      <c r="I290" s="48"/>
    </row>
    <row r="291" spans="1:9" ht="21" customHeight="1" x14ac:dyDescent="0.2">
      <c r="A291" s="46"/>
      <c r="B291" s="46"/>
      <c r="C291" s="46"/>
      <c r="D291" s="46"/>
      <c r="E291" s="46"/>
      <c r="F291" s="47"/>
      <c r="G291" s="47"/>
      <c r="H291" s="48"/>
      <c r="I291" s="48"/>
    </row>
    <row r="292" spans="1:9" ht="21" customHeight="1" x14ac:dyDescent="0.2">
      <c r="A292" s="46"/>
      <c r="B292" s="46"/>
      <c r="C292" s="46"/>
      <c r="D292" s="46"/>
      <c r="E292" s="46"/>
      <c r="F292" s="47"/>
      <c r="G292" s="47"/>
      <c r="H292" s="48"/>
      <c r="I292" s="48"/>
    </row>
    <row r="293" spans="1:9" ht="21" customHeight="1" x14ac:dyDescent="0.2">
      <c r="A293" s="46"/>
      <c r="B293" s="46"/>
      <c r="C293" s="46"/>
      <c r="D293" s="46"/>
      <c r="E293" s="46"/>
      <c r="F293" s="47"/>
      <c r="G293" s="47"/>
      <c r="H293" s="48"/>
      <c r="I293" s="48"/>
    </row>
    <row r="294" spans="1:9" ht="21" customHeight="1" x14ac:dyDescent="0.2">
      <c r="A294" s="46"/>
      <c r="B294" s="46"/>
      <c r="C294" s="46"/>
      <c r="D294" s="46"/>
      <c r="E294" s="46"/>
      <c r="F294" s="47"/>
      <c r="G294" s="47"/>
      <c r="H294" s="48"/>
      <c r="I294" s="48"/>
    </row>
    <row r="295" spans="1:9" ht="21" customHeight="1" x14ac:dyDescent="0.2">
      <c r="A295" s="46"/>
      <c r="B295" s="46"/>
      <c r="C295" s="46"/>
      <c r="D295" s="46"/>
      <c r="E295" s="46"/>
      <c r="F295" s="47"/>
      <c r="G295" s="47"/>
      <c r="H295" s="48"/>
      <c r="I295" s="48"/>
    </row>
    <row r="296" spans="1:9" ht="21" customHeight="1" x14ac:dyDescent="0.2">
      <c r="A296" s="46"/>
      <c r="B296" s="46"/>
      <c r="C296" s="46"/>
      <c r="D296" s="46"/>
      <c r="E296" s="46"/>
      <c r="F296" s="47"/>
      <c r="G296" s="47"/>
      <c r="H296" s="48"/>
      <c r="I296" s="48"/>
    </row>
    <row r="297" spans="1:9" ht="21" customHeight="1" x14ac:dyDescent="0.2">
      <c r="A297" s="46"/>
      <c r="B297" s="46"/>
      <c r="C297" s="46"/>
      <c r="D297" s="46"/>
      <c r="E297" s="46"/>
      <c r="F297" s="47"/>
      <c r="G297" s="47"/>
      <c r="H297" s="48"/>
      <c r="I297" s="48"/>
    </row>
    <row r="298" spans="1:9" ht="21" customHeight="1" x14ac:dyDescent="0.2">
      <c r="A298" s="46"/>
      <c r="B298" s="46"/>
      <c r="C298" s="46"/>
      <c r="D298" s="46"/>
      <c r="E298" s="46"/>
      <c r="F298" s="47"/>
      <c r="G298" s="47"/>
      <c r="H298" s="48"/>
      <c r="I298" s="48"/>
    </row>
    <row r="299" spans="1:9" ht="21" customHeight="1" x14ac:dyDescent="0.2">
      <c r="A299" s="46"/>
      <c r="B299" s="46"/>
      <c r="C299" s="46"/>
      <c r="D299" s="46"/>
      <c r="E299" s="46"/>
      <c r="F299" s="47"/>
      <c r="G299" s="47"/>
      <c r="H299" s="48"/>
      <c r="I299" s="48"/>
    </row>
    <row r="300" spans="1:9" ht="21" customHeight="1" x14ac:dyDescent="0.2">
      <c r="A300" s="46"/>
      <c r="B300" s="46"/>
      <c r="C300" s="46"/>
      <c r="D300" s="46"/>
      <c r="E300" s="46"/>
      <c r="F300" s="47"/>
      <c r="G300" s="47"/>
      <c r="H300" s="48"/>
      <c r="I300" s="48"/>
    </row>
    <row r="301" spans="1:9" ht="21" customHeight="1" x14ac:dyDescent="0.2">
      <c r="A301" s="46"/>
      <c r="B301" s="46"/>
      <c r="C301" s="46"/>
      <c r="D301" s="46"/>
      <c r="E301" s="46"/>
      <c r="F301" s="47"/>
      <c r="G301" s="47"/>
      <c r="H301" s="48"/>
      <c r="I301" s="48"/>
    </row>
    <row r="302" spans="1:9" ht="21" customHeight="1" x14ac:dyDescent="0.2">
      <c r="A302" s="46"/>
      <c r="B302" s="46"/>
      <c r="C302" s="46"/>
      <c r="D302" s="46"/>
      <c r="E302" s="46"/>
      <c r="F302" s="47"/>
      <c r="G302" s="47"/>
      <c r="H302" s="48"/>
      <c r="I302" s="48"/>
    </row>
    <row r="303" spans="1:9" ht="21" customHeight="1" x14ac:dyDescent="0.2">
      <c r="A303" s="46"/>
      <c r="B303" s="46"/>
      <c r="C303" s="46"/>
      <c r="D303" s="46"/>
      <c r="E303" s="46"/>
      <c r="F303" s="47"/>
      <c r="G303" s="47"/>
      <c r="H303" s="48"/>
      <c r="I303" s="48"/>
    </row>
    <row r="304" spans="1:9" ht="21" customHeight="1" x14ac:dyDescent="0.2">
      <c r="A304" s="46"/>
      <c r="B304" s="46"/>
      <c r="C304" s="46"/>
      <c r="D304" s="46"/>
      <c r="E304" s="46"/>
      <c r="F304" s="47"/>
      <c r="G304" s="47"/>
      <c r="H304" s="48"/>
      <c r="I304" s="48"/>
    </row>
    <row r="305" spans="1:9" ht="21" customHeight="1" x14ac:dyDescent="0.2">
      <c r="A305" s="46"/>
      <c r="B305" s="46"/>
      <c r="C305" s="46"/>
      <c r="D305" s="46"/>
      <c r="E305" s="46"/>
      <c r="F305" s="47"/>
      <c r="G305" s="47"/>
      <c r="H305" s="48"/>
      <c r="I305" s="48"/>
    </row>
    <row r="306" spans="1:9" ht="21" customHeight="1" x14ac:dyDescent="0.2">
      <c r="A306" s="46"/>
      <c r="B306" s="46"/>
      <c r="C306" s="46"/>
      <c r="D306" s="46"/>
      <c r="E306" s="46"/>
      <c r="F306" s="47"/>
      <c r="G306" s="47"/>
      <c r="H306" s="48"/>
      <c r="I306" s="48"/>
    </row>
    <row r="307" spans="1:9" ht="21" customHeight="1" x14ac:dyDescent="0.2">
      <c r="A307" s="46"/>
      <c r="B307" s="46"/>
      <c r="C307" s="46"/>
      <c r="D307" s="46"/>
      <c r="E307" s="46"/>
      <c r="F307" s="47"/>
      <c r="G307" s="47"/>
      <c r="H307" s="48"/>
      <c r="I307" s="48"/>
    </row>
    <row r="308" spans="1:9" ht="21" customHeight="1" x14ac:dyDescent="0.2">
      <c r="A308" s="46"/>
      <c r="B308" s="46"/>
      <c r="C308" s="46"/>
      <c r="D308" s="46"/>
      <c r="E308" s="46"/>
      <c r="F308" s="47"/>
      <c r="G308" s="47"/>
      <c r="H308" s="48"/>
      <c r="I308" s="48"/>
    </row>
    <row r="309" spans="1:9" ht="21" customHeight="1" x14ac:dyDescent="0.2">
      <c r="A309" s="46"/>
      <c r="B309" s="46"/>
      <c r="C309" s="46"/>
      <c r="D309" s="46"/>
      <c r="E309" s="46"/>
      <c r="F309" s="47"/>
      <c r="G309" s="47"/>
      <c r="H309" s="48"/>
      <c r="I309" s="48"/>
    </row>
    <row r="310" spans="1:9" ht="21" customHeight="1" x14ac:dyDescent="0.2">
      <c r="A310" s="46"/>
      <c r="B310" s="46"/>
      <c r="C310" s="46"/>
      <c r="D310" s="46"/>
      <c r="E310" s="46"/>
      <c r="F310" s="47"/>
      <c r="G310" s="47"/>
      <c r="H310" s="48"/>
      <c r="I310" s="48"/>
    </row>
    <row r="311" spans="1:9" ht="21" customHeight="1" x14ac:dyDescent="0.2">
      <c r="A311" s="46"/>
      <c r="B311" s="46"/>
      <c r="C311" s="46"/>
      <c r="D311" s="46"/>
      <c r="E311" s="46"/>
      <c r="F311" s="47"/>
      <c r="G311" s="47"/>
      <c r="H311" s="48"/>
      <c r="I311" s="48"/>
    </row>
    <row r="312" spans="1:9" ht="21" customHeight="1" x14ac:dyDescent="0.2">
      <c r="A312" s="46"/>
      <c r="B312" s="46"/>
      <c r="C312" s="46"/>
      <c r="D312" s="46"/>
      <c r="E312" s="46"/>
      <c r="F312" s="47"/>
      <c r="G312" s="47"/>
      <c r="H312" s="48"/>
      <c r="I312" s="48"/>
    </row>
    <row r="313" spans="1:9" ht="21" customHeight="1" x14ac:dyDescent="0.2">
      <c r="A313" s="46"/>
      <c r="B313" s="46"/>
      <c r="C313" s="46"/>
      <c r="D313" s="46"/>
      <c r="E313" s="46"/>
      <c r="F313" s="47"/>
      <c r="G313" s="47"/>
      <c r="H313" s="48"/>
      <c r="I313" s="48"/>
    </row>
    <row r="314" spans="1:9" ht="21" customHeight="1" x14ac:dyDescent="0.2">
      <c r="A314" s="46"/>
      <c r="B314" s="46"/>
      <c r="C314" s="46"/>
      <c r="D314" s="46"/>
      <c r="E314" s="46"/>
      <c r="F314" s="47"/>
      <c r="G314" s="47"/>
      <c r="H314" s="48"/>
      <c r="I314" s="48"/>
    </row>
    <row r="315" spans="1:9" ht="21" customHeight="1" x14ac:dyDescent="0.2">
      <c r="A315" s="46"/>
      <c r="B315" s="46"/>
      <c r="C315" s="46"/>
      <c r="D315" s="46"/>
      <c r="E315" s="46"/>
      <c r="F315" s="47"/>
      <c r="G315" s="47"/>
      <c r="H315" s="48"/>
      <c r="I315" s="48"/>
    </row>
    <row r="316" spans="1:9" ht="21" customHeight="1" x14ac:dyDescent="0.2">
      <c r="A316" s="46"/>
      <c r="B316" s="46"/>
      <c r="C316" s="46"/>
      <c r="D316" s="46"/>
      <c r="E316" s="46"/>
      <c r="F316" s="47"/>
      <c r="G316" s="47"/>
      <c r="H316" s="48"/>
      <c r="I316" s="48"/>
    </row>
    <row r="317" spans="1:9" ht="21" customHeight="1" x14ac:dyDescent="0.2">
      <c r="A317" s="46"/>
      <c r="B317" s="46"/>
      <c r="C317" s="46"/>
      <c r="D317" s="46"/>
      <c r="E317" s="46"/>
      <c r="F317" s="47"/>
      <c r="G317" s="47"/>
      <c r="H317" s="48"/>
      <c r="I317" s="48"/>
    </row>
    <row r="318" spans="1:9" ht="21" customHeight="1" x14ac:dyDescent="0.2">
      <c r="A318" s="46"/>
      <c r="B318" s="46"/>
      <c r="C318" s="46"/>
      <c r="D318" s="46"/>
      <c r="E318" s="46"/>
      <c r="F318" s="47"/>
      <c r="G318" s="47"/>
      <c r="H318" s="48"/>
      <c r="I318" s="48"/>
    </row>
    <row r="319" spans="1:9" ht="21" customHeight="1" x14ac:dyDescent="0.2">
      <c r="A319" s="46"/>
      <c r="B319" s="46"/>
      <c r="C319" s="46"/>
      <c r="D319" s="46"/>
      <c r="E319" s="46"/>
      <c r="F319" s="47"/>
      <c r="G319" s="47"/>
      <c r="H319" s="48"/>
      <c r="I319" s="48"/>
    </row>
    <row r="320" spans="1:9" ht="21" customHeight="1" x14ac:dyDescent="0.2">
      <c r="A320" s="46"/>
      <c r="B320" s="46"/>
      <c r="C320" s="46"/>
      <c r="D320" s="46"/>
      <c r="E320" s="46"/>
      <c r="F320" s="47"/>
      <c r="G320" s="47"/>
      <c r="H320" s="48"/>
      <c r="I320" s="48"/>
    </row>
    <row r="321" spans="1:9" ht="21" customHeight="1" x14ac:dyDescent="0.2">
      <c r="A321" s="46"/>
      <c r="B321" s="46"/>
      <c r="C321" s="46"/>
      <c r="D321" s="46"/>
      <c r="E321" s="46"/>
      <c r="F321" s="47"/>
      <c r="G321" s="47"/>
      <c r="H321" s="48"/>
      <c r="I321" s="48"/>
    </row>
    <row r="322" spans="1:9" ht="21" customHeight="1" x14ac:dyDescent="0.2">
      <c r="A322" s="46"/>
      <c r="B322" s="46"/>
      <c r="C322" s="46"/>
      <c r="D322" s="46"/>
      <c r="E322" s="46"/>
      <c r="F322" s="47"/>
      <c r="G322" s="47"/>
      <c r="H322" s="48"/>
      <c r="I322" s="48"/>
    </row>
    <row r="323" spans="1:9" ht="21" customHeight="1" x14ac:dyDescent="0.2">
      <c r="A323" s="46"/>
      <c r="B323" s="46"/>
      <c r="C323" s="46"/>
      <c r="D323" s="46"/>
      <c r="E323" s="46"/>
      <c r="F323" s="47"/>
      <c r="G323" s="47"/>
      <c r="H323" s="48"/>
      <c r="I323" s="48"/>
    </row>
    <row r="324" spans="1:9" ht="21" customHeight="1" x14ac:dyDescent="0.2">
      <c r="A324" s="46"/>
      <c r="B324" s="46"/>
      <c r="C324" s="46"/>
      <c r="D324" s="46"/>
      <c r="E324" s="46"/>
      <c r="F324" s="47"/>
      <c r="G324" s="47"/>
      <c r="H324" s="48"/>
      <c r="I324" s="48"/>
    </row>
    <row r="325" spans="1:9" ht="21" customHeight="1" x14ac:dyDescent="0.2">
      <c r="A325" s="46"/>
      <c r="B325" s="46"/>
      <c r="C325" s="46"/>
      <c r="D325" s="46"/>
      <c r="E325" s="46"/>
      <c r="F325" s="47"/>
      <c r="G325" s="47"/>
      <c r="H325" s="48"/>
      <c r="I325" s="48"/>
    </row>
    <row r="326" spans="1:9" ht="21" customHeight="1" x14ac:dyDescent="0.2">
      <c r="A326" s="46"/>
      <c r="B326" s="46"/>
      <c r="C326" s="46"/>
      <c r="D326" s="46"/>
      <c r="E326" s="46"/>
      <c r="F326" s="47"/>
      <c r="G326" s="47"/>
      <c r="H326" s="48"/>
      <c r="I326" s="48"/>
    </row>
    <row r="327" spans="1:9" ht="21" customHeight="1" x14ac:dyDescent="0.2">
      <c r="A327" s="46"/>
      <c r="B327" s="46"/>
      <c r="C327" s="46"/>
      <c r="D327" s="46"/>
      <c r="E327" s="46"/>
      <c r="F327" s="47"/>
      <c r="G327" s="47"/>
      <c r="H327" s="48"/>
      <c r="I327" s="48"/>
    </row>
    <row r="328" spans="1:9" ht="21" customHeight="1" x14ac:dyDescent="0.2">
      <c r="A328" s="46"/>
      <c r="B328" s="46"/>
      <c r="C328" s="46"/>
      <c r="D328" s="46"/>
      <c r="E328" s="46"/>
      <c r="F328" s="47"/>
      <c r="G328" s="47"/>
      <c r="H328" s="48"/>
      <c r="I328" s="48"/>
    </row>
    <row r="329" spans="1:9" ht="21" customHeight="1" x14ac:dyDescent="0.2">
      <c r="A329" s="46"/>
      <c r="B329" s="46"/>
      <c r="C329" s="46"/>
      <c r="D329" s="46"/>
      <c r="E329" s="46"/>
      <c r="F329" s="47"/>
      <c r="G329" s="47"/>
      <c r="H329" s="48"/>
      <c r="I329" s="48"/>
    </row>
    <row r="330" spans="1:9" ht="21" customHeight="1" x14ac:dyDescent="0.2">
      <c r="A330" s="46"/>
      <c r="B330" s="46"/>
      <c r="C330" s="46"/>
      <c r="D330" s="46"/>
      <c r="E330" s="46"/>
      <c r="F330" s="47"/>
      <c r="G330" s="47"/>
      <c r="H330" s="48"/>
      <c r="I330" s="48"/>
    </row>
    <row r="331" spans="1:9" ht="21" customHeight="1" x14ac:dyDescent="0.2">
      <c r="A331" s="46"/>
      <c r="B331" s="46"/>
      <c r="C331" s="46"/>
      <c r="D331" s="46"/>
      <c r="E331" s="46"/>
      <c r="F331" s="47"/>
      <c r="G331" s="47"/>
      <c r="H331" s="48"/>
      <c r="I331" s="48"/>
    </row>
    <row r="332" spans="1:9" ht="21" customHeight="1" x14ac:dyDescent="0.2">
      <c r="A332" s="46"/>
      <c r="B332" s="46"/>
      <c r="C332" s="46"/>
      <c r="D332" s="46"/>
      <c r="E332" s="46"/>
      <c r="F332" s="47"/>
      <c r="G332" s="47"/>
      <c r="H332" s="48"/>
      <c r="I332" s="48"/>
    </row>
    <row r="333" spans="1:9" ht="21" customHeight="1" x14ac:dyDescent="0.2">
      <c r="A333" s="46"/>
      <c r="B333" s="46"/>
      <c r="C333" s="46"/>
      <c r="D333" s="46"/>
      <c r="E333" s="46"/>
      <c r="F333" s="47"/>
      <c r="G333" s="47"/>
      <c r="H333" s="48"/>
      <c r="I333" s="48"/>
    </row>
    <row r="334" spans="1:9" ht="21" customHeight="1" x14ac:dyDescent="0.2">
      <c r="A334" s="46"/>
      <c r="B334" s="46"/>
      <c r="C334" s="46"/>
      <c r="D334" s="46"/>
      <c r="E334" s="46"/>
      <c r="F334" s="47"/>
      <c r="G334" s="47"/>
      <c r="H334" s="48"/>
      <c r="I334" s="48"/>
    </row>
    <row r="335" spans="1:9" ht="21" customHeight="1" x14ac:dyDescent="0.2">
      <c r="A335" s="46"/>
      <c r="B335" s="46"/>
      <c r="C335" s="46"/>
      <c r="D335" s="46"/>
      <c r="E335" s="46"/>
      <c r="F335" s="47"/>
      <c r="G335" s="47"/>
      <c r="H335" s="48"/>
      <c r="I335" s="48"/>
    </row>
    <row r="336" spans="1:9" ht="21" customHeight="1" x14ac:dyDescent="0.2">
      <c r="A336" s="46"/>
      <c r="B336" s="46"/>
      <c r="C336" s="46"/>
      <c r="D336" s="46"/>
      <c r="E336" s="46"/>
      <c r="F336" s="47"/>
      <c r="G336" s="47"/>
      <c r="H336" s="48"/>
      <c r="I336" s="48"/>
    </row>
    <row r="337" spans="1:9" ht="21" customHeight="1" x14ac:dyDescent="0.2">
      <c r="A337" s="46"/>
      <c r="B337" s="46"/>
      <c r="C337" s="46"/>
      <c r="D337" s="46"/>
      <c r="E337" s="46"/>
      <c r="F337" s="47"/>
      <c r="G337" s="47"/>
      <c r="H337" s="48"/>
      <c r="I337" s="48"/>
    </row>
    <row r="338" spans="1:9" ht="21" customHeight="1" x14ac:dyDescent="0.2">
      <c r="A338" s="46"/>
      <c r="B338" s="46"/>
      <c r="C338" s="46"/>
      <c r="D338" s="46"/>
      <c r="E338" s="46"/>
      <c r="F338" s="47"/>
      <c r="G338" s="47"/>
      <c r="H338" s="48"/>
      <c r="I338" s="48"/>
    </row>
    <row r="339" spans="1:9" ht="21" customHeight="1" x14ac:dyDescent="0.2">
      <c r="A339" s="46"/>
      <c r="B339" s="46"/>
      <c r="C339" s="46"/>
      <c r="D339" s="46"/>
      <c r="E339" s="46"/>
      <c r="F339" s="47"/>
      <c r="G339" s="47"/>
      <c r="H339" s="48"/>
      <c r="I339" s="48"/>
    </row>
    <row r="340" spans="1:9" ht="21" customHeight="1" x14ac:dyDescent="0.2">
      <c r="A340" s="46"/>
      <c r="B340" s="46"/>
      <c r="C340" s="46"/>
      <c r="D340" s="46"/>
      <c r="E340" s="46"/>
      <c r="F340" s="47"/>
      <c r="G340" s="47"/>
      <c r="H340" s="48"/>
      <c r="I340" s="48"/>
    </row>
    <row r="341" spans="1:9" ht="21" customHeight="1" x14ac:dyDescent="0.2">
      <c r="A341" s="46"/>
      <c r="B341" s="46"/>
      <c r="C341" s="46"/>
      <c r="D341" s="46"/>
      <c r="E341" s="46"/>
      <c r="F341" s="47"/>
      <c r="G341" s="47"/>
      <c r="H341" s="48"/>
      <c r="I341" s="48"/>
    </row>
    <row r="342" spans="1:9" ht="21" customHeight="1" x14ac:dyDescent="0.2">
      <c r="A342" s="46"/>
      <c r="B342" s="46"/>
      <c r="C342" s="46"/>
      <c r="D342" s="46"/>
      <c r="E342" s="46"/>
      <c r="F342" s="47"/>
      <c r="G342" s="47"/>
      <c r="H342" s="48"/>
      <c r="I342" s="48"/>
    </row>
    <row r="343" spans="1:9" ht="21" customHeight="1" x14ac:dyDescent="0.2">
      <c r="A343" s="46"/>
      <c r="B343" s="46"/>
      <c r="C343" s="46"/>
      <c r="D343" s="46"/>
      <c r="E343" s="46"/>
      <c r="F343" s="47"/>
      <c r="G343" s="47"/>
      <c r="H343" s="48"/>
      <c r="I343" s="48"/>
    </row>
    <row r="344" spans="1:9" ht="21" customHeight="1" x14ac:dyDescent="0.2">
      <c r="A344" s="46"/>
      <c r="B344" s="46"/>
      <c r="C344" s="46"/>
      <c r="D344" s="46"/>
      <c r="E344" s="46"/>
      <c r="F344" s="47"/>
      <c r="G344" s="47"/>
      <c r="H344" s="48"/>
      <c r="I344" s="48"/>
    </row>
    <row r="345" spans="1:9" ht="21" customHeight="1" x14ac:dyDescent="0.2">
      <c r="A345" s="46"/>
      <c r="B345" s="46"/>
      <c r="C345" s="46"/>
      <c r="D345" s="46"/>
      <c r="E345" s="46"/>
      <c r="F345" s="47"/>
      <c r="G345" s="47"/>
      <c r="H345" s="48"/>
      <c r="I345" s="48"/>
    </row>
    <row r="346" spans="1:9" ht="21" customHeight="1" x14ac:dyDescent="0.2">
      <c r="A346" s="46"/>
      <c r="B346" s="46"/>
      <c r="C346" s="46"/>
      <c r="D346" s="46"/>
      <c r="E346" s="46"/>
      <c r="F346" s="47"/>
      <c r="G346" s="47"/>
      <c r="H346" s="48"/>
      <c r="I346" s="48"/>
    </row>
    <row r="347" spans="1:9" ht="21" customHeight="1" x14ac:dyDescent="0.2">
      <c r="A347" s="46"/>
      <c r="B347" s="46"/>
      <c r="C347" s="46"/>
      <c r="D347" s="46"/>
      <c r="E347" s="46"/>
      <c r="F347" s="47"/>
      <c r="G347" s="47"/>
      <c r="H347" s="48"/>
      <c r="I347" s="48"/>
    </row>
    <row r="348" spans="1:9" ht="21" customHeight="1" x14ac:dyDescent="0.2">
      <c r="A348" s="46"/>
      <c r="B348" s="46"/>
      <c r="C348" s="46"/>
      <c r="D348" s="46"/>
      <c r="E348" s="46"/>
      <c r="F348" s="47"/>
      <c r="G348" s="47"/>
      <c r="H348" s="48"/>
      <c r="I348" s="48"/>
    </row>
    <row r="349" spans="1:9" ht="21" customHeight="1" x14ac:dyDescent="0.2">
      <c r="A349" s="46"/>
      <c r="B349" s="46"/>
      <c r="C349" s="46"/>
      <c r="D349" s="46"/>
      <c r="E349" s="46"/>
      <c r="F349" s="47"/>
      <c r="G349" s="47"/>
      <c r="H349" s="48"/>
      <c r="I349" s="48"/>
    </row>
    <row r="350" spans="1:9" ht="21" customHeight="1" x14ac:dyDescent="0.2">
      <c r="A350" s="46"/>
      <c r="B350" s="46"/>
      <c r="C350" s="46"/>
      <c r="D350" s="46"/>
      <c r="E350" s="46"/>
      <c r="F350" s="47"/>
      <c r="G350" s="47"/>
      <c r="H350" s="48"/>
      <c r="I350" s="48"/>
    </row>
    <row r="351" spans="1:9" ht="21" customHeight="1" x14ac:dyDescent="0.2">
      <c r="A351" s="46"/>
      <c r="B351" s="46"/>
      <c r="C351" s="46"/>
      <c r="D351" s="46"/>
      <c r="E351" s="46"/>
      <c r="F351" s="47"/>
      <c r="G351" s="47"/>
      <c r="H351" s="48"/>
      <c r="I351" s="48"/>
    </row>
    <row r="352" spans="1:9" ht="21" customHeight="1" x14ac:dyDescent="0.2">
      <c r="A352" s="46"/>
      <c r="B352" s="46"/>
      <c r="C352" s="46"/>
      <c r="D352" s="46"/>
      <c r="E352" s="46"/>
      <c r="F352" s="47"/>
      <c r="G352" s="47"/>
      <c r="H352" s="48"/>
      <c r="I352" s="48"/>
    </row>
    <row r="353" spans="1:9" ht="21" customHeight="1" x14ac:dyDescent="0.2">
      <c r="A353" s="46"/>
      <c r="B353" s="46"/>
      <c r="C353" s="46"/>
      <c r="D353" s="46"/>
      <c r="E353" s="46"/>
      <c r="F353" s="47"/>
      <c r="G353" s="47"/>
      <c r="H353" s="48"/>
      <c r="I353" s="48"/>
    </row>
    <row r="354" spans="1:9" ht="21" customHeight="1" x14ac:dyDescent="0.2">
      <c r="A354" s="46"/>
      <c r="B354" s="46"/>
      <c r="C354" s="46"/>
      <c r="D354" s="46"/>
      <c r="E354" s="46"/>
      <c r="F354" s="47"/>
      <c r="G354" s="47"/>
      <c r="H354" s="48"/>
      <c r="I354" s="48"/>
    </row>
    <row r="355" spans="1:9" ht="21" customHeight="1" x14ac:dyDescent="0.2">
      <c r="A355" s="46"/>
      <c r="B355" s="46"/>
      <c r="C355" s="46"/>
      <c r="D355" s="46"/>
      <c r="E355" s="46"/>
      <c r="F355" s="47"/>
      <c r="G355" s="47"/>
      <c r="H355" s="48"/>
      <c r="I355" s="48"/>
    </row>
    <row r="356" spans="1:9" ht="21" customHeight="1" x14ac:dyDescent="0.2">
      <c r="A356" s="46"/>
      <c r="B356" s="46"/>
      <c r="C356" s="46"/>
      <c r="D356" s="46"/>
      <c r="E356" s="46"/>
      <c r="F356" s="47"/>
      <c r="G356" s="47"/>
      <c r="H356" s="48"/>
      <c r="I356" s="48"/>
    </row>
    <row r="357" spans="1:9" ht="21" customHeight="1" x14ac:dyDescent="0.2">
      <c r="A357" s="46"/>
      <c r="B357" s="46"/>
      <c r="C357" s="46"/>
      <c r="D357" s="46"/>
      <c r="E357" s="46"/>
      <c r="F357" s="47"/>
      <c r="G357" s="47"/>
      <c r="H357" s="48"/>
      <c r="I357" s="48"/>
    </row>
    <row r="358" spans="1:9" ht="21" customHeight="1" x14ac:dyDescent="0.2">
      <c r="A358" s="46"/>
      <c r="B358" s="46"/>
      <c r="C358" s="46"/>
      <c r="D358" s="46"/>
      <c r="E358" s="46"/>
      <c r="F358" s="47"/>
      <c r="G358" s="47"/>
      <c r="H358" s="48"/>
      <c r="I358" s="48"/>
    </row>
    <row r="359" spans="1:9" ht="21" customHeight="1" x14ac:dyDescent="0.2">
      <c r="A359" s="46"/>
      <c r="B359" s="46"/>
      <c r="C359" s="46"/>
      <c r="D359" s="46"/>
      <c r="E359" s="46"/>
      <c r="F359" s="47"/>
      <c r="G359" s="47"/>
      <c r="H359" s="48"/>
      <c r="I359" s="48"/>
    </row>
    <row r="360" spans="1:9" ht="21" customHeight="1" x14ac:dyDescent="0.2">
      <c r="A360" s="46"/>
      <c r="B360" s="46"/>
      <c r="C360" s="46"/>
      <c r="D360" s="46"/>
      <c r="E360" s="46"/>
      <c r="F360" s="47"/>
      <c r="G360" s="47"/>
      <c r="H360" s="48"/>
      <c r="I360" s="48"/>
    </row>
    <row r="361" spans="1:9" ht="21" customHeight="1" x14ac:dyDescent="0.2">
      <c r="A361" s="46"/>
      <c r="B361" s="46"/>
      <c r="C361" s="46"/>
      <c r="D361" s="46"/>
      <c r="E361" s="46"/>
      <c r="F361" s="47"/>
      <c r="G361" s="47"/>
      <c r="H361" s="48"/>
      <c r="I361" s="48"/>
    </row>
    <row r="362" spans="1:9" ht="21" customHeight="1" x14ac:dyDescent="0.2">
      <c r="A362" s="46"/>
      <c r="B362" s="46"/>
      <c r="C362" s="46"/>
      <c r="D362" s="46"/>
      <c r="E362" s="46"/>
      <c r="F362" s="47"/>
      <c r="G362" s="47"/>
      <c r="H362" s="48"/>
      <c r="I362" s="48"/>
    </row>
    <row r="363" spans="1:9" ht="21" customHeight="1" x14ac:dyDescent="0.2">
      <c r="A363" s="46"/>
      <c r="B363" s="46"/>
      <c r="C363" s="46"/>
      <c r="D363" s="46"/>
      <c r="E363" s="46"/>
      <c r="F363" s="47"/>
      <c r="G363" s="47"/>
      <c r="H363" s="48"/>
      <c r="I363" s="48"/>
    </row>
    <row r="364" spans="1:9" ht="21" customHeight="1" x14ac:dyDescent="0.2">
      <c r="A364" s="46"/>
      <c r="B364" s="46"/>
      <c r="C364" s="46"/>
      <c r="D364" s="46"/>
      <c r="E364" s="46"/>
      <c r="F364" s="47"/>
      <c r="G364" s="47"/>
      <c r="H364" s="48"/>
      <c r="I364" s="48"/>
    </row>
    <row r="365" spans="1:9" ht="21" customHeight="1" x14ac:dyDescent="0.2">
      <c r="A365" s="46"/>
      <c r="B365" s="46"/>
      <c r="C365" s="46"/>
      <c r="D365" s="46"/>
      <c r="E365" s="46"/>
      <c r="F365" s="47"/>
      <c r="G365" s="47"/>
      <c r="H365" s="48"/>
      <c r="I365" s="48"/>
    </row>
    <row r="366" spans="1:9" ht="21" customHeight="1" x14ac:dyDescent="0.2">
      <c r="A366" s="46"/>
      <c r="B366" s="46"/>
      <c r="C366" s="46"/>
      <c r="D366" s="46"/>
      <c r="E366" s="46"/>
      <c r="F366" s="47"/>
      <c r="G366" s="47"/>
      <c r="H366" s="48"/>
      <c r="I366" s="48"/>
    </row>
    <row r="367" spans="1:9" ht="21" customHeight="1" x14ac:dyDescent="0.2">
      <c r="A367" s="46"/>
      <c r="B367" s="46"/>
      <c r="C367" s="46"/>
      <c r="D367" s="46"/>
      <c r="E367" s="46"/>
      <c r="F367" s="47"/>
      <c r="G367" s="47"/>
      <c r="H367" s="48"/>
      <c r="I367" s="48"/>
    </row>
    <row r="368" spans="1:9" ht="21" customHeight="1" x14ac:dyDescent="0.2">
      <c r="A368" s="46"/>
      <c r="B368" s="46"/>
      <c r="C368" s="46"/>
      <c r="D368" s="46"/>
      <c r="E368" s="46"/>
      <c r="F368" s="47"/>
      <c r="G368" s="47"/>
      <c r="H368" s="48"/>
      <c r="I368" s="48"/>
    </row>
    <row r="369" spans="1:9" ht="21" customHeight="1" x14ac:dyDescent="0.2">
      <c r="A369" s="46"/>
      <c r="B369" s="46"/>
      <c r="C369" s="46"/>
      <c r="D369" s="46"/>
      <c r="E369" s="46"/>
      <c r="F369" s="47"/>
      <c r="G369" s="47"/>
      <c r="H369" s="48"/>
      <c r="I369" s="48"/>
    </row>
    <row r="370" spans="1:9" ht="21" customHeight="1" x14ac:dyDescent="0.2">
      <c r="A370" s="46"/>
      <c r="B370" s="46"/>
      <c r="C370" s="46"/>
      <c r="D370" s="46"/>
      <c r="E370" s="46"/>
      <c r="F370" s="47"/>
      <c r="G370" s="47"/>
      <c r="H370" s="48"/>
      <c r="I370" s="48"/>
    </row>
    <row r="371" spans="1:9" ht="21" customHeight="1" x14ac:dyDescent="0.2">
      <c r="A371" s="46"/>
      <c r="B371" s="46"/>
      <c r="C371" s="46"/>
      <c r="D371" s="46"/>
      <c r="E371" s="46"/>
      <c r="F371" s="47"/>
      <c r="G371" s="47"/>
      <c r="H371" s="48"/>
      <c r="I371" s="48"/>
    </row>
    <row r="372" spans="1:9" ht="21" customHeight="1" x14ac:dyDescent="0.2">
      <c r="A372" s="46"/>
      <c r="B372" s="46"/>
      <c r="C372" s="46"/>
      <c r="D372" s="46"/>
      <c r="E372" s="46"/>
      <c r="F372" s="47"/>
      <c r="G372" s="47"/>
      <c r="H372" s="48"/>
      <c r="I372" s="48"/>
    </row>
    <row r="373" spans="1:9" ht="21" customHeight="1" x14ac:dyDescent="0.2">
      <c r="A373" s="46"/>
      <c r="B373" s="46"/>
      <c r="C373" s="46"/>
      <c r="D373" s="46"/>
      <c r="E373" s="46"/>
      <c r="F373" s="47"/>
      <c r="G373" s="47"/>
      <c r="H373" s="48"/>
      <c r="I373" s="48"/>
    </row>
    <row r="374" spans="1:9" ht="21" customHeight="1" x14ac:dyDescent="0.2">
      <c r="A374" s="46"/>
      <c r="B374" s="46"/>
      <c r="C374" s="46"/>
      <c r="D374" s="46"/>
      <c r="E374" s="46"/>
      <c r="F374" s="47"/>
      <c r="G374" s="47"/>
      <c r="H374" s="48"/>
      <c r="I374" s="48"/>
    </row>
    <row r="375" spans="1:9" ht="21" customHeight="1" x14ac:dyDescent="0.2">
      <c r="A375" s="46"/>
      <c r="B375" s="46"/>
      <c r="C375" s="46"/>
      <c r="D375" s="46"/>
      <c r="E375" s="46"/>
      <c r="F375" s="47"/>
      <c r="G375" s="47"/>
      <c r="H375" s="48"/>
      <c r="I375" s="48"/>
    </row>
    <row r="376" spans="1:9" ht="21" customHeight="1" x14ac:dyDescent="0.2">
      <c r="A376" s="46"/>
      <c r="B376" s="46"/>
      <c r="C376" s="46"/>
      <c r="D376" s="46"/>
      <c r="E376" s="46"/>
      <c r="F376" s="47"/>
      <c r="G376" s="47"/>
      <c r="H376" s="48"/>
      <c r="I376" s="48"/>
    </row>
    <row r="377" spans="1:9" ht="21" customHeight="1" x14ac:dyDescent="0.2">
      <c r="A377" s="46"/>
      <c r="B377" s="46"/>
      <c r="C377" s="46"/>
      <c r="D377" s="46"/>
      <c r="E377" s="46"/>
      <c r="F377" s="47"/>
      <c r="G377" s="47"/>
      <c r="H377" s="48"/>
      <c r="I377" s="48"/>
    </row>
    <row r="378" spans="1:9" ht="21" customHeight="1" x14ac:dyDescent="0.2">
      <c r="A378" s="46"/>
      <c r="B378" s="46"/>
      <c r="C378" s="46"/>
      <c r="D378" s="46"/>
      <c r="E378" s="46"/>
      <c r="F378" s="47"/>
      <c r="G378" s="47"/>
      <c r="H378" s="48"/>
      <c r="I378" s="48"/>
    </row>
    <row r="379" spans="1:9" ht="21" customHeight="1" x14ac:dyDescent="0.2">
      <c r="A379" s="46"/>
      <c r="B379" s="46"/>
      <c r="C379" s="46"/>
      <c r="D379" s="46"/>
      <c r="E379" s="46"/>
      <c r="F379" s="47"/>
      <c r="G379" s="47"/>
      <c r="H379" s="48"/>
      <c r="I379" s="48"/>
    </row>
    <row r="380" spans="1:9" ht="21" customHeight="1" x14ac:dyDescent="0.2">
      <c r="A380" s="46"/>
      <c r="B380" s="46"/>
      <c r="C380" s="46"/>
      <c r="D380" s="46"/>
      <c r="E380" s="46"/>
      <c r="F380" s="47"/>
      <c r="G380" s="47"/>
      <c r="H380" s="48"/>
      <c r="I380" s="48"/>
    </row>
    <row r="381" spans="1:9" ht="21" customHeight="1" x14ac:dyDescent="0.2">
      <c r="A381" s="46"/>
      <c r="B381" s="46"/>
      <c r="C381" s="46"/>
      <c r="D381" s="46"/>
      <c r="E381" s="46"/>
      <c r="F381" s="47"/>
      <c r="G381" s="47"/>
      <c r="H381" s="48"/>
      <c r="I381" s="48"/>
    </row>
    <row r="382" spans="1:9" ht="21" customHeight="1" x14ac:dyDescent="0.2">
      <c r="A382" s="46"/>
      <c r="B382" s="46"/>
      <c r="C382" s="46"/>
      <c r="D382" s="46"/>
      <c r="E382" s="46"/>
      <c r="F382" s="47"/>
      <c r="G382" s="47"/>
      <c r="H382" s="48"/>
      <c r="I382" s="48"/>
    </row>
    <row r="383" spans="1:9" ht="21" customHeight="1" x14ac:dyDescent="0.2">
      <c r="A383" s="46"/>
      <c r="B383" s="46"/>
      <c r="C383" s="46"/>
      <c r="D383" s="46"/>
      <c r="E383" s="46"/>
      <c r="F383" s="47"/>
      <c r="G383" s="47"/>
      <c r="H383" s="48"/>
      <c r="I383" s="48"/>
    </row>
    <row r="384" spans="1:9" ht="21" customHeight="1" x14ac:dyDescent="0.2">
      <c r="A384" s="46"/>
      <c r="B384" s="46"/>
      <c r="C384" s="46"/>
      <c r="D384" s="46"/>
      <c r="E384" s="46"/>
      <c r="F384" s="47"/>
      <c r="G384" s="47"/>
      <c r="H384" s="48"/>
      <c r="I384" s="48"/>
    </row>
    <row r="385" spans="1:9" ht="21" customHeight="1" x14ac:dyDescent="0.2">
      <c r="A385" s="46"/>
      <c r="B385" s="46"/>
      <c r="C385" s="46"/>
      <c r="D385" s="46"/>
      <c r="E385" s="46"/>
      <c r="F385" s="47"/>
      <c r="G385" s="47"/>
      <c r="H385" s="48"/>
      <c r="I385" s="48"/>
    </row>
    <row r="386" spans="1:9" ht="21" customHeight="1" x14ac:dyDescent="0.2">
      <c r="A386" s="46"/>
      <c r="B386" s="46"/>
      <c r="C386" s="46"/>
      <c r="D386" s="46"/>
      <c r="E386" s="46"/>
      <c r="F386" s="47"/>
      <c r="G386" s="47"/>
      <c r="H386" s="48"/>
      <c r="I386" s="48"/>
    </row>
    <row r="387" spans="1:9" ht="21" customHeight="1" x14ac:dyDescent="0.2">
      <c r="A387" s="46"/>
      <c r="B387" s="46"/>
      <c r="C387" s="46"/>
      <c r="D387" s="46"/>
      <c r="E387" s="46"/>
      <c r="F387" s="47"/>
      <c r="G387" s="47"/>
      <c r="H387" s="48"/>
      <c r="I387" s="48"/>
    </row>
    <row r="388" spans="1:9" ht="21" customHeight="1" x14ac:dyDescent="0.2">
      <c r="A388" s="46"/>
      <c r="B388" s="46"/>
      <c r="C388" s="46"/>
      <c r="D388" s="46"/>
      <c r="E388" s="46"/>
      <c r="F388" s="47"/>
      <c r="G388" s="47"/>
      <c r="H388" s="48"/>
      <c r="I388" s="48"/>
    </row>
    <row r="389" spans="1:9" ht="21" customHeight="1" x14ac:dyDescent="0.2">
      <c r="A389" s="46"/>
      <c r="B389" s="46"/>
      <c r="C389" s="46"/>
      <c r="D389" s="46"/>
      <c r="E389" s="46"/>
      <c r="F389" s="47"/>
      <c r="G389" s="47"/>
      <c r="H389" s="48"/>
      <c r="I389" s="48"/>
    </row>
    <row r="390" spans="1:9" ht="21" customHeight="1" x14ac:dyDescent="0.2">
      <c r="A390" s="46"/>
      <c r="B390" s="46"/>
      <c r="C390" s="46"/>
      <c r="D390" s="46"/>
      <c r="E390" s="46"/>
      <c r="F390" s="47"/>
      <c r="G390" s="47"/>
      <c r="H390" s="48"/>
      <c r="I390" s="48"/>
    </row>
    <row r="391" spans="1:9" ht="21" customHeight="1" x14ac:dyDescent="0.2">
      <c r="A391" s="46"/>
      <c r="B391" s="46"/>
      <c r="C391" s="46"/>
      <c r="D391" s="46"/>
      <c r="E391" s="46"/>
      <c r="F391" s="47"/>
      <c r="G391" s="47"/>
      <c r="H391" s="48"/>
      <c r="I391" s="48"/>
    </row>
    <row r="392" spans="1:9" ht="21" customHeight="1" x14ac:dyDescent="0.2">
      <c r="A392" s="46"/>
      <c r="B392" s="46"/>
      <c r="C392" s="46"/>
      <c r="D392" s="46"/>
      <c r="E392" s="46"/>
      <c r="F392" s="47"/>
      <c r="G392" s="47"/>
      <c r="H392" s="48"/>
      <c r="I392" s="48"/>
    </row>
    <row r="393" spans="1:9" ht="21" customHeight="1" x14ac:dyDescent="0.2">
      <c r="A393" s="46"/>
      <c r="B393" s="46"/>
      <c r="C393" s="46"/>
      <c r="D393" s="46"/>
      <c r="E393" s="46"/>
      <c r="F393" s="47"/>
      <c r="G393" s="47"/>
      <c r="H393" s="48"/>
      <c r="I393" s="48"/>
    </row>
    <row r="394" spans="1:9" ht="21" customHeight="1" x14ac:dyDescent="0.2">
      <c r="A394" s="46"/>
      <c r="B394" s="46"/>
      <c r="C394" s="46"/>
      <c r="D394" s="46"/>
      <c r="E394" s="46"/>
      <c r="F394" s="47"/>
      <c r="G394" s="47"/>
      <c r="H394" s="48"/>
      <c r="I394" s="48"/>
    </row>
    <row r="395" spans="1:9" ht="21" customHeight="1" x14ac:dyDescent="0.2">
      <c r="A395" s="46"/>
      <c r="B395" s="46"/>
      <c r="C395" s="46"/>
      <c r="D395" s="46"/>
      <c r="E395" s="46"/>
      <c r="F395" s="47"/>
      <c r="G395" s="47"/>
      <c r="H395" s="48"/>
      <c r="I395" s="48"/>
    </row>
    <row r="396" spans="1:9" ht="21" customHeight="1" x14ac:dyDescent="0.2">
      <c r="A396" s="46"/>
      <c r="B396" s="46"/>
      <c r="C396" s="46"/>
      <c r="D396" s="46"/>
      <c r="E396" s="46"/>
      <c r="F396" s="47"/>
      <c r="G396" s="47"/>
      <c r="H396" s="48"/>
      <c r="I396" s="48"/>
    </row>
    <row r="397" spans="1:9" ht="21" customHeight="1" x14ac:dyDescent="0.2">
      <c r="A397" s="46"/>
      <c r="B397" s="46"/>
      <c r="C397" s="46"/>
      <c r="D397" s="46"/>
      <c r="E397" s="46"/>
      <c r="F397" s="47"/>
      <c r="G397" s="47"/>
      <c r="H397" s="48"/>
      <c r="I397" s="48"/>
    </row>
    <row r="398" spans="1:9" ht="21" customHeight="1" x14ac:dyDescent="0.2">
      <c r="A398" s="46"/>
      <c r="B398" s="46"/>
      <c r="C398" s="46"/>
      <c r="D398" s="46"/>
      <c r="E398" s="46"/>
      <c r="F398" s="47"/>
      <c r="G398" s="47"/>
      <c r="H398" s="48"/>
      <c r="I398" s="48"/>
    </row>
    <row r="399" spans="1:9" ht="21" customHeight="1" x14ac:dyDescent="0.2">
      <c r="A399" s="46"/>
      <c r="B399" s="46"/>
      <c r="C399" s="46"/>
      <c r="D399" s="46"/>
      <c r="E399" s="46"/>
      <c r="F399" s="47"/>
      <c r="G399" s="47"/>
      <c r="H399" s="48"/>
      <c r="I399" s="48"/>
    </row>
    <row r="400" spans="1:9" ht="21" customHeight="1" x14ac:dyDescent="0.2">
      <c r="A400" s="46"/>
      <c r="B400" s="46"/>
      <c r="C400" s="46"/>
      <c r="D400" s="46"/>
      <c r="E400" s="46"/>
      <c r="F400" s="47"/>
      <c r="G400" s="47"/>
      <c r="H400" s="48"/>
      <c r="I400" s="48"/>
    </row>
    <row r="401" spans="1:9" ht="21" customHeight="1" x14ac:dyDescent="0.2">
      <c r="A401" s="46"/>
      <c r="B401" s="46"/>
      <c r="C401" s="46"/>
      <c r="D401" s="46"/>
      <c r="E401" s="46"/>
      <c r="F401" s="47"/>
      <c r="G401" s="47"/>
      <c r="H401" s="48"/>
      <c r="I401" s="48"/>
    </row>
    <row r="402" spans="1:9" ht="21" customHeight="1" x14ac:dyDescent="0.2">
      <c r="A402" s="46"/>
      <c r="B402" s="46"/>
      <c r="C402" s="46"/>
      <c r="D402" s="46"/>
      <c r="E402" s="46"/>
      <c r="F402" s="47"/>
      <c r="G402" s="47"/>
      <c r="H402" s="48"/>
      <c r="I402" s="48"/>
    </row>
    <row r="403" spans="1:9" ht="21" customHeight="1" x14ac:dyDescent="0.2">
      <c r="A403" s="46"/>
      <c r="B403" s="46"/>
      <c r="C403" s="46"/>
      <c r="D403" s="46"/>
      <c r="E403" s="46"/>
      <c r="F403" s="47"/>
      <c r="G403" s="47"/>
      <c r="H403" s="48"/>
      <c r="I403" s="48"/>
    </row>
    <row r="404" spans="1:9" ht="21" customHeight="1" x14ac:dyDescent="0.2">
      <c r="A404" s="46"/>
      <c r="B404" s="46"/>
      <c r="C404" s="46"/>
      <c r="D404" s="46"/>
      <c r="E404" s="46"/>
      <c r="F404" s="47"/>
      <c r="G404" s="47"/>
      <c r="H404" s="48"/>
      <c r="I404" s="48"/>
    </row>
    <row r="405" spans="1:9" ht="21" customHeight="1" x14ac:dyDescent="0.2">
      <c r="A405" s="46"/>
      <c r="B405" s="46"/>
      <c r="C405" s="46"/>
      <c r="D405" s="46"/>
      <c r="E405" s="46"/>
      <c r="F405" s="47"/>
      <c r="G405" s="47"/>
      <c r="H405" s="48"/>
      <c r="I405" s="48"/>
    </row>
    <row r="406" spans="1:9" ht="21" customHeight="1" x14ac:dyDescent="0.2">
      <c r="A406" s="46"/>
      <c r="B406" s="46"/>
      <c r="C406" s="46"/>
      <c r="D406" s="46"/>
      <c r="E406" s="46"/>
      <c r="F406" s="47"/>
      <c r="G406" s="47"/>
      <c r="H406" s="48"/>
      <c r="I406" s="48"/>
    </row>
    <row r="407" spans="1:9" ht="21" customHeight="1" x14ac:dyDescent="0.2">
      <c r="A407" s="46"/>
      <c r="B407" s="46"/>
      <c r="C407" s="46"/>
      <c r="D407" s="46"/>
      <c r="E407" s="46"/>
      <c r="F407" s="47"/>
      <c r="G407" s="47"/>
      <c r="H407" s="48"/>
      <c r="I407" s="48"/>
    </row>
    <row r="408" spans="1:9" ht="21" customHeight="1" x14ac:dyDescent="0.2">
      <c r="A408" s="46"/>
      <c r="B408" s="46"/>
      <c r="C408" s="46"/>
      <c r="D408" s="46"/>
      <c r="E408" s="46"/>
      <c r="F408" s="47"/>
      <c r="G408" s="47"/>
      <c r="H408" s="48"/>
      <c r="I408" s="48"/>
    </row>
    <row r="409" spans="1:9" ht="21" customHeight="1" x14ac:dyDescent="0.2">
      <c r="A409" s="46"/>
      <c r="B409" s="46"/>
      <c r="C409" s="46"/>
      <c r="D409" s="46"/>
      <c r="E409" s="46"/>
      <c r="F409" s="47"/>
      <c r="G409" s="47"/>
      <c r="H409" s="48"/>
      <c r="I409" s="48"/>
    </row>
    <row r="410" spans="1:9" ht="21" customHeight="1" x14ac:dyDescent="0.2">
      <c r="A410" s="46"/>
      <c r="B410" s="46"/>
      <c r="C410" s="46"/>
      <c r="D410" s="46"/>
      <c r="E410" s="46"/>
      <c r="F410" s="47"/>
      <c r="G410" s="47"/>
      <c r="H410" s="48"/>
      <c r="I410" s="48"/>
    </row>
    <row r="411" spans="1:9" ht="21" customHeight="1" x14ac:dyDescent="0.2">
      <c r="A411" s="46"/>
      <c r="B411" s="46"/>
      <c r="C411" s="46"/>
      <c r="D411" s="46"/>
      <c r="E411" s="46"/>
      <c r="F411" s="47"/>
      <c r="G411" s="47"/>
      <c r="H411" s="48"/>
      <c r="I411" s="48"/>
    </row>
    <row r="412" spans="1:9" ht="21" customHeight="1" x14ac:dyDescent="0.2">
      <c r="A412" s="46"/>
      <c r="B412" s="46"/>
      <c r="C412" s="46"/>
      <c r="D412" s="46"/>
      <c r="E412" s="46"/>
      <c r="F412" s="47"/>
      <c r="G412" s="47"/>
      <c r="H412" s="48"/>
      <c r="I412" s="48"/>
    </row>
    <row r="413" spans="1:9" ht="21" customHeight="1" x14ac:dyDescent="0.2">
      <c r="A413" s="46"/>
      <c r="B413" s="46"/>
      <c r="C413" s="46"/>
      <c r="D413" s="46"/>
      <c r="E413" s="46"/>
      <c r="F413" s="47"/>
      <c r="G413" s="47"/>
      <c r="H413" s="48"/>
      <c r="I413" s="48"/>
    </row>
    <row r="414" spans="1:9" ht="21" customHeight="1" x14ac:dyDescent="0.2">
      <c r="A414" s="46"/>
      <c r="B414" s="46"/>
      <c r="C414" s="46"/>
      <c r="D414" s="46"/>
      <c r="E414" s="46"/>
      <c r="F414" s="47"/>
      <c r="G414" s="47"/>
      <c r="H414" s="48"/>
      <c r="I414" s="48"/>
    </row>
    <row r="415" spans="1:9" ht="21" customHeight="1" x14ac:dyDescent="0.2">
      <c r="A415" s="46"/>
      <c r="B415" s="46"/>
      <c r="C415" s="46"/>
      <c r="D415" s="46"/>
      <c r="E415" s="46"/>
      <c r="F415" s="47"/>
      <c r="G415" s="47"/>
      <c r="H415" s="48"/>
      <c r="I415" s="48"/>
    </row>
    <row r="416" spans="1:9" ht="21" customHeight="1" x14ac:dyDescent="0.2">
      <c r="A416" s="46"/>
      <c r="B416" s="46"/>
      <c r="C416" s="46"/>
      <c r="D416" s="46"/>
      <c r="E416" s="46"/>
      <c r="F416" s="47"/>
      <c r="G416" s="47"/>
      <c r="H416" s="48"/>
      <c r="I416" s="48"/>
    </row>
    <row r="417" spans="1:9" ht="21" customHeight="1" x14ac:dyDescent="0.2">
      <c r="A417" s="46"/>
      <c r="B417" s="46"/>
      <c r="C417" s="46"/>
      <c r="D417" s="46"/>
      <c r="E417" s="46"/>
      <c r="F417" s="47"/>
      <c r="G417" s="47"/>
      <c r="H417" s="48"/>
      <c r="I417" s="48"/>
    </row>
    <row r="418" spans="1:9" ht="21" customHeight="1" x14ac:dyDescent="0.2">
      <c r="A418" s="46"/>
      <c r="B418" s="46"/>
      <c r="C418" s="46"/>
      <c r="D418" s="46"/>
      <c r="E418" s="46"/>
      <c r="F418" s="47"/>
      <c r="G418" s="47"/>
      <c r="H418" s="48"/>
      <c r="I418" s="48"/>
    </row>
    <row r="419" spans="1:9" ht="21" customHeight="1" x14ac:dyDescent="0.2">
      <c r="A419" s="46"/>
      <c r="B419" s="46"/>
      <c r="C419" s="46"/>
      <c r="D419" s="46"/>
      <c r="E419" s="46"/>
      <c r="F419" s="47"/>
      <c r="G419" s="47"/>
      <c r="H419" s="48"/>
      <c r="I419" s="48"/>
    </row>
    <row r="420" spans="1:9" ht="21" customHeight="1" x14ac:dyDescent="0.2">
      <c r="A420" s="46"/>
      <c r="B420" s="46"/>
      <c r="C420" s="46"/>
      <c r="D420" s="46"/>
      <c r="E420" s="46"/>
      <c r="F420" s="47"/>
      <c r="G420" s="47"/>
      <c r="H420" s="48"/>
      <c r="I420" s="48"/>
    </row>
    <row r="421" spans="1:9" ht="21" customHeight="1" x14ac:dyDescent="0.2">
      <c r="A421" s="46"/>
      <c r="B421" s="46"/>
      <c r="C421" s="46"/>
      <c r="D421" s="46"/>
      <c r="E421" s="46"/>
      <c r="F421" s="47"/>
      <c r="G421" s="47"/>
      <c r="H421" s="48"/>
      <c r="I421" s="48"/>
    </row>
    <row r="422" spans="1:9" ht="21" customHeight="1" x14ac:dyDescent="0.2">
      <c r="A422" s="46"/>
      <c r="B422" s="46"/>
      <c r="C422" s="46"/>
      <c r="D422" s="46"/>
      <c r="E422" s="46"/>
      <c r="F422" s="47"/>
      <c r="G422" s="47"/>
      <c r="H422" s="48"/>
      <c r="I422" s="48"/>
    </row>
    <row r="423" spans="1:9" ht="21" customHeight="1" x14ac:dyDescent="0.2">
      <c r="A423" s="46"/>
      <c r="B423" s="46"/>
      <c r="C423" s="46"/>
      <c r="D423" s="46"/>
      <c r="E423" s="46"/>
      <c r="F423" s="47"/>
      <c r="G423" s="47"/>
      <c r="H423" s="48"/>
      <c r="I423" s="48"/>
    </row>
    <row r="424" spans="1:9" ht="21" customHeight="1" x14ac:dyDescent="0.2">
      <c r="A424" s="46"/>
      <c r="B424" s="46"/>
      <c r="C424" s="46"/>
      <c r="D424" s="46"/>
      <c r="E424" s="46"/>
      <c r="F424" s="47"/>
      <c r="G424" s="47"/>
      <c r="H424" s="48"/>
      <c r="I424" s="48"/>
    </row>
    <row r="425" spans="1:9" ht="21" customHeight="1" x14ac:dyDescent="0.2">
      <c r="A425" s="46"/>
      <c r="B425" s="46"/>
      <c r="C425" s="46"/>
      <c r="D425" s="46"/>
      <c r="E425" s="46"/>
      <c r="F425" s="47"/>
      <c r="G425" s="47"/>
      <c r="H425" s="48"/>
      <c r="I425" s="48"/>
    </row>
    <row r="426" spans="1:9" ht="21" customHeight="1" x14ac:dyDescent="0.2">
      <c r="A426" s="46"/>
      <c r="B426" s="46"/>
      <c r="C426" s="46"/>
      <c r="D426" s="46"/>
      <c r="E426" s="46"/>
      <c r="F426" s="47"/>
      <c r="G426" s="47"/>
      <c r="H426" s="48"/>
      <c r="I426" s="48"/>
    </row>
    <row r="427" spans="1:9" ht="21" customHeight="1" x14ac:dyDescent="0.2">
      <c r="A427" s="46"/>
      <c r="B427" s="46"/>
      <c r="C427" s="46"/>
      <c r="D427" s="46"/>
      <c r="E427" s="46"/>
      <c r="F427" s="47"/>
      <c r="G427" s="47"/>
      <c r="H427" s="48"/>
      <c r="I427" s="48"/>
    </row>
    <row r="428" spans="1:9" ht="21" customHeight="1" x14ac:dyDescent="0.2">
      <c r="A428" s="46"/>
      <c r="B428" s="46"/>
      <c r="C428" s="46"/>
      <c r="D428" s="46"/>
      <c r="E428" s="46"/>
      <c r="F428" s="47"/>
      <c r="G428" s="47"/>
      <c r="H428" s="48"/>
      <c r="I428" s="48"/>
    </row>
    <row r="429" spans="1:9" ht="21" customHeight="1" x14ac:dyDescent="0.2">
      <c r="A429" s="46"/>
      <c r="B429" s="46"/>
      <c r="C429" s="46"/>
      <c r="D429" s="46"/>
      <c r="E429" s="46"/>
      <c r="F429" s="47"/>
      <c r="G429" s="47"/>
      <c r="H429" s="48"/>
      <c r="I429" s="48"/>
    </row>
    <row r="430" spans="1:9" ht="21" customHeight="1" x14ac:dyDescent="0.2">
      <c r="A430" s="46"/>
      <c r="B430" s="46"/>
      <c r="C430" s="46"/>
      <c r="D430" s="46"/>
      <c r="E430" s="46"/>
      <c r="F430" s="47"/>
      <c r="G430" s="47"/>
      <c r="H430" s="48"/>
      <c r="I430" s="48"/>
    </row>
    <row r="431" spans="1:9" ht="21" customHeight="1" x14ac:dyDescent="0.2">
      <c r="A431" s="46"/>
      <c r="B431" s="46"/>
      <c r="C431" s="46"/>
      <c r="D431" s="46"/>
      <c r="E431" s="46"/>
      <c r="F431" s="47"/>
      <c r="G431" s="47"/>
      <c r="H431" s="48"/>
      <c r="I431" s="48"/>
    </row>
    <row r="432" spans="1:9" ht="21" customHeight="1" x14ac:dyDescent="0.2">
      <c r="A432" s="46"/>
      <c r="B432" s="46"/>
      <c r="C432" s="46"/>
      <c r="D432" s="46"/>
      <c r="E432" s="46"/>
      <c r="F432" s="47"/>
      <c r="G432" s="47"/>
      <c r="H432" s="48"/>
      <c r="I432" s="48"/>
    </row>
    <row r="433" spans="1:9" ht="21" customHeight="1" x14ac:dyDescent="0.2">
      <c r="A433" s="46"/>
      <c r="B433" s="46"/>
      <c r="C433" s="46"/>
      <c r="D433" s="46"/>
      <c r="E433" s="46"/>
      <c r="F433" s="47"/>
      <c r="G433" s="47"/>
      <c r="H433" s="48"/>
      <c r="I433" s="48"/>
    </row>
    <row r="434" spans="1:9" ht="21" customHeight="1" x14ac:dyDescent="0.2">
      <c r="A434" s="46"/>
      <c r="B434" s="46"/>
      <c r="C434" s="46"/>
      <c r="D434" s="46"/>
      <c r="E434" s="46"/>
      <c r="F434" s="47"/>
      <c r="G434" s="47"/>
      <c r="H434" s="48"/>
      <c r="I434" s="48"/>
    </row>
    <row r="435" spans="1:9" ht="21" customHeight="1" x14ac:dyDescent="0.2">
      <c r="A435" s="46"/>
      <c r="B435" s="46"/>
      <c r="C435" s="46"/>
      <c r="D435" s="46"/>
      <c r="E435" s="46"/>
      <c r="F435" s="47"/>
      <c r="G435" s="47"/>
      <c r="H435" s="48"/>
      <c r="I435" s="48"/>
    </row>
    <row r="436" spans="1:9" ht="21" customHeight="1" x14ac:dyDescent="0.2">
      <c r="A436" s="46"/>
      <c r="B436" s="46"/>
      <c r="C436" s="46"/>
      <c r="D436" s="46"/>
      <c r="E436" s="46"/>
      <c r="F436" s="47"/>
      <c r="G436" s="47"/>
      <c r="H436" s="48"/>
      <c r="I436" s="48"/>
    </row>
    <row r="437" spans="1:9" ht="21" customHeight="1" x14ac:dyDescent="0.2">
      <c r="A437" s="46"/>
      <c r="B437" s="46"/>
      <c r="C437" s="46"/>
      <c r="D437" s="46"/>
      <c r="E437" s="46"/>
      <c r="F437" s="47"/>
      <c r="G437" s="47"/>
      <c r="H437" s="48"/>
      <c r="I437" s="48"/>
    </row>
    <row r="438" spans="1:9" ht="21" customHeight="1" x14ac:dyDescent="0.2">
      <c r="A438" s="46"/>
      <c r="B438" s="46"/>
      <c r="C438" s="46"/>
      <c r="D438" s="46"/>
      <c r="E438" s="46"/>
      <c r="F438" s="47"/>
      <c r="G438" s="47"/>
      <c r="H438" s="48"/>
      <c r="I438" s="48"/>
    </row>
    <row r="439" spans="1:9" ht="21" customHeight="1" x14ac:dyDescent="0.2">
      <c r="A439" s="46"/>
      <c r="B439" s="46"/>
      <c r="C439" s="46"/>
      <c r="D439" s="46"/>
      <c r="E439" s="46"/>
      <c r="F439" s="47"/>
      <c r="G439" s="47"/>
      <c r="H439" s="48"/>
      <c r="I439" s="48"/>
    </row>
    <row r="440" spans="1:9" ht="21" customHeight="1" x14ac:dyDescent="0.2">
      <c r="A440" s="46"/>
      <c r="B440" s="46"/>
      <c r="C440" s="46"/>
      <c r="D440" s="46"/>
      <c r="E440" s="46"/>
      <c r="F440" s="47"/>
      <c r="G440" s="47"/>
      <c r="H440" s="48"/>
      <c r="I440" s="48"/>
    </row>
    <row r="441" spans="1:9" ht="21" customHeight="1" x14ac:dyDescent="0.2">
      <c r="A441" s="46"/>
      <c r="B441" s="46"/>
      <c r="C441" s="46"/>
      <c r="D441" s="46"/>
      <c r="E441" s="46"/>
      <c r="F441" s="47"/>
      <c r="G441" s="47"/>
      <c r="H441" s="48"/>
      <c r="I441" s="48"/>
    </row>
    <row r="442" spans="1:9" ht="21" customHeight="1" x14ac:dyDescent="0.2">
      <c r="A442" s="46"/>
      <c r="B442" s="46"/>
      <c r="C442" s="46"/>
      <c r="D442" s="46"/>
      <c r="E442" s="46"/>
      <c r="F442" s="47"/>
      <c r="G442" s="47"/>
      <c r="H442" s="48"/>
      <c r="I442" s="48"/>
    </row>
    <row r="443" spans="1:9" ht="21" customHeight="1" x14ac:dyDescent="0.2">
      <c r="A443" s="46"/>
      <c r="B443" s="46"/>
      <c r="C443" s="46"/>
      <c r="D443" s="46"/>
      <c r="E443" s="46"/>
      <c r="F443" s="47"/>
      <c r="G443" s="47"/>
      <c r="H443" s="48"/>
      <c r="I443" s="48"/>
    </row>
    <row r="444" spans="1:9" ht="21" customHeight="1" x14ac:dyDescent="0.2">
      <c r="A444" s="46"/>
      <c r="B444" s="46"/>
      <c r="C444" s="46"/>
      <c r="D444" s="46"/>
      <c r="E444" s="46"/>
      <c r="F444" s="47"/>
      <c r="G444" s="47"/>
      <c r="H444" s="48"/>
      <c r="I444" s="48"/>
    </row>
    <row r="445" spans="1:9" ht="21" customHeight="1" x14ac:dyDescent="0.2">
      <c r="A445" s="46"/>
      <c r="B445" s="46"/>
      <c r="C445" s="46"/>
      <c r="D445" s="46"/>
      <c r="E445" s="46"/>
      <c r="F445" s="47"/>
      <c r="G445" s="47"/>
      <c r="H445" s="48"/>
      <c r="I445" s="48"/>
    </row>
    <row r="446" spans="1:9" ht="21" customHeight="1" x14ac:dyDescent="0.2">
      <c r="A446" s="46"/>
      <c r="B446" s="46"/>
      <c r="C446" s="46"/>
      <c r="D446" s="46"/>
      <c r="E446" s="46"/>
      <c r="F446" s="47"/>
      <c r="G446" s="47"/>
      <c r="H446" s="48"/>
      <c r="I446" s="48"/>
    </row>
    <row r="447" spans="1:9" ht="21" customHeight="1" x14ac:dyDescent="0.2">
      <c r="A447" s="46"/>
      <c r="B447" s="46"/>
      <c r="C447" s="46"/>
      <c r="D447" s="46"/>
      <c r="E447" s="46"/>
      <c r="F447" s="47"/>
      <c r="G447" s="47"/>
      <c r="H447" s="48"/>
      <c r="I447" s="48"/>
    </row>
    <row r="448" spans="1:9" ht="21" customHeight="1" x14ac:dyDescent="0.2">
      <c r="A448" s="46"/>
      <c r="B448" s="46"/>
      <c r="C448" s="46"/>
      <c r="D448" s="46"/>
      <c r="E448" s="46"/>
      <c r="F448" s="47"/>
      <c r="G448" s="47"/>
      <c r="H448" s="48"/>
      <c r="I448" s="48"/>
    </row>
    <row r="449" spans="1:9" ht="21" customHeight="1" x14ac:dyDescent="0.2">
      <c r="A449" s="46"/>
      <c r="B449" s="46"/>
      <c r="C449" s="46"/>
      <c r="D449" s="46"/>
      <c r="E449" s="46"/>
      <c r="F449" s="47"/>
      <c r="G449" s="47"/>
      <c r="H449" s="48"/>
      <c r="I449" s="48"/>
    </row>
    <row r="450" spans="1:9" ht="21" customHeight="1" x14ac:dyDescent="0.2">
      <c r="A450" s="46"/>
      <c r="B450" s="46"/>
      <c r="C450" s="46"/>
      <c r="D450" s="46"/>
      <c r="E450" s="46"/>
      <c r="F450" s="47"/>
      <c r="G450" s="47"/>
      <c r="H450" s="48"/>
      <c r="I450" s="48"/>
    </row>
    <row r="451" spans="1:9" ht="21" customHeight="1" x14ac:dyDescent="0.2">
      <c r="A451" s="46"/>
      <c r="B451" s="46"/>
      <c r="C451" s="46"/>
      <c r="D451" s="46"/>
      <c r="E451" s="46"/>
      <c r="F451" s="47"/>
      <c r="G451" s="47"/>
      <c r="H451" s="48"/>
      <c r="I451" s="48"/>
    </row>
    <row r="452" spans="1:9" ht="21" customHeight="1" x14ac:dyDescent="0.2">
      <c r="A452" s="46"/>
      <c r="B452" s="46"/>
      <c r="C452" s="46"/>
      <c r="D452" s="46"/>
      <c r="E452" s="46"/>
      <c r="F452" s="47"/>
      <c r="G452" s="47"/>
      <c r="H452" s="48"/>
      <c r="I452" s="48"/>
    </row>
    <row r="453" spans="1:9" ht="21" customHeight="1" x14ac:dyDescent="0.2">
      <c r="A453" s="46"/>
      <c r="B453" s="46"/>
      <c r="C453" s="46"/>
      <c r="D453" s="46"/>
      <c r="E453" s="46"/>
      <c r="F453" s="47"/>
      <c r="G453" s="47"/>
      <c r="H453" s="48"/>
      <c r="I453" s="48"/>
    </row>
    <row r="454" spans="1:9" ht="21" customHeight="1" x14ac:dyDescent="0.2">
      <c r="A454" s="46"/>
      <c r="B454" s="46"/>
      <c r="C454" s="46"/>
      <c r="D454" s="46"/>
      <c r="E454" s="46"/>
      <c r="F454" s="47"/>
      <c r="G454" s="47"/>
      <c r="H454" s="48"/>
      <c r="I454" s="48"/>
    </row>
    <row r="455" spans="1:9" ht="21" customHeight="1" x14ac:dyDescent="0.2">
      <c r="A455" s="46"/>
      <c r="B455" s="46"/>
      <c r="C455" s="46"/>
      <c r="D455" s="46"/>
      <c r="E455" s="46"/>
      <c r="F455" s="47"/>
      <c r="G455" s="47"/>
      <c r="H455" s="48"/>
      <c r="I455" s="48"/>
    </row>
    <row r="456" spans="1:9" ht="21" customHeight="1" x14ac:dyDescent="0.2">
      <c r="A456" s="46"/>
      <c r="B456" s="46"/>
      <c r="C456" s="46"/>
      <c r="D456" s="46"/>
      <c r="E456" s="46"/>
      <c r="F456" s="47"/>
      <c r="G456" s="47"/>
      <c r="H456" s="48"/>
      <c r="I456" s="48"/>
    </row>
    <row r="457" spans="1:9" ht="21" customHeight="1" x14ac:dyDescent="0.2">
      <c r="A457" s="46"/>
      <c r="B457" s="46"/>
      <c r="C457" s="46"/>
      <c r="D457" s="46"/>
      <c r="E457" s="46"/>
      <c r="F457" s="47"/>
      <c r="G457" s="47"/>
      <c r="H457" s="48"/>
      <c r="I457" s="48"/>
    </row>
    <row r="458" spans="1:9" ht="21" customHeight="1" x14ac:dyDescent="0.2">
      <c r="A458" s="46"/>
      <c r="B458" s="46"/>
      <c r="C458" s="46"/>
      <c r="D458" s="46"/>
      <c r="E458" s="46"/>
      <c r="F458" s="47"/>
      <c r="G458" s="47"/>
      <c r="H458" s="48"/>
      <c r="I458" s="48"/>
    </row>
    <row r="459" spans="1:9" ht="21" customHeight="1" x14ac:dyDescent="0.2">
      <c r="A459" s="46"/>
      <c r="B459" s="46"/>
      <c r="C459" s="46"/>
      <c r="D459" s="46"/>
      <c r="E459" s="46"/>
      <c r="F459" s="47"/>
      <c r="G459" s="47"/>
      <c r="H459" s="48"/>
      <c r="I459" s="48"/>
    </row>
    <row r="460" spans="1:9" ht="21" customHeight="1" x14ac:dyDescent="0.2">
      <c r="A460" s="46"/>
      <c r="B460" s="46"/>
      <c r="C460" s="46"/>
      <c r="D460" s="46"/>
      <c r="E460" s="46"/>
      <c r="F460" s="47"/>
      <c r="G460" s="47"/>
      <c r="H460" s="48"/>
      <c r="I460" s="48"/>
    </row>
    <row r="461" spans="1:9" ht="21" customHeight="1" x14ac:dyDescent="0.2">
      <c r="A461" s="46"/>
      <c r="B461" s="46"/>
      <c r="C461" s="46"/>
      <c r="D461" s="46"/>
      <c r="E461" s="46"/>
      <c r="F461" s="47"/>
      <c r="G461" s="47"/>
      <c r="H461" s="48"/>
      <c r="I461" s="48"/>
    </row>
    <row r="462" spans="1:9" ht="21" customHeight="1" x14ac:dyDescent="0.2">
      <c r="A462" s="46"/>
      <c r="B462" s="46"/>
      <c r="C462" s="46"/>
      <c r="D462" s="46"/>
      <c r="E462" s="46"/>
      <c r="F462" s="47"/>
      <c r="G462" s="47"/>
      <c r="H462" s="48"/>
      <c r="I462" s="48"/>
    </row>
    <row r="463" spans="1:9" ht="21" customHeight="1" x14ac:dyDescent="0.2">
      <c r="A463" s="46"/>
      <c r="B463" s="46"/>
      <c r="C463" s="46"/>
      <c r="D463" s="46"/>
      <c r="E463" s="46"/>
      <c r="F463" s="47"/>
      <c r="G463" s="47"/>
      <c r="H463" s="48"/>
      <c r="I463" s="48"/>
    </row>
    <row r="464" spans="1:9" ht="21" customHeight="1" x14ac:dyDescent="0.2">
      <c r="A464" s="46"/>
      <c r="B464" s="46"/>
      <c r="C464" s="46"/>
      <c r="D464" s="46"/>
      <c r="E464" s="46"/>
      <c r="F464" s="47"/>
      <c r="G464" s="47"/>
      <c r="H464" s="48"/>
      <c r="I464" s="48"/>
    </row>
    <row r="465" spans="1:9" ht="21" customHeight="1" x14ac:dyDescent="0.2">
      <c r="A465" s="46"/>
      <c r="B465" s="46"/>
      <c r="C465" s="46"/>
      <c r="D465" s="46"/>
      <c r="E465" s="46"/>
      <c r="F465" s="47"/>
      <c r="G465" s="47"/>
      <c r="H465" s="48"/>
      <c r="I465" s="48"/>
    </row>
    <row r="466" spans="1:9" ht="21" customHeight="1" x14ac:dyDescent="0.2">
      <c r="A466" s="46"/>
      <c r="B466" s="46"/>
      <c r="C466" s="46"/>
      <c r="D466" s="46"/>
      <c r="E466" s="46"/>
      <c r="F466" s="47"/>
      <c r="G466" s="47"/>
      <c r="H466" s="48"/>
      <c r="I466" s="48"/>
    </row>
    <row r="467" spans="1:9" ht="21" customHeight="1" x14ac:dyDescent="0.2">
      <c r="A467" s="46"/>
      <c r="B467" s="46"/>
      <c r="C467" s="46"/>
      <c r="D467" s="46"/>
      <c r="E467" s="46"/>
      <c r="F467" s="47"/>
      <c r="G467" s="47"/>
      <c r="H467" s="48"/>
      <c r="I467" s="48"/>
    </row>
    <row r="468" spans="1:9" ht="21" customHeight="1" x14ac:dyDescent="0.2">
      <c r="A468" s="46"/>
      <c r="B468" s="46"/>
      <c r="C468" s="46"/>
      <c r="D468" s="46"/>
      <c r="E468" s="46"/>
      <c r="F468" s="47"/>
      <c r="G468" s="47"/>
      <c r="H468" s="48"/>
      <c r="I468" s="48"/>
    </row>
    <row r="469" spans="1:9" ht="21" customHeight="1" x14ac:dyDescent="0.2">
      <c r="A469" s="46"/>
      <c r="B469" s="46"/>
      <c r="C469" s="46"/>
      <c r="D469" s="46"/>
      <c r="E469" s="46"/>
      <c r="F469" s="47"/>
      <c r="G469" s="47"/>
      <c r="H469" s="48"/>
      <c r="I469" s="48"/>
    </row>
    <row r="470" spans="1:9" ht="21" customHeight="1" x14ac:dyDescent="0.2">
      <c r="A470" s="46"/>
      <c r="B470" s="46"/>
      <c r="C470" s="46"/>
      <c r="D470" s="46"/>
      <c r="E470" s="46"/>
      <c r="F470" s="47"/>
      <c r="G470" s="47"/>
      <c r="H470" s="48"/>
      <c r="I470" s="48"/>
    </row>
    <row r="471" spans="1:9" ht="21" customHeight="1" x14ac:dyDescent="0.2">
      <c r="A471" s="46"/>
      <c r="B471" s="46"/>
      <c r="C471" s="46"/>
      <c r="D471" s="46"/>
      <c r="E471" s="46"/>
      <c r="F471" s="47"/>
      <c r="G471" s="47"/>
      <c r="H471" s="48"/>
      <c r="I471" s="48"/>
    </row>
    <row r="472" spans="1:9" ht="21" customHeight="1" x14ac:dyDescent="0.2">
      <c r="A472" s="46"/>
      <c r="B472" s="46"/>
      <c r="C472" s="46"/>
      <c r="D472" s="46"/>
      <c r="E472" s="46"/>
      <c r="F472" s="47"/>
      <c r="G472" s="47"/>
      <c r="H472" s="48"/>
      <c r="I472" s="48"/>
    </row>
    <row r="473" spans="1:9" ht="21" customHeight="1" x14ac:dyDescent="0.2">
      <c r="A473" s="46"/>
      <c r="B473" s="46"/>
      <c r="C473" s="46"/>
      <c r="D473" s="46"/>
      <c r="E473" s="46"/>
      <c r="F473" s="47"/>
      <c r="G473" s="47"/>
      <c r="H473" s="48"/>
      <c r="I473" s="48"/>
    </row>
    <row r="474" spans="1:9" ht="21" customHeight="1" x14ac:dyDescent="0.2">
      <c r="A474" s="46"/>
      <c r="B474" s="46"/>
      <c r="C474" s="46"/>
      <c r="D474" s="46"/>
      <c r="E474" s="46"/>
      <c r="F474" s="47"/>
      <c r="G474" s="47"/>
      <c r="H474" s="48"/>
      <c r="I474" s="48"/>
    </row>
    <row r="475" spans="1:9" ht="21" customHeight="1" x14ac:dyDescent="0.2">
      <c r="A475" s="46"/>
      <c r="B475" s="46"/>
      <c r="C475" s="46"/>
      <c r="D475" s="46"/>
      <c r="E475" s="46"/>
      <c r="F475" s="47"/>
      <c r="G475" s="47"/>
      <c r="H475" s="48"/>
      <c r="I475" s="48"/>
    </row>
    <row r="476" spans="1:9" ht="21" customHeight="1" x14ac:dyDescent="0.2">
      <c r="A476" s="46"/>
      <c r="B476" s="46"/>
      <c r="C476" s="46"/>
      <c r="D476" s="46"/>
      <c r="E476" s="46"/>
      <c r="F476" s="47"/>
      <c r="G476" s="47"/>
      <c r="H476" s="48"/>
      <c r="I476" s="48"/>
    </row>
    <row r="477" spans="1:9" ht="21" customHeight="1" x14ac:dyDescent="0.2">
      <c r="A477" s="46"/>
      <c r="B477" s="46"/>
      <c r="C477" s="46"/>
      <c r="D477" s="46"/>
      <c r="E477" s="46"/>
      <c r="F477" s="47"/>
      <c r="G477" s="47"/>
      <c r="H477" s="48"/>
      <c r="I477" s="48"/>
    </row>
    <row r="478" spans="1:9" ht="21" customHeight="1" x14ac:dyDescent="0.2">
      <c r="A478" s="46"/>
      <c r="B478" s="46"/>
      <c r="C478" s="46"/>
      <c r="D478" s="46"/>
      <c r="E478" s="46"/>
      <c r="F478" s="47"/>
      <c r="G478" s="47"/>
      <c r="H478" s="48"/>
      <c r="I478" s="48"/>
    </row>
    <row r="479" spans="1:9" ht="21" customHeight="1" x14ac:dyDescent="0.2">
      <c r="A479" s="46"/>
      <c r="B479" s="46"/>
      <c r="C479" s="46"/>
      <c r="D479" s="46"/>
      <c r="E479" s="46"/>
      <c r="F479" s="47"/>
      <c r="G479" s="47"/>
      <c r="H479" s="48"/>
      <c r="I479" s="48"/>
    </row>
    <row r="480" spans="1:9" ht="21" customHeight="1" x14ac:dyDescent="0.2">
      <c r="A480" s="46"/>
      <c r="B480" s="46"/>
      <c r="C480" s="46"/>
      <c r="D480" s="46"/>
      <c r="E480" s="46"/>
      <c r="F480" s="47"/>
      <c r="G480" s="47"/>
      <c r="H480" s="48"/>
      <c r="I480" s="48"/>
    </row>
    <row r="481" spans="1:9" ht="21" customHeight="1" x14ac:dyDescent="0.2">
      <c r="A481" s="46"/>
      <c r="B481" s="46"/>
      <c r="C481" s="46"/>
      <c r="D481" s="46"/>
      <c r="E481" s="46"/>
      <c r="F481" s="47"/>
      <c r="G481" s="47"/>
      <c r="H481" s="48"/>
      <c r="I481" s="48"/>
    </row>
    <row r="482" spans="1:9" ht="21" customHeight="1" x14ac:dyDescent="0.2">
      <c r="A482" s="46"/>
      <c r="B482" s="46"/>
      <c r="C482" s="46"/>
      <c r="D482" s="46"/>
      <c r="E482" s="46"/>
      <c r="F482" s="47"/>
      <c r="G482" s="47"/>
      <c r="H482" s="48"/>
      <c r="I482" s="48"/>
    </row>
    <row r="483" spans="1:9" ht="21" customHeight="1" x14ac:dyDescent="0.2">
      <c r="A483" s="46"/>
      <c r="B483" s="46"/>
      <c r="C483" s="46"/>
      <c r="D483" s="46"/>
      <c r="E483" s="46"/>
      <c r="F483" s="47"/>
      <c r="G483" s="47"/>
      <c r="H483" s="48"/>
      <c r="I483" s="48"/>
    </row>
    <row r="484" spans="1:9" ht="21" customHeight="1" x14ac:dyDescent="0.2">
      <c r="A484" s="46"/>
      <c r="B484" s="46"/>
      <c r="C484" s="46"/>
      <c r="D484" s="46"/>
      <c r="E484" s="46"/>
      <c r="F484" s="47"/>
      <c r="G484" s="47"/>
      <c r="H484" s="48"/>
      <c r="I484" s="48"/>
    </row>
    <row r="485" spans="1:9" ht="21" customHeight="1" x14ac:dyDescent="0.2">
      <c r="A485" s="46"/>
      <c r="B485" s="46"/>
      <c r="C485" s="46"/>
      <c r="D485" s="46"/>
      <c r="E485" s="46"/>
      <c r="F485" s="47"/>
      <c r="G485" s="47"/>
      <c r="H485" s="48"/>
      <c r="I485" s="48"/>
    </row>
    <row r="486" spans="1:9" ht="21" customHeight="1" x14ac:dyDescent="0.2">
      <c r="A486" s="46"/>
      <c r="B486" s="46"/>
      <c r="C486" s="46"/>
      <c r="D486" s="46"/>
      <c r="E486" s="46"/>
      <c r="F486" s="47"/>
      <c r="G486" s="47"/>
      <c r="H486" s="48"/>
      <c r="I486" s="48"/>
    </row>
    <row r="487" spans="1:9" ht="21" customHeight="1" x14ac:dyDescent="0.2">
      <c r="A487" s="46"/>
      <c r="B487" s="46"/>
      <c r="C487" s="46"/>
      <c r="D487" s="46"/>
      <c r="E487" s="46"/>
      <c r="F487" s="47"/>
      <c r="G487" s="47"/>
      <c r="H487" s="48"/>
      <c r="I487" s="48"/>
    </row>
    <row r="488" spans="1:9" ht="21" customHeight="1" x14ac:dyDescent="0.2">
      <c r="A488" s="46"/>
      <c r="B488" s="46"/>
      <c r="C488" s="46"/>
      <c r="D488" s="46"/>
      <c r="E488" s="46"/>
      <c r="F488" s="47"/>
      <c r="G488" s="47"/>
      <c r="H488" s="48"/>
      <c r="I488" s="48"/>
    </row>
    <row r="489" spans="1:9" ht="21" customHeight="1" x14ac:dyDescent="0.2">
      <c r="A489" s="46"/>
      <c r="B489" s="46"/>
      <c r="C489" s="46"/>
      <c r="D489" s="46"/>
      <c r="E489" s="46"/>
      <c r="F489" s="47"/>
      <c r="G489" s="47"/>
      <c r="H489" s="48"/>
      <c r="I489" s="48"/>
    </row>
    <row r="490" spans="1:9" ht="21" customHeight="1" x14ac:dyDescent="0.2">
      <c r="A490" s="46"/>
      <c r="B490" s="46"/>
      <c r="C490" s="46"/>
      <c r="D490" s="46"/>
      <c r="E490" s="46"/>
      <c r="F490" s="47"/>
      <c r="G490" s="47"/>
      <c r="H490" s="48"/>
      <c r="I490" s="48"/>
    </row>
    <row r="491" spans="1:9" ht="21" customHeight="1" x14ac:dyDescent="0.2">
      <c r="A491" s="46"/>
      <c r="B491" s="46"/>
      <c r="C491" s="46"/>
      <c r="D491" s="46"/>
      <c r="E491" s="46"/>
      <c r="F491" s="47"/>
      <c r="G491" s="47"/>
      <c r="H491" s="48"/>
      <c r="I491" s="48"/>
    </row>
    <row r="492" spans="1:9" ht="21" customHeight="1" x14ac:dyDescent="0.2">
      <c r="A492" s="46"/>
      <c r="B492" s="46"/>
      <c r="C492" s="46"/>
      <c r="D492" s="46"/>
      <c r="E492" s="46"/>
      <c r="F492" s="47"/>
      <c r="G492" s="47"/>
      <c r="H492" s="48"/>
      <c r="I492" s="48"/>
    </row>
    <row r="493" spans="1:9" ht="21" customHeight="1" x14ac:dyDescent="0.2">
      <c r="A493" s="46"/>
      <c r="B493" s="46"/>
      <c r="C493" s="46"/>
      <c r="D493" s="46"/>
      <c r="E493" s="46"/>
      <c r="F493" s="47"/>
      <c r="G493" s="47"/>
      <c r="H493" s="48"/>
      <c r="I493" s="48"/>
    </row>
    <row r="494" spans="1:9" ht="21" customHeight="1" x14ac:dyDescent="0.2">
      <c r="A494" s="46"/>
      <c r="B494" s="46"/>
      <c r="C494" s="46"/>
      <c r="D494" s="46"/>
      <c r="E494" s="46"/>
      <c r="F494" s="47"/>
      <c r="G494" s="47"/>
      <c r="H494" s="48"/>
      <c r="I494" s="48"/>
    </row>
    <row r="495" spans="1:9" ht="21" customHeight="1" x14ac:dyDescent="0.2">
      <c r="A495" s="46"/>
      <c r="B495" s="46"/>
      <c r="C495" s="46"/>
      <c r="D495" s="46"/>
      <c r="E495" s="46"/>
      <c r="F495" s="47"/>
      <c r="G495" s="47"/>
      <c r="H495" s="48"/>
      <c r="I495" s="48"/>
    </row>
    <row r="496" spans="1:9" ht="21" customHeight="1" x14ac:dyDescent="0.2">
      <c r="A496" s="46"/>
      <c r="B496" s="46"/>
      <c r="C496" s="46"/>
      <c r="D496" s="46"/>
      <c r="E496" s="46"/>
      <c r="F496" s="47"/>
      <c r="G496" s="47"/>
      <c r="H496" s="48"/>
      <c r="I496" s="48"/>
    </row>
    <row r="497" spans="1:9" ht="21" customHeight="1" x14ac:dyDescent="0.2">
      <c r="A497" s="46"/>
      <c r="B497" s="46"/>
      <c r="C497" s="46"/>
      <c r="D497" s="46"/>
      <c r="E497" s="46"/>
      <c r="F497" s="47"/>
      <c r="G497" s="47"/>
      <c r="H497" s="48"/>
      <c r="I497" s="48"/>
    </row>
    <row r="498" spans="1:9" ht="21" customHeight="1" x14ac:dyDescent="0.2">
      <c r="A498" s="46"/>
      <c r="B498" s="46"/>
      <c r="C498" s="46"/>
      <c r="D498" s="46"/>
      <c r="E498" s="46"/>
      <c r="F498" s="47"/>
      <c r="G498" s="47"/>
      <c r="H498" s="48"/>
      <c r="I498" s="48"/>
    </row>
    <row r="499" spans="1:9" ht="21" customHeight="1" x14ac:dyDescent="0.2">
      <c r="A499" s="46"/>
      <c r="B499" s="46"/>
      <c r="C499" s="46"/>
      <c r="D499" s="46"/>
      <c r="E499" s="46"/>
      <c r="F499" s="47"/>
      <c r="G499" s="47"/>
      <c r="H499" s="48"/>
      <c r="I499" s="48"/>
    </row>
    <row r="500" spans="1:9" ht="21" customHeight="1" x14ac:dyDescent="0.2">
      <c r="A500" s="46"/>
      <c r="B500" s="46"/>
      <c r="C500" s="46"/>
      <c r="D500" s="46"/>
      <c r="E500" s="46"/>
      <c r="F500" s="47"/>
      <c r="G500" s="47"/>
      <c r="H500" s="48"/>
      <c r="I500" s="48"/>
    </row>
    <row r="501" spans="1:9" ht="21" customHeight="1" x14ac:dyDescent="0.2">
      <c r="A501" s="46"/>
      <c r="B501" s="46"/>
      <c r="C501" s="46"/>
      <c r="D501" s="46"/>
      <c r="E501" s="46"/>
      <c r="F501" s="47"/>
      <c r="G501" s="47"/>
      <c r="H501" s="48"/>
      <c r="I501" s="48"/>
    </row>
    <row r="502" spans="1:9" ht="21" customHeight="1" x14ac:dyDescent="0.2">
      <c r="A502" s="46"/>
      <c r="B502" s="46"/>
      <c r="C502" s="46"/>
      <c r="D502" s="46"/>
      <c r="E502" s="46"/>
      <c r="F502" s="47"/>
      <c r="G502" s="47"/>
      <c r="H502" s="48"/>
      <c r="I502" s="48"/>
    </row>
    <row r="503" spans="1:9" ht="21" customHeight="1" x14ac:dyDescent="0.2">
      <c r="A503" s="46"/>
      <c r="B503" s="46"/>
      <c r="C503" s="46"/>
      <c r="D503" s="46"/>
      <c r="E503" s="46"/>
      <c r="F503" s="47"/>
      <c r="G503" s="47"/>
      <c r="H503" s="48"/>
      <c r="I503" s="48"/>
    </row>
    <row r="504" spans="1:9" ht="21" customHeight="1" x14ac:dyDescent="0.2">
      <c r="A504" s="46"/>
      <c r="B504" s="46"/>
      <c r="C504" s="46"/>
      <c r="D504" s="46"/>
      <c r="E504" s="46"/>
      <c r="F504" s="47"/>
      <c r="G504" s="47"/>
      <c r="H504" s="48"/>
      <c r="I504" s="48"/>
    </row>
    <row r="505" spans="1:9" ht="21" customHeight="1" x14ac:dyDescent="0.2">
      <c r="A505" s="46"/>
      <c r="B505" s="46"/>
      <c r="C505" s="46"/>
      <c r="D505" s="46"/>
      <c r="E505" s="46"/>
      <c r="F505" s="47"/>
      <c r="G505" s="47"/>
      <c r="H505" s="48"/>
      <c r="I505" s="48"/>
    </row>
    <row r="506" spans="1:9" ht="21" customHeight="1" x14ac:dyDescent="0.2">
      <c r="A506" s="46"/>
      <c r="B506" s="46"/>
      <c r="C506" s="46"/>
      <c r="D506" s="46"/>
      <c r="E506" s="46"/>
      <c r="F506" s="47"/>
      <c r="G506" s="47"/>
      <c r="H506" s="48"/>
      <c r="I506" s="48"/>
    </row>
    <row r="507" spans="1:9" ht="21" customHeight="1" x14ac:dyDescent="0.2">
      <c r="A507" s="46"/>
      <c r="B507" s="46"/>
      <c r="C507" s="46"/>
      <c r="D507" s="46"/>
      <c r="E507" s="46"/>
      <c r="F507" s="47"/>
      <c r="G507" s="47"/>
      <c r="H507" s="48"/>
      <c r="I507" s="48"/>
    </row>
    <row r="508" spans="1:9" ht="21" customHeight="1" x14ac:dyDescent="0.2">
      <c r="A508" s="46"/>
      <c r="B508" s="46"/>
      <c r="C508" s="46"/>
      <c r="D508" s="46"/>
      <c r="E508" s="46"/>
      <c r="F508" s="47"/>
      <c r="G508" s="47"/>
      <c r="H508" s="48"/>
      <c r="I508" s="48"/>
    </row>
    <row r="509" spans="1:9" ht="21" customHeight="1" x14ac:dyDescent="0.2">
      <c r="A509" s="49"/>
      <c r="B509" s="49"/>
      <c r="C509" s="49"/>
      <c r="D509" s="49"/>
      <c r="E509" s="49"/>
      <c r="F509" s="50"/>
      <c r="G509" s="50"/>
      <c r="H509" s="51"/>
      <c r="I509" s="51"/>
    </row>
  </sheetData>
  <mergeCells count="4">
    <mergeCell ref="A1:I1"/>
    <mergeCell ref="A2:I2"/>
    <mergeCell ref="B5:I6"/>
    <mergeCell ref="A8:I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9"/>
  <sheetViews>
    <sheetView showGridLines="0" workbookViewId="0">
      <pane ySplit="9" topLeftCell="A10" activePane="bottomLeft" state="frozen"/>
      <selection pane="bottomLeft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48" customWidth="1"/>
    <col min="4" max="4" width="30" customWidth="1"/>
    <col min="5" max="5" width="18" customWidth="1"/>
    <col min="6" max="7" width="15" customWidth="1"/>
    <col min="8" max="8" width="18" customWidth="1"/>
    <col min="9" max="9" width="22" customWidth="1"/>
  </cols>
  <sheetData>
    <row r="1" spans="1:10" ht="32" customHeight="1" x14ac:dyDescent="0.15">
      <c r="A1" s="58" t="s">
        <v>48</v>
      </c>
      <c r="B1" s="58"/>
      <c r="C1" s="58"/>
      <c r="D1" s="58"/>
      <c r="E1" s="58"/>
      <c r="F1" s="58"/>
      <c r="G1" s="58"/>
      <c r="H1" s="58"/>
      <c r="I1" s="58"/>
    </row>
    <row r="2" spans="1:10" ht="27" customHeight="1" x14ac:dyDescent="0.15">
      <c r="A2" s="59" t="s">
        <v>49</v>
      </c>
      <c r="B2" s="59"/>
      <c r="C2" s="59"/>
      <c r="D2" s="59"/>
      <c r="E2" s="59"/>
      <c r="F2" s="59"/>
      <c r="G2" s="59"/>
      <c r="H2" s="59"/>
      <c r="I2" s="59"/>
    </row>
    <row r="4" spans="1:10" ht="14" x14ac:dyDescent="0.15">
      <c r="A4" s="42" t="s">
        <v>2</v>
      </c>
      <c r="B4" s="42">
        <v>4</v>
      </c>
      <c r="C4" s="42"/>
      <c r="D4" s="42" t="s">
        <v>22</v>
      </c>
      <c r="E4" s="43">
        <v>46316</v>
      </c>
      <c r="F4" s="42"/>
      <c r="G4" s="42" t="s">
        <v>23</v>
      </c>
      <c r="H4" s="43">
        <v>46325</v>
      </c>
    </row>
    <row r="5" spans="1:10" ht="24" customHeight="1" x14ac:dyDescent="0.15">
      <c r="A5" s="42" t="s">
        <v>36</v>
      </c>
      <c r="B5" s="62" t="s">
        <v>47</v>
      </c>
      <c r="C5" s="62"/>
      <c r="D5" s="62"/>
      <c r="E5" s="62"/>
      <c r="F5" s="62"/>
      <c r="G5" s="62"/>
      <c r="H5" s="62"/>
      <c r="I5" s="62"/>
    </row>
    <row r="6" spans="1:10" ht="24" customHeight="1" x14ac:dyDescent="0.15">
      <c r="A6" s="42"/>
      <c r="B6" s="62"/>
      <c r="C6" s="62"/>
      <c r="D6" s="62"/>
      <c r="E6" s="62"/>
      <c r="F6" s="62"/>
      <c r="G6" s="62"/>
      <c r="H6" s="62"/>
      <c r="I6" s="62"/>
    </row>
    <row r="7" spans="1:10" ht="14" x14ac:dyDescent="0.15">
      <c r="A7" s="44" t="s">
        <v>38</v>
      </c>
      <c r="B7" s="44">
        <f>COUNTIFS('Product Backlog'!$B$5:$B$504,4,'Product Backlog'!$C$5:$C$504,"&lt;&gt;")</f>
        <v>0</v>
      </c>
      <c r="C7" s="44" t="s">
        <v>17</v>
      </c>
      <c r="D7" s="44">
        <f>COUNTIFS('Product Backlog'!$B$5:$B$504,4,'Product Backlog'!$D$5:$D$504,"Done")+COUNTIFS('Product Backlog'!$B$5:$B$504,4,'Product Backlog'!$D$5:$D$504,"Completed")</f>
        <v>0</v>
      </c>
      <c r="E7" s="44" t="s">
        <v>39</v>
      </c>
      <c r="F7" s="44">
        <f>SUMIFS('Product Backlog'!$H$5:$H$504,'Product Backlog'!$B$5:$B$504,4)</f>
        <v>0</v>
      </c>
      <c r="G7" s="44" t="s">
        <v>40</v>
      </c>
      <c r="H7" s="44">
        <f>SUMIFS('Product Backlog'!$I$5:$I$504,'Product Backlog'!$B$5:$B$504,4)</f>
        <v>0</v>
      </c>
    </row>
    <row r="8" spans="1:10" ht="14" customHeight="1" x14ac:dyDescent="0.2">
      <c r="A8" s="63" t="s">
        <v>41</v>
      </c>
      <c r="B8" s="63"/>
      <c r="C8" s="63"/>
      <c r="D8" s="63"/>
      <c r="E8" s="63"/>
      <c r="F8" s="63"/>
      <c r="G8" s="63"/>
      <c r="H8" s="63"/>
      <c r="I8" s="63"/>
    </row>
    <row r="9" spans="1:10" ht="30" customHeight="1" x14ac:dyDescent="0.15">
      <c r="A9" s="45" t="s">
        <v>1</v>
      </c>
      <c r="B9" s="45" t="s">
        <v>2</v>
      </c>
      <c r="C9" s="45" t="s">
        <v>3</v>
      </c>
      <c r="D9" s="45" t="s">
        <v>4</v>
      </c>
      <c r="E9" s="45" t="s">
        <v>5</v>
      </c>
      <c r="F9" s="45" t="s">
        <v>6</v>
      </c>
      <c r="G9" s="45" t="s">
        <v>7</v>
      </c>
      <c r="H9" s="45" t="s">
        <v>8</v>
      </c>
      <c r="I9" s="45" t="s">
        <v>9</v>
      </c>
    </row>
    <row r="10" spans="1:10" ht="21" customHeight="1" x14ac:dyDescent="0.2">
      <c r="A10" s="46" t="str">
        <f>IF($J10="","",IF(ISBLANK(INDEX('Product Backlog'!$A$5:$A$504,$J10)),"",INDEX('Product Backlog'!$A$5:$A$504,$J10)))</f>
        <v/>
      </c>
      <c r="B10" s="46" t="str">
        <f>IF($J10="","",IF(ISBLANK(INDEX('Product Backlog'!$B$5:$B$504,$J10)),"",INDEX('Product Backlog'!$B$5:$B$504,$J10)))</f>
        <v/>
      </c>
      <c r="C10" s="46" t="str">
        <f>IF($J10="","",IF(ISBLANK(INDEX('Product Backlog'!$C$5:$C$504,$J10)),"",INDEX('Product Backlog'!$C$5:$C$504,$J10)))</f>
        <v/>
      </c>
      <c r="D10" s="46" t="str">
        <f>IF($J10="","",IF(ISBLANK(INDEX('Product Backlog'!$D$5:$D$504,$J10)),"",INDEX('Product Backlog'!$D$5:$D$504,$J10)))</f>
        <v/>
      </c>
      <c r="E10" s="46" t="str">
        <f>IF($J10="","",IF(ISBLANK(INDEX('Product Backlog'!$E$5:$E$504,$J10)),"",INDEX('Product Backlog'!$E$5:$E$504,$J10)))</f>
        <v/>
      </c>
      <c r="F10" s="47" t="str">
        <f>IF($J10="","",IF(ISBLANK(INDEX('Product Backlog'!$F$5:$F$504,$J10)),"",INDEX('Product Backlog'!$F$5:$F$504,$J10)))</f>
        <v/>
      </c>
      <c r="G10" s="47" t="str">
        <f>IF($J10="","",IF(ISBLANK(INDEX('Product Backlog'!$G$5:$G$504,$J10)),"",INDEX('Product Backlog'!$G$5:$G$504,$J10)))</f>
        <v/>
      </c>
      <c r="H10" s="48" t="str">
        <f>IF($J10="","",IF(ISBLANK(INDEX('Product Backlog'!$H$5:$H$504,$J10)),"",INDEX('Product Backlog'!$H$5:$H$504,$J10)))</f>
        <v/>
      </c>
      <c r="I10" s="48" t="str">
        <f>IF($J10="","",IF(ISBLANK(INDEX('Product Backlog'!$I$5:$I$504,$J10)),"",INDEX('Product Backlog'!$I$5:$I$504,$J10)))</f>
        <v/>
      </c>
      <c r="J10" t="str">
        <f>IFERROR(MATCH($B$4&amp;"-"&amp;ROWS($A$10:A10),'Product Backlog'!$J$5:$J$504,0),"")</f>
        <v/>
      </c>
    </row>
    <row r="11" spans="1:10" ht="21" customHeight="1" x14ac:dyDescent="0.2">
      <c r="A11" s="46" t="str">
        <f>IF($J11="","",IF(ISBLANK(INDEX('Product Backlog'!$A$5:$A$504,$J11)),"",INDEX('Product Backlog'!$A$5:$A$504,$J11)))</f>
        <v/>
      </c>
      <c r="B11" s="46" t="str">
        <f>IF($J11="","",IF(ISBLANK(INDEX('Product Backlog'!$B$5:$B$504,$J11)),"",INDEX('Product Backlog'!$B$5:$B$504,$J11)))</f>
        <v/>
      </c>
      <c r="C11" s="46" t="str">
        <f>IF($J11="","",IF(ISBLANK(INDEX('Product Backlog'!$C$5:$C$504,$J11)),"",INDEX('Product Backlog'!$C$5:$C$504,$J11)))</f>
        <v/>
      </c>
      <c r="D11" s="46" t="str">
        <f>IF($J11="","",IF(ISBLANK(INDEX('Product Backlog'!$D$5:$D$504,$J11)),"",INDEX('Product Backlog'!$D$5:$D$504,$J11)))</f>
        <v/>
      </c>
      <c r="E11" s="46" t="str">
        <f>IF($J11="","",IF(ISBLANK(INDEX('Product Backlog'!$E$5:$E$504,$J11)),"",INDEX('Product Backlog'!$E$5:$E$504,$J11)))</f>
        <v/>
      </c>
      <c r="F11" s="47" t="str">
        <f>IF($J11="","",IF(ISBLANK(INDEX('Product Backlog'!$F$5:$F$504,$J11)),"",INDEX('Product Backlog'!$F$5:$F$504,$J11)))</f>
        <v/>
      </c>
      <c r="G11" s="47" t="str">
        <f>IF($J11="","",IF(ISBLANK(INDEX('Product Backlog'!$G$5:$G$504,$J11)),"",INDEX('Product Backlog'!$G$5:$G$504,$J11)))</f>
        <v/>
      </c>
      <c r="H11" s="48" t="str">
        <f>IF($J11="","",IF(ISBLANK(INDEX('Product Backlog'!$H$5:$H$504,$J11)),"",INDEX('Product Backlog'!$H$5:$H$504,$J11)))</f>
        <v/>
      </c>
      <c r="I11" s="48" t="str">
        <f>IF($J11="","",IF(ISBLANK(INDEX('Product Backlog'!$I$5:$I$504,$J11)),"",INDEX('Product Backlog'!$I$5:$I$504,$J11)))</f>
        <v/>
      </c>
      <c r="J11" t="str">
        <f>IFERROR(MATCH($B$4&amp;"-"&amp;ROWS($A$10:A11),'Product Backlog'!$J$5:$J$504,0),"")</f>
        <v/>
      </c>
    </row>
    <row r="12" spans="1:10" ht="21" customHeight="1" x14ac:dyDescent="0.2">
      <c r="A12" s="46" t="str">
        <f>IF($J12="","",IF(ISBLANK(INDEX('Product Backlog'!$A$5:$A$504,$J12)),"",INDEX('Product Backlog'!$A$5:$A$504,$J12)))</f>
        <v/>
      </c>
      <c r="B12" s="46" t="str">
        <f>IF($J12="","",IF(ISBLANK(INDEX('Product Backlog'!$B$5:$B$504,$J12)),"",INDEX('Product Backlog'!$B$5:$B$504,$J12)))</f>
        <v/>
      </c>
      <c r="C12" s="46" t="str">
        <f>IF($J12="","",IF(ISBLANK(INDEX('Product Backlog'!$C$5:$C$504,$J12)),"",INDEX('Product Backlog'!$C$5:$C$504,$J12)))</f>
        <v/>
      </c>
      <c r="D12" s="46" t="str">
        <f>IF($J12="","",IF(ISBLANK(INDEX('Product Backlog'!$D$5:$D$504,$J12)),"",INDEX('Product Backlog'!$D$5:$D$504,$J12)))</f>
        <v/>
      </c>
      <c r="E12" s="46" t="str">
        <f>IF($J12="","",IF(ISBLANK(INDEX('Product Backlog'!$E$5:$E$504,$J12)),"",INDEX('Product Backlog'!$E$5:$E$504,$J12)))</f>
        <v/>
      </c>
      <c r="F12" s="47" t="str">
        <f>IF($J12="","",IF(ISBLANK(INDEX('Product Backlog'!$F$5:$F$504,$J12)),"",INDEX('Product Backlog'!$F$5:$F$504,$J12)))</f>
        <v/>
      </c>
      <c r="G12" s="47" t="str">
        <f>IF($J12="","",IF(ISBLANK(INDEX('Product Backlog'!$G$5:$G$504,$J12)),"",INDEX('Product Backlog'!$G$5:$G$504,$J12)))</f>
        <v/>
      </c>
      <c r="H12" s="48" t="str">
        <f>IF($J12="","",IF(ISBLANK(INDEX('Product Backlog'!$H$5:$H$504,$J12)),"",INDEX('Product Backlog'!$H$5:$H$504,$J12)))</f>
        <v/>
      </c>
      <c r="I12" s="48" t="str">
        <f>IF($J12="","",IF(ISBLANK(INDEX('Product Backlog'!$I$5:$I$504,$J12)),"",INDEX('Product Backlog'!$I$5:$I$504,$J12)))</f>
        <v/>
      </c>
      <c r="J12" t="str">
        <f>IFERROR(MATCH($B$4&amp;"-"&amp;ROWS($A$10:A12),'Product Backlog'!$J$5:$J$504,0),"")</f>
        <v/>
      </c>
    </row>
    <row r="13" spans="1:10" ht="21" customHeight="1" x14ac:dyDescent="0.2">
      <c r="A13" s="46" t="str">
        <f>IF($J13="","",IF(ISBLANK(INDEX('Product Backlog'!$A$5:$A$504,$J13)),"",INDEX('Product Backlog'!$A$5:$A$504,$J13)))</f>
        <v/>
      </c>
      <c r="B13" s="46" t="str">
        <f>IF($J13="","",IF(ISBLANK(INDEX('Product Backlog'!$B$5:$B$504,$J13)),"",INDEX('Product Backlog'!$B$5:$B$504,$J13)))</f>
        <v/>
      </c>
      <c r="C13" s="46" t="str">
        <f>IF($J13="","",IF(ISBLANK(INDEX('Product Backlog'!$C$5:$C$504,$J13)),"",INDEX('Product Backlog'!$C$5:$C$504,$J13)))</f>
        <v/>
      </c>
      <c r="D13" s="46" t="str">
        <f>IF($J13="","",IF(ISBLANK(INDEX('Product Backlog'!$D$5:$D$504,$J13)),"",INDEX('Product Backlog'!$D$5:$D$504,$J13)))</f>
        <v/>
      </c>
      <c r="E13" s="46" t="str">
        <f>IF($J13="","",IF(ISBLANK(INDEX('Product Backlog'!$E$5:$E$504,$J13)),"",INDEX('Product Backlog'!$E$5:$E$504,$J13)))</f>
        <v/>
      </c>
      <c r="F13" s="47" t="str">
        <f>IF($J13="","",IF(ISBLANK(INDEX('Product Backlog'!$F$5:$F$504,$J13)),"",INDEX('Product Backlog'!$F$5:$F$504,$J13)))</f>
        <v/>
      </c>
      <c r="G13" s="47" t="str">
        <f>IF($J13="","",IF(ISBLANK(INDEX('Product Backlog'!$G$5:$G$504,$J13)),"",INDEX('Product Backlog'!$G$5:$G$504,$J13)))</f>
        <v/>
      </c>
      <c r="H13" s="48" t="str">
        <f>IF($J13="","",IF(ISBLANK(INDEX('Product Backlog'!$H$5:$H$504,$J13)),"",INDEX('Product Backlog'!$H$5:$H$504,$J13)))</f>
        <v/>
      </c>
      <c r="I13" s="48" t="str">
        <f>IF($J13="","",IF(ISBLANK(INDEX('Product Backlog'!$I$5:$I$504,$J13)),"",INDEX('Product Backlog'!$I$5:$I$504,$J13)))</f>
        <v/>
      </c>
      <c r="J13" t="str">
        <f>IFERROR(MATCH($B$4&amp;"-"&amp;ROWS($A$10:A13),'Product Backlog'!$J$5:$J$504,0),"")</f>
        <v/>
      </c>
    </row>
    <row r="14" spans="1:10" ht="21" customHeight="1" x14ac:dyDescent="0.2">
      <c r="A14" s="46" t="str">
        <f>IF($J14="","",IF(ISBLANK(INDEX('Product Backlog'!$A$5:$A$504,$J14)),"",INDEX('Product Backlog'!$A$5:$A$504,$J14)))</f>
        <v/>
      </c>
      <c r="B14" s="46" t="str">
        <f>IF($J14="","",IF(ISBLANK(INDEX('Product Backlog'!$B$5:$B$504,$J14)),"",INDEX('Product Backlog'!$B$5:$B$504,$J14)))</f>
        <v/>
      </c>
      <c r="C14" s="46" t="str">
        <f>IF($J14="","",IF(ISBLANK(INDEX('Product Backlog'!$C$5:$C$504,$J14)),"",INDEX('Product Backlog'!$C$5:$C$504,$J14)))</f>
        <v/>
      </c>
      <c r="D14" s="46" t="str">
        <f>IF($J14="","",IF(ISBLANK(INDEX('Product Backlog'!$D$5:$D$504,$J14)),"",INDEX('Product Backlog'!$D$5:$D$504,$J14)))</f>
        <v/>
      </c>
      <c r="E14" s="46" t="str">
        <f>IF($J14="","",IF(ISBLANK(INDEX('Product Backlog'!$E$5:$E$504,$J14)),"",INDEX('Product Backlog'!$E$5:$E$504,$J14)))</f>
        <v/>
      </c>
      <c r="F14" s="47" t="str">
        <f>IF($J14="","",IF(ISBLANK(INDEX('Product Backlog'!$F$5:$F$504,$J14)),"",INDEX('Product Backlog'!$F$5:$F$504,$J14)))</f>
        <v/>
      </c>
      <c r="G14" s="47" t="str">
        <f>IF($J14="","",IF(ISBLANK(INDEX('Product Backlog'!$G$5:$G$504,$J14)),"",INDEX('Product Backlog'!$G$5:$G$504,$J14)))</f>
        <v/>
      </c>
      <c r="H14" s="48" t="str">
        <f>IF($J14="","",IF(ISBLANK(INDEX('Product Backlog'!$H$5:$H$504,$J14)),"",INDEX('Product Backlog'!$H$5:$H$504,$J14)))</f>
        <v/>
      </c>
      <c r="I14" s="48" t="str">
        <f>IF($J14="","",IF(ISBLANK(INDEX('Product Backlog'!$I$5:$I$504,$J14)),"",INDEX('Product Backlog'!$I$5:$I$504,$J14)))</f>
        <v/>
      </c>
      <c r="J14" t="str">
        <f>IFERROR(MATCH($B$4&amp;"-"&amp;ROWS($A$10:A14),'Product Backlog'!$J$5:$J$504,0),"")</f>
        <v/>
      </c>
    </row>
    <row r="15" spans="1:10" ht="21" customHeight="1" x14ac:dyDescent="0.2">
      <c r="A15" s="46" t="str">
        <f>IF($J15="","",IF(ISBLANK(INDEX('Product Backlog'!$A$5:$A$504,$J15)),"",INDEX('Product Backlog'!$A$5:$A$504,$J15)))</f>
        <v/>
      </c>
      <c r="B15" s="46" t="str">
        <f>IF($J15="","",IF(ISBLANK(INDEX('Product Backlog'!$B$5:$B$504,$J15)),"",INDEX('Product Backlog'!$B$5:$B$504,$J15)))</f>
        <v/>
      </c>
      <c r="C15" s="46" t="str">
        <f>IF($J15="","",IF(ISBLANK(INDEX('Product Backlog'!$C$5:$C$504,$J15)),"",INDEX('Product Backlog'!$C$5:$C$504,$J15)))</f>
        <v/>
      </c>
      <c r="D15" s="46" t="str">
        <f>IF($J15="","",IF(ISBLANK(INDEX('Product Backlog'!$D$5:$D$504,$J15)),"",INDEX('Product Backlog'!$D$5:$D$504,$J15)))</f>
        <v/>
      </c>
      <c r="E15" s="46" t="str">
        <f>IF($J15="","",IF(ISBLANK(INDEX('Product Backlog'!$E$5:$E$504,$J15)),"",INDEX('Product Backlog'!$E$5:$E$504,$J15)))</f>
        <v/>
      </c>
      <c r="F15" s="47" t="str">
        <f>IF($J15="","",IF(ISBLANK(INDEX('Product Backlog'!$F$5:$F$504,$J15)),"",INDEX('Product Backlog'!$F$5:$F$504,$J15)))</f>
        <v/>
      </c>
      <c r="G15" s="47" t="str">
        <f>IF($J15="","",IF(ISBLANK(INDEX('Product Backlog'!$G$5:$G$504,$J15)),"",INDEX('Product Backlog'!$G$5:$G$504,$J15)))</f>
        <v/>
      </c>
      <c r="H15" s="48" t="str">
        <f>IF($J15="","",IF(ISBLANK(INDEX('Product Backlog'!$H$5:$H$504,$J15)),"",INDEX('Product Backlog'!$H$5:$H$504,$J15)))</f>
        <v/>
      </c>
      <c r="I15" s="48" t="str">
        <f>IF($J15="","",IF(ISBLANK(INDEX('Product Backlog'!$I$5:$I$504,$J15)),"",INDEX('Product Backlog'!$I$5:$I$504,$J15)))</f>
        <v/>
      </c>
      <c r="J15" t="str">
        <f>IFERROR(MATCH($B$4&amp;"-"&amp;ROWS($A$10:A15),'Product Backlog'!$J$5:$J$504,0),"")</f>
        <v/>
      </c>
    </row>
    <row r="16" spans="1:10" ht="21" customHeight="1" x14ac:dyDescent="0.2">
      <c r="A16" s="46" t="str">
        <f>IF($J16="","",IF(ISBLANK(INDEX('Product Backlog'!$A$5:$A$504,$J16)),"",INDEX('Product Backlog'!$A$5:$A$504,$J16)))</f>
        <v/>
      </c>
      <c r="B16" s="46" t="str">
        <f>IF($J16="","",IF(ISBLANK(INDEX('Product Backlog'!$B$5:$B$504,$J16)),"",INDEX('Product Backlog'!$B$5:$B$504,$J16)))</f>
        <v/>
      </c>
      <c r="C16" s="46" t="str">
        <f>IF($J16="","",IF(ISBLANK(INDEX('Product Backlog'!$C$5:$C$504,$J16)),"",INDEX('Product Backlog'!$C$5:$C$504,$J16)))</f>
        <v/>
      </c>
      <c r="D16" s="46" t="str">
        <f>IF($J16="","",IF(ISBLANK(INDEX('Product Backlog'!$D$5:$D$504,$J16)),"",INDEX('Product Backlog'!$D$5:$D$504,$J16)))</f>
        <v/>
      </c>
      <c r="E16" s="46" t="str">
        <f>IF($J16="","",IF(ISBLANK(INDEX('Product Backlog'!$E$5:$E$504,$J16)),"",INDEX('Product Backlog'!$E$5:$E$504,$J16)))</f>
        <v/>
      </c>
      <c r="F16" s="47" t="str">
        <f>IF($J16="","",IF(ISBLANK(INDEX('Product Backlog'!$F$5:$F$504,$J16)),"",INDEX('Product Backlog'!$F$5:$F$504,$J16)))</f>
        <v/>
      </c>
      <c r="G16" s="47" t="str">
        <f>IF($J16="","",IF(ISBLANK(INDEX('Product Backlog'!$G$5:$G$504,$J16)),"",INDEX('Product Backlog'!$G$5:$G$504,$J16)))</f>
        <v/>
      </c>
      <c r="H16" s="48" t="str">
        <f>IF($J16="","",IF(ISBLANK(INDEX('Product Backlog'!$H$5:$H$504,$J16)),"",INDEX('Product Backlog'!$H$5:$H$504,$J16)))</f>
        <v/>
      </c>
      <c r="I16" s="48" t="str">
        <f>IF($J16="","",IF(ISBLANK(INDEX('Product Backlog'!$I$5:$I$504,$J16)),"",INDEX('Product Backlog'!$I$5:$I$504,$J16)))</f>
        <v/>
      </c>
      <c r="J16" t="str">
        <f>IFERROR(MATCH($B$4&amp;"-"&amp;ROWS($A$10:A16),'Product Backlog'!$J$5:$J$504,0),"")</f>
        <v/>
      </c>
    </row>
    <row r="17" spans="1:10" ht="21" customHeight="1" x14ac:dyDescent="0.2">
      <c r="A17" s="46" t="str">
        <f>IF($J17="","",IF(ISBLANK(INDEX('Product Backlog'!$A$5:$A$504,$J17)),"",INDEX('Product Backlog'!$A$5:$A$504,$J17)))</f>
        <v/>
      </c>
      <c r="B17" s="46" t="str">
        <f>IF($J17="","",IF(ISBLANK(INDEX('Product Backlog'!$B$5:$B$504,$J17)),"",INDEX('Product Backlog'!$B$5:$B$504,$J17)))</f>
        <v/>
      </c>
      <c r="C17" s="46" t="str">
        <f>IF($J17="","",IF(ISBLANK(INDEX('Product Backlog'!$C$5:$C$504,$J17)),"",INDEX('Product Backlog'!$C$5:$C$504,$J17)))</f>
        <v/>
      </c>
      <c r="D17" s="46" t="str">
        <f>IF($J17="","",IF(ISBLANK(INDEX('Product Backlog'!$D$5:$D$504,$J17)),"",INDEX('Product Backlog'!$D$5:$D$504,$J17)))</f>
        <v/>
      </c>
      <c r="E17" s="46" t="str">
        <f>IF($J17="","",IF(ISBLANK(INDEX('Product Backlog'!$E$5:$E$504,$J17)),"",INDEX('Product Backlog'!$E$5:$E$504,$J17)))</f>
        <v/>
      </c>
      <c r="F17" s="47" t="str">
        <f>IF($J17="","",IF(ISBLANK(INDEX('Product Backlog'!$F$5:$F$504,$J17)),"",INDEX('Product Backlog'!$F$5:$F$504,$J17)))</f>
        <v/>
      </c>
      <c r="G17" s="47" t="str">
        <f>IF($J17="","",IF(ISBLANK(INDEX('Product Backlog'!$G$5:$G$504,$J17)),"",INDEX('Product Backlog'!$G$5:$G$504,$J17)))</f>
        <v/>
      </c>
      <c r="H17" s="48" t="str">
        <f>IF($J17="","",IF(ISBLANK(INDEX('Product Backlog'!$H$5:$H$504,$J17)),"",INDEX('Product Backlog'!$H$5:$H$504,$J17)))</f>
        <v/>
      </c>
      <c r="I17" s="48" t="str">
        <f>IF($J17="","",IF(ISBLANK(INDEX('Product Backlog'!$I$5:$I$504,$J17)),"",INDEX('Product Backlog'!$I$5:$I$504,$J17)))</f>
        <v/>
      </c>
      <c r="J17" t="str">
        <f>IFERROR(MATCH($B$4&amp;"-"&amp;ROWS($A$10:A17),'Product Backlog'!$J$5:$J$504,0),"")</f>
        <v/>
      </c>
    </row>
    <row r="18" spans="1:10" ht="21" customHeight="1" x14ac:dyDescent="0.2">
      <c r="A18" s="46" t="str">
        <f>IF($J18="","",IF(ISBLANK(INDEX('Product Backlog'!$A$5:$A$504,$J18)),"",INDEX('Product Backlog'!$A$5:$A$504,$J18)))</f>
        <v/>
      </c>
      <c r="B18" s="46" t="str">
        <f>IF($J18="","",IF(ISBLANK(INDEX('Product Backlog'!$B$5:$B$504,$J18)),"",INDEX('Product Backlog'!$B$5:$B$504,$J18)))</f>
        <v/>
      </c>
      <c r="C18" s="46" t="str">
        <f>IF($J18="","",IF(ISBLANK(INDEX('Product Backlog'!$C$5:$C$504,$J18)),"",INDEX('Product Backlog'!$C$5:$C$504,$J18)))</f>
        <v/>
      </c>
      <c r="D18" s="46" t="str">
        <f>IF($J18="","",IF(ISBLANK(INDEX('Product Backlog'!$D$5:$D$504,$J18)),"",INDEX('Product Backlog'!$D$5:$D$504,$J18)))</f>
        <v/>
      </c>
      <c r="E18" s="46" t="str">
        <f>IF($J18="","",IF(ISBLANK(INDEX('Product Backlog'!$E$5:$E$504,$J18)),"",INDEX('Product Backlog'!$E$5:$E$504,$J18)))</f>
        <v/>
      </c>
      <c r="F18" s="47" t="str">
        <f>IF($J18="","",IF(ISBLANK(INDEX('Product Backlog'!$F$5:$F$504,$J18)),"",INDEX('Product Backlog'!$F$5:$F$504,$J18)))</f>
        <v/>
      </c>
      <c r="G18" s="47" t="str">
        <f>IF($J18="","",IF(ISBLANK(INDEX('Product Backlog'!$G$5:$G$504,$J18)),"",INDEX('Product Backlog'!$G$5:$G$504,$J18)))</f>
        <v/>
      </c>
      <c r="H18" s="48" t="str">
        <f>IF($J18="","",IF(ISBLANK(INDEX('Product Backlog'!$H$5:$H$504,$J18)),"",INDEX('Product Backlog'!$H$5:$H$504,$J18)))</f>
        <v/>
      </c>
      <c r="I18" s="48" t="str">
        <f>IF($J18="","",IF(ISBLANK(INDEX('Product Backlog'!$I$5:$I$504,$J18)),"",INDEX('Product Backlog'!$I$5:$I$504,$J18)))</f>
        <v/>
      </c>
      <c r="J18" t="str">
        <f>IFERROR(MATCH($B$4&amp;"-"&amp;ROWS($A$10:A18),'Product Backlog'!$J$5:$J$504,0),"")</f>
        <v/>
      </c>
    </row>
    <row r="19" spans="1:10" ht="21" customHeight="1" x14ac:dyDescent="0.2">
      <c r="A19" s="46" t="str">
        <f>IF($J19="","",IF(ISBLANK(INDEX('Product Backlog'!$A$5:$A$504,$J19)),"",INDEX('Product Backlog'!$A$5:$A$504,$J19)))</f>
        <v/>
      </c>
      <c r="B19" s="46" t="str">
        <f>IF($J19="","",IF(ISBLANK(INDEX('Product Backlog'!$B$5:$B$504,$J19)),"",INDEX('Product Backlog'!$B$5:$B$504,$J19)))</f>
        <v/>
      </c>
      <c r="C19" s="46" t="str">
        <f>IF($J19="","",IF(ISBLANK(INDEX('Product Backlog'!$C$5:$C$504,$J19)),"",INDEX('Product Backlog'!$C$5:$C$504,$J19)))</f>
        <v/>
      </c>
      <c r="D19" s="46" t="str">
        <f>IF($J19="","",IF(ISBLANK(INDEX('Product Backlog'!$D$5:$D$504,$J19)),"",INDEX('Product Backlog'!$D$5:$D$504,$J19)))</f>
        <v/>
      </c>
      <c r="E19" s="46" t="str">
        <f>IF($J19="","",IF(ISBLANK(INDEX('Product Backlog'!$E$5:$E$504,$J19)),"",INDEX('Product Backlog'!$E$5:$E$504,$J19)))</f>
        <v/>
      </c>
      <c r="F19" s="47" t="str">
        <f>IF($J19="","",IF(ISBLANK(INDEX('Product Backlog'!$F$5:$F$504,$J19)),"",INDEX('Product Backlog'!$F$5:$F$504,$J19)))</f>
        <v/>
      </c>
      <c r="G19" s="47" t="str">
        <f>IF($J19="","",IF(ISBLANK(INDEX('Product Backlog'!$G$5:$G$504,$J19)),"",INDEX('Product Backlog'!$G$5:$G$504,$J19)))</f>
        <v/>
      </c>
      <c r="H19" s="48" t="str">
        <f>IF($J19="","",IF(ISBLANK(INDEX('Product Backlog'!$H$5:$H$504,$J19)),"",INDEX('Product Backlog'!$H$5:$H$504,$J19)))</f>
        <v/>
      </c>
      <c r="I19" s="48" t="str">
        <f>IF($J19="","",IF(ISBLANK(INDEX('Product Backlog'!$I$5:$I$504,$J19)),"",INDEX('Product Backlog'!$I$5:$I$504,$J19)))</f>
        <v/>
      </c>
      <c r="J19" t="str">
        <f>IFERROR(MATCH($B$4&amp;"-"&amp;ROWS($A$10:A19),'Product Backlog'!$J$5:$J$504,0),"")</f>
        <v/>
      </c>
    </row>
    <row r="20" spans="1:10" ht="21" customHeight="1" x14ac:dyDescent="0.2">
      <c r="A20" s="46" t="str">
        <f>IF($J20="","",IF(ISBLANK(INDEX('Product Backlog'!$A$5:$A$504,$J20)),"",INDEX('Product Backlog'!$A$5:$A$504,$J20)))</f>
        <v/>
      </c>
      <c r="B20" s="46" t="str">
        <f>IF($J20="","",IF(ISBLANK(INDEX('Product Backlog'!$B$5:$B$504,$J20)),"",INDEX('Product Backlog'!$B$5:$B$504,$J20)))</f>
        <v/>
      </c>
      <c r="C20" s="46" t="str">
        <f>IF($J20="","",IF(ISBLANK(INDEX('Product Backlog'!$C$5:$C$504,$J20)),"",INDEX('Product Backlog'!$C$5:$C$504,$J20)))</f>
        <v/>
      </c>
      <c r="D20" s="46" t="str">
        <f>IF($J20="","",IF(ISBLANK(INDEX('Product Backlog'!$D$5:$D$504,$J20)),"",INDEX('Product Backlog'!$D$5:$D$504,$J20)))</f>
        <v/>
      </c>
      <c r="E20" s="46" t="str">
        <f>IF($J20="","",IF(ISBLANK(INDEX('Product Backlog'!$E$5:$E$504,$J20)),"",INDEX('Product Backlog'!$E$5:$E$504,$J20)))</f>
        <v/>
      </c>
      <c r="F20" s="47" t="str">
        <f>IF($J20="","",IF(ISBLANK(INDEX('Product Backlog'!$F$5:$F$504,$J20)),"",INDEX('Product Backlog'!$F$5:$F$504,$J20)))</f>
        <v/>
      </c>
      <c r="G20" s="47" t="str">
        <f>IF($J20="","",IF(ISBLANK(INDEX('Product Backlog'!$G$5:$G$504,$J20)),"",INDEX('Product Backlog'!$G$5:$G$504,$J20)))</f>
        <v/>
      </c>
      <c r="H20" s="48" t="str">
        <f>IF($J20="","",IF(ISBLANK(INDEX('Product Backlog'!$H$5:$H$504,$J20)),"",INDEX('Product Backlog'!$H$5:$H$504,$J20)))</f>
        <v/>
      </c>
      <c r="I20" s="48" t="str">
        <f>IF($J20="","",IF(ISBLANK(INDEX('Product Backlog'!$I$5:$I$504,$J20)),"",INDEX('Product Backlog'!$I$5:$I$504,$J20)))</f>
        <v/>
      </c>
      <c r="J20" t="str">
        <f>IFERROR(MATCH($B$4&amp;"-"&amp;ROWS($A$10:A20),'Product Backlog'!$J$5:$J$504,0),"")</f>
        <v/>
      </c>
    </row>
    <row r="21" spans="1:10" ht="21" customHeight="1" x14ac:dyDescent="0.2">
      <c r="A21" s="46" t="str">
        <f>IF($J21="","",IF(ISBLANK(INDEX('Product Backlog'!$A$5:$A$504,$J21)),"",INDEX('Product Backlog'!$A$5:$A$504,$J21)))</f>
        <v/>
      </c>
      <c r="B21" s="46" t="str">
        <f>IF($J21="","",IF(ISBLANK(INDEX('Product Backlog'!$B$5:$B$504,$J21)),"",INDEX('Product Backlog'!$B$5:$B$504,$J21)))</f>
        <v/>
      </c>
      <c r="C21" s="46" t="str">
        <f>IF($J21="","",IF(ISBLANK(INDEX('Product Backlog'!$C$5:$C$504,$J21)),"",INDEX('Product Backlog'!$C$5:$C$504,$J21)))</f>
        <v/>
      </c>
      <c r="D21" s="46" t="str">
        <f>IF($J21="","",IF(ISBLANK(INDEX('Product Backlog'!$D$5:$D$504,$J21)),"",INDEX('Product Backlog'!$D$5:$D$504,$J21)))</f>
        <v/>
      </c>
      <c r="E21" s="46" t="str">
        <f>IF($J21="","",IF(ISBLANK(INDEX('Product Backlog'!$E$5:$E$504,$J21)),"",INDEX('Product Backlog'!$E$5:$E$504,$J21)))</f>
        <v/>
      </c>
      <c r="F21" s="47" t="str">
        <f>IF($J21="","",IF(ISBLANK(INDEX('Product Backlog'!$F$5:$F$504,$J21)),"",INDEX('Product Backlog'!$F$5:$F$504,$J21)))</f>
        <v/>
      </c>
      <c r="G21" s="47" t="str">
        <f>IF($J21="","",IF(ISBLANK(INDEX('Product Backlog'!$G$5:$G$504,$J21)),"",INDEX('Product Backlog'!$G$5:$G$504,$J21)))</f>
        <v/>
      </c>
      <c r="H21" s="48" t="str">
        <f>IF($J21="","",IF(ISBLANK(INDEX('Product Backlog'!$H$5:$H$504,$J21)),"",INDEX('Product Backlog'!$H$5:$H$504,$J21)))</f>
        <v/>
      </c>
      <c r="I21" s="48" t="str">
        <f>IF($J21="","",IF(ISBLANK(INDEX('Product Backlog'!$I$5:$I$504,$J21)),"",INDEX('Product Backlog'!$I$5:$I$504,$J21)))</f>
        <v/>
      </c>
      <c r="J21" t="str">
        <f>IFERROR(MATCH($B$4&amp;"-"&amp;ROWS($A$10:A21),'Product Backlog'!$J$5:$J$504,0),"")</f>
        <v/>
      </c>
    </row>
    <row r="22" spans="1:10" ht="21" customHeight="1" x14ac:dyDescent="0.2">
      <c r="A22" s="46" t="str">
        <f>IF($J22="","",IF(ISBLANK(INDEX('Product Backlog'!$A$5:$A$504,$J22)),"",INDEX('Product Backlog'!$A$5:$A$504,$J22)))</f>
        <v/>
      </c>
      <c r="B22" s="46" t="str">
        <f>IF($J22="","",IF(ISBLANK(INDEX('Product Backlog'!$B$5:$B$504,$J22)),"",INDEX('Product Backlog'!$B$5:$B$504,$J22)))</f>
        <v/>
      </c>
      <c r="C22" s="46" t="str">
        <f>IF($J22="","",IF(ISBLANK(INDEX('Product Backlog'!$C$5:$C$504,$J22)),"",INDEX('Product Backlog'!$C$5:$C$504,$J22)))</f>
        <v/>
      </c>
      <c r="D22" s="46" t="str">
        <f>IF($J22="","",IF(ISBLANK(INDEX('Product Backlog'!$D$5:$D$504,$J22)),"",INDEX('Product Backlog'!$D$5:$D$504,$J22)))</f>
        <v/>
      </c>
      <c r="E22" s="46" t="str">
        <f>IF($J22="","",IF(ISBLANK(INDEX('Product Backlog'!$E$5:$E$504,$J22)),"",INDEX('Product Backlog'!$E$5:$E$504,$J22)))</f>
        <v/>
      </c>
      <c r="F22" s="47" t="str">
        <f>IF($J22="","",IF(ISBLANK(INDEX('Product Backlog'!$F$5:$F$504,$J22)),"",INDEX('Product Backlog'!$F$5:$F$504,$J22)))</f>
        <v/>
      </c>
      <c r="G22" s="47" t="str">
        <f>IF($J22="","",IF(ISBLANK(INDEX('Product Backlog'!$G$5:$G$504,$J22)),"",INDEX('Product Backlog'!$G$5:$G$504,$J22)))</f>
        <v/>
      </c>
      <c r="H22" s="48" t="str">
        <f>IF($J22="","",IF(ISBLANK(INDEX('Product Backlog'!$H$5:$H$504,$J22)),"",INDEX('Product Backlog'!$H$5:$H$504,$J22)))</f>
        <v/>
      </c>
      <c r="I22" s="48" t="str">
        <f>IF($J22="","",IF(ISBLANK(INDEX('Product Backlog'!$I$5:$I$504,$J22)),"",INDEX('Product Backlog'!$I$5:$I$504,$J22)))</f>
        <v/>
      </c>
      <c r="J22" t="str">
        <f>IFERROR(MATCH($B$4&amp;"-"&amp;ROWS($A$10:A22),'Product Backlog'!$J$5:$J$504,0),"")</f>
        <v/>
      </c>
    </row>
    <row r="23" spans="1:10" ht="21" customHeight="1" x14ac:dyDescent="0.2">
      <c r="A23" s="46" t="str">
        <f>IF($J23="","",IF(ISBLANK(INDEX('Product Backlog'!$A$5:$A$504,$J23)),"",INDEX('Product Backlog'!$A$5:$A$504,$J23)))</f>
        <v/>
      </c>
      <c r="B23" s="46" t="str">
        <f>IF($J23="","",IF(ISBLANK(INDEX('Product Backlog'!$B$5:$B$504,$J23)),"",INDEX('Product Backlog'!$B$5:$B$504,$J23)))</f>
        <v/>
      </c>
      <c r="C23" s="46" t="str">
        <f>IF($J23="","",IF(ISBLANK(INDEX('Product Backlog'!$C$5:$C$504,$J23)),"",INDEX('Product Backlog'!$C$5:$C$504,$J23)))</f>
        <v/>
      </c>
      <c r="D23" s="46" t="str">
        <f>IF($J23="","",IF(ISBLANK(INDEX('Product Backlog'!$D$5:$D$504,$J23)),"",INDEX('Product Backlog'!$D$5:$D$504,$J23)))</f>
        <v/>
      </c>
      <c r="E23" s="46" t="str">
        <f>IF($J23="","",IF(ISBLANK(INDEX('Product Backlog'!$E$5:$E$504,$J23)),"",INDEX('Product Backlog'!$E$5:$E$504,$J23)))</f>
        <v/>
      </c>
      <c r="F23" s="47" t="str">
        <f>IF($J23="","",IF(ISBLANK(INDEX('Product Backlog'!$F$5:$F$504,$J23)),"",INDEX('Product Backlog'!$F$5:$F$504,$J23)))</f>
        <v/>
      </c>
      <c r="G23" s="47" t="str">
        <f>IF($J23="","",IF(ISBLANK(INDEX('Product Backlog'!$G$5:$G$504,$J23)),"",INDEX('Product Backlog'!$G$5:$G$504,$J23)))</f>
        <v/>
      </c>
      <c r="H23" s="48" t="str">
        <f>IF($J23="","",IF(ISBLANK(INDEX('Product Backlog'!$H$5:$H$504,$J23)),"",INDEX('Product Backlog'!$H$5:$H$504,$J23)))</f>
        <v/>
      </c>
      <c r="I23" s="48" t="str">
        <f>IF($J23="","",IF(ISBLANK(INDEX('Product Backlog'!$I$5:$I$504,$J23)),"",INDEX('Product Backlog'!$I$5:$I$504,$J23)))</f>
        <v/>
      </c>
      <c r="J23" t="str">
        <f>IFERROR(MATCH($B$4&amp;"-"&amp;ROWS($A$10:A23),'Product Backlog'!$J$5:$J$504,0),"")</f>
        <v/>
      </c>
    </row>
    <row r="24" spans="1:10" ht="21" customHeight="1" x14ac:dyDescent="0.2">
      <c r="A24" s="46" t="str">
        <f>IF($J24="","",IF(ISBLANK(INDEX('Product Backlog'!$A$5:$A$504,$J24)),"",INDEX('Product Backlog'!$A$5:$A$504,$J24)))</f>
        <v/>
      </c>
      <c r="B24" s="46" t="str">
        <f>IF($J24="","",IF(ISBLANK(INDEX('Product Backlog'!$B$5:$B$504,$J24)),"",INDEX('Product Backlog'!$B$5:$B$504,$J24)))</f>
        <v/>
      </c>
      <c r="C24" s="46" t="str">
        <f>IF($J24="","",IF(ISBLANK(INDEX('Product Backlog'!$C$5:$C$504,$J24)),"",INDEX('Product Backlog'!$C$5:$C$504,$J24)))</f>
        <v/>
      </c>
      <c r="D24" s="46" t="str">
        <f>IF($J24="","",IF(ISBLANK(INDEX('Product Backlog'!$D$5:$D$504,$J24)),"",INDEX('Product Backlog'!$D$5:$D$504,$J24)))</f>
        <v/>
      </c>
      <c r="E24" s="46" t="str">
        <f>IF($J24="","",IF(ISBLANK(INDEX('Product Backlog'!$E$5:$E$504,$J24)),"",INDEX('Product Backlog'!$E$5:$E$504,$J24)))</f>
        <v/>
      </c>
      <c r="F24" s="47" t="str">
        <f>IF($J24="","",IF(ISBLANK(INDEX('Product Backlog'!$F$5:$F$504,$J24)),"",INDEX('Product Backlog'!$F$5:$F$504,$J24)))</f>
        <v/>
      </c>
      <c r="G24" s="47" t="str">
        <f>IF($J24="","",IF(ISBLANK(INDEX('Product Backlog'!$G$5:$G$504,$J24)),"",INDEX('Product Backlog'!$G$5:$G$504,$J24)))</f>
        <v/>
      </c>
      <c r="H24" s="48" t="str">
        <f>IF($J24="","",IF(ISBLANK(INDEX('Product Backlog'!$H$5:$H$504,$J24)),"",INDEX('Product Backlog'!$H$5:$H$504,$J24)))</f>
        <v/>
      </c>
      <c r="I24" s="48" t="str">
        <f>IF($J24="","",IF(ISBLANK(INDEX('Product Backlog'!$I$5:$I$504,$J24)),"",INDEX('Product Backlog'!$I$5:$I$504,$J24)))</f>
        <v/>
      </c>
      <c r="J24" t="str">
        <f>IFERROR(MATCH($B$4&amp;"-"&amp;ROWS($A$10:A24),'Product Backlog'!$J$5:$J$504,0),"")</f>
        <v/>
      </c>
    </row>
    <row r="25" spans="1:10" ht="21" customHeight="1" x14ac:dyDescent="0.2">
      <c r="A25" s="46" t="str">
        <f>IF($J25="","",IF(ISBLANK(INDEX('Product Backlog'!$A$5:$A$504,$J25)),"",INDEX('Product Backlog'!$A$5:$A$504,$J25)))</f>
        <v/>
      </c>
      <c r="B25" s="46" t="str">
        <f>IF($J25="","",IF(ISBLANK(INDEX('Product Backlog'!$B$5:$B$504,$J25)),"",INDEX('Product Backlog'!$B$5:$B$504,$J25)))</f>
        <v/>
      </c>
      <c r="C25" s="46" t="str">
        <f>IF($J25="","",IF(ISBLANK(INDEX('Product Backlog'!$C$5:$C$504,$J25)),"",INDEX('Product Backlog'!$C$5:$C$504,$J25)))</f>
        <v/>
      </c>
      <c r="D25" s="46" t="str">
        <f>IF($J25="","",IF(ISBLANK(INDEX('Product Backlog'!$D$5:$D$504,$J25)),"",INDEX('Product Backlog'!$D$5:$D$504,$J25)))</f>
        <v/>
      </c>
      <c r="E25" s="46" t="str">
        <f>IF($J25="","",IF(ISBLANK(INDEX('Product Backlog'!$E$5:$E$504,$J25)),"",INDEX('Product Backlog'!$E$5:$E$504,$J25)))</f>
        <v/>
      </c>
      <c r="F25" s="47" t="str">
        <f>IF($J25="","",IF(ISBLANK(INDEX('Product Backlog'!$F$5:$F$504,$J25)),"",INDEX('Product Backlog'!$F$5:$F$504,$J25)))</f>
        <v/>
      </c>
      <c r="G25" s="47" t="str">
        <f>IF($J25="","",IF(ISBLANK(INDEX('Product Backlog'!$G$5:$G$504,$J25)),"",INDEX('Product Backlog'!$G$5:$G$504,$J25)))</f>
        <v/>
      </c>
      <c r="H25" s="48" t="str">
        <f>IF($J25="","",IF(ISBLANK(INDEX('Product Backlog'!$H$5:$H$504,$J25)),"",INDEX('Product Backlog'!$H$5:$H$504,$J25)))</f>
        <v/>
      </c>
      <c r="I25" s="48" t="str">
        <f>IF($J25="","",IF(ISBLANK(INDEX('Product Backlog'!$I$5:$I$504,$J25)),"",INDEX('Product Backlog'!$I$5:$I$504,$J25)))</f>
        <v/>
      </c>
      <c r="J25" t="str">
        <f>IFERROR(MATCH($B$4&amp;"-"&amp;ROWS($A$10:A25),'Product Backlog'!$J$5:$J$504,0),"")</f>
        <v/>
      </c>
    </row>
    <row r="26" spans="1:10" ht="21" customHeight="1" x14ac:dyDescent="0.2">
      <c r="A26" s="46" t="str">
        <f>IF($J26="","",IF(ISBLANK(INDEX('Product Backlog'!$A$5:$A$504,$J26)),"",INDEX('Product Backlog'!$A$5:$A$504,$J26)))</f>
        <v/>
      </c>
      <c r="B26" s="46" t="str">
        <f>IF($J26="","",IF(ISBLANK(INDEX('Product Backlog'!$B$5:$B$504,$J26)),"",INDEX('Product Backlog'!$B$5:$B$504,$J26)))</f>
        <v/>
      </c>
      <c r="C26" s="46" t="str">
        <f>IF($J26="","",IF(ISBLANK(INDEX('Product Backlog'!$C$5:$C$504,$J26)),"",INDEX('Product Backlog'!$C$5:$C$504,$J26)))</f>
        <v/>
      </c>
      <c r="D26" s="46" t="str">
        <f>IF($J26="","",IF(ISBLANK(INDEX('Product Backlog'!$D$5:$D$504,$J26)),"",INDEX('Product Backlog'!$D$5:$D$504,$J26)))</f>
        <v/>
      </c>
      <c r="E26" s="46" t="str">
        <f>IF($J26="","",IF(ISBLANK(INDEX('Product Backlog'!$E$5:$E$504,$J26)),"",INDEX('Product Backlog'!$E$5:$E$504,$J26)))</f>
        <v/>
      </c>
      <c r="F26" s="47" t="str">
        <f>IF($J26="","",IF(ISBLANK(INDEX('Product Backlog'!$F$5:$F$504,$J26)),"",INDEX('Product Backlog'!$F$5:$F$504,$J26)))</f>
        <v/>
      </c>
      <c r="G26" s="47" t="str">
        <f>IF($J26="","",IF(ISBLANK(INDEX('Product Backlog'!$G$5:$G$504,$J26)),"",INDEX('Product Backlog'!$G$5:$G$504,$J26)))</f>
        <v/>
      </c>
      <c r="H26" s="48" t="str">
        <f>IF($J26="","",IF(ISBLANK(INDEX('Product Backlog'!$H$5:$H$504,$J26)),"",INDEX('Product Backlog'!$H$5:$H$504,$J26)))</f>
        <v/>
      </c>
      <c r="I26" s="48" t="str">
        <f>IF($J26="","",IF(ISBLANK(INDEX('Product Backlog'!$I$5:$I$504,$J26)),"",INDEX('Product Backlog'!$I$5:$I$504,$J26)))</f>
        <v/>
      </c>
      <c r="J26" t="str">
        <f>IFERROR(MATCH($B$4&amp;"-"&amp;ROWS($A$10:A26),'Product Backlog'!$J$5:$J$504,0),"")</f>
        <v/>
      </c>
    </row>
    <row r="27" spans="1:10" ht="21" customHeight="1" x14ac:dyDescent="0.2">
      <c r="A27" s="46" t="str">
        <f>IF($J27="","",IF(ISBLANK(INDEX('Product Backlog'!$A$5:$A$504,$J27)),"",INDEX('Product Backlog'!$A$5:$A$504,$J27)))</f>
        <v/>
      </c>
      <c r="B27" s="46" t="str">
        <f>IF($J27="","",IF(ISBLANK(INDEX('Product Backlog'!$B$5:$B$504,$J27)),"",INDEX('Product Backlog'!$B$5:$B$504,$J27)))</f>
        <v/>
      </c>
      <c r="C27" s="46" t="str">
        <f>IF($J27="","",IF(ISBLANK(INDEX('Product Backlog'!$C$5:$C$504,$J27)),"",INDEX('Product Backlog'!$C$5:$C$504,$J27)))</f>
        <v/>
      </c>
      <c r="D27" s="46" t="str">
        <f>IF($J27="","",IF(ISBLANK(INDEX('Product Backlog'!$D$5:$D$504,$J27)),"",INDEX('Product Backlog'!$D$5:$D$504,$J27)))</f>
        <v/>
      </c>
      <c r="E27" s="46" t="str">
        <f>IF($J27="","",IF(ISBLANK(INDEX('Product Backlog'!$E$5:$E$504,$J27)),"",INDEX('Product Backlog'!$E$5:$E$504,$J27)))</f>
        <v/>
      </c>
      <c r="F27" s="47" t="str">
        <f>IF($J27="","",IF(ISBLANK(INDEX('Product Backlog'!$F$5:$F$504,$J27)),"",INDEX('Product Backlog'!$F$5:$F$504,$J27)))</f>
        <v/>
      </c>
      <c r="G27" s="47" t="str">
        <f>IF($J27="","",IF(ISBLANK(INDEX('Product Backlog'!$G$5:$G$504,$J27)),"",INDEX('Product Backlog'!$G$5:$G$504,$J27)))</f>
        <v/>
      </c>
      <c r="H27" s="48" t="str">
        <f>IF($J27="","",IF(ISBLANK(INDEX('Product Backlog'!$H$5:$H$504,$J27)),"",INDEX('Product Backlog'!$H$5:$H$504,$J27)))</f>
        <v/>
      </c>
      <c r="I27" s="48" t="str">
        <f>IF($J27="","",IF(ISBLANK(INDEX('Product Backlog'!$I$5:$I$504,$J27)),"",INDEX('Product Backlog'!$I$5:$I$504,$J27)))</f>
        <v/>
      </c>
      <c r="J27" t="str">
        <f>IFERROR(MATCH($B$4&amp;"-"&amp;ROWS($A$10:A27),'Product Backlog'!$J$5:$J$504,0),"")</f>
        <v/>
      </c>
    </row>
    <row r="28" spans="1:10" ht="21" customHeight="1" x14ac:dyDescent="0.2">
      <c r="A28" s="46" t="str">
        <f>IF($J28="","",IF(ISBLANK(INDEX('Product Backlog'!$A$5:$A$504,$J28)),"",INDEX('Product Backlog'!$A$5:$A$504,$J28)))</f>
        <v/>
      </c>
      <c r="B28" s="46" t="str">
        <f>IF($J28="","",IF(ISBLANK(INDEX('Product Backlog'!$B$5:$B$504,$J28)),"",INDEX('Product Backlog'!$B$5:$B$504,$J28)))</f>
        <v/>
      </c>
      <c r="C28" s="46" t="str">
        <f>IF($J28="","",IF(ISBLANK(INDEX('Product Backlog'!$C$5:$C$504,$J28)),"",INDEX('Product Backlog'!$C$5:$C$504,$J28)))</f>
        <v/>
      </c>
      <c r="D28" s="46" t="str">
        <f>IF($J28="","",IF(ISBLANK(INDEX('Product Backlog'!$D$5:$D$504,$J28)),"",INDEX('Product Backlog'!$D$5:$D$504,$J28)))</f>
        <v/>
      </c>
      <c r="E28" s="46" t="str">
        <f>IF($J28="","",IF(ISBLANK(INDEX('Product Backlog'!$E$5:$E$504,$J28)),"",INDEX('Product Backlog'!$E$5:$E$504,$J28)))</f>
        <v/>
      </c>
      <c r="F28" s="47" t="str">
        <f>IF($J28="","",IF(ISBLANK(INDEX('Product Backlog'!$F$5:$F$504,$J28)),"",INDEX('Product Backlog'!$F$5:$F$504,$J28)))</f>
        <v/>
      </c>
      <c r="G28" s="47" t="str">
        <f>IF($J28="","",IF(ISBLANK(INDEX('Product Backlog'!$G$5:$G$504,$J28)),"",INDEX('Product Backlog'!$G$5:$G$504,$J28)))</f>
        <v/>
      </c>
      <c r="H28" s="48" t="str">
        <f>IF($J28="","",IF(ISBLANK(INDEX('Product Backlog'!$H$5:$H$504,$J28)),"",INDEX('Product Backlog'!$H$5:$H$504,$J28)))</f>
        <v/>
      </c>
      <c r="I28" s="48" t="str">
        <f>IF($J28="","",IF(ISBLANK(INDEX('Product Backlog'!$I$5:$I$504,$J28)),"",INDEX('Product Backlog'!$I$5:$I$504,$J28)))</f>
        <v/>
      </c>
      <c r="J28" t="str">
        <f>IFERROR(MATCH($B$4&amp;"-"&amp;ROWS($A$10:A28),'Product Backlog'!$J$5:$J$504,0),"")</f>
        <v/>
      </c>
    </row>
    <row r="29" spans="1:10" ht="21" customHeight="1" x14ac:dyDescent="0.2">
      <c r="A29" s="46" t="str">
        <f>IF($J29="","",IF(ISBLANK(INDEX('Product Backlog'!$A$5:$A$504,$J29)),"",INDEX('Product Backlog'!$A$5:$A$504,$J29)))</f>
        <v/>
      </c>
      <c r="B29" s="46" t="str">
        <f>IF($J29="","",IF(ISBLANK(INDEX('Product Backlog'!$B$5:$B$504,$J29)),"",INDEX('Product Backlog'!$B$5:$B$504,$J29)))</f>
        <v/>
      </c>
      <c r="C29" s="46" t="str">
        <f>IF($J29="","",IF(ISBLANK(INDEX('Product Backlog'!$C$5:$C$504,$J29)),"",INDEX('Product Backlog'!$C$5:$C$504,$J29)))</f>
        <v/>
      </c>
      <c r="D29" s="46" t="str">
        <f>IF($J29="","",IF(ISBLANK(INDEX('Product Backlog'!$D$5:$D$504,$J29)),"",INDEX('Product Backlog'!$D$5:$D$504,$J29)))</f>
        <v/>
      </c>
      <c r="E29" s="46" t="str">
        <f>IF($J29="","",IF(ISBLANK(INDEX('Product Backlog'!$E$5:$E$504,$J29)),"",INDEX('Product Backlog'!$E$5:$E$504,$J29)))</f>
        <v/>
      </c>
      <c r="F29" s="47" t="str">
        <f>IF($J29="","",IF(ISBLANK(INDEX('Product Backlog'!$F$5:$F$504,$J29)),"",INDEX('Product Backlog'!$F$5:$F$504,$J29)))</f>
        <v/>
      </c>
      <c r="G29" s="47" t="str">
        <f>IF($J29="","",IF(ISBLANK(INDEX('Product Backlog'!$G$5:$G$504,$J29)),"",INDEX('Product Backlog'!$G$5:$G$504,$J29)))</f>
        <v/>
      </c>
      <c r="H29" s="48" t="str">
        <f>IF($J29="","",IF(ISBLANK(INDEX('Product Backlog'!$H$5:$H$504,$J29)),"",INDEX('Product Backlog'!$H$5:$H$504,$J29)))</f>
        <v/>
      </c>
      <c r="I29" s="48" t="str">
        <f>IF($J29="","",IF(ISBLANK(INDEX('Product Backlog'!$I$5:$I$504,$J29)),"",INDEX('Product Backlog'!$I$5:$I$504,$J29)))</f>
        <v/>
      </c>
      <c r="J29" t="str">
        <f>IFERROR(MATCH($B$4&amp;"-"&amp;ROWS($A$10:A29),'Product Backlog'!$J$5:$J$504,0),"")</f>
        <v/>
      </c>
    </row>
    <row r="30" spans="1:10" ht="21" customHeight="1" x14ac:dyDescent="0.2">
      <c r="A30" s="46" t="str">
        <f>IF($J30="","",IF(ISBLANK(INDEX('Product Backlog'!$A$5:$A$504,$J30)),"",INDEX('Product Backlog'!$A$5:$A$504,$J30)))</f>
        <v/>
      </c>
      <c r="B30" s="46" t="str">
        <f>IF($J30="","",IF(ISBLANK(INDEX('Product Backlog'!$B$5:$B$504,$J30)),"",INDEX('Product Backlog'!$B$5:$B$504,$J30)))</f>
        <v/>
      </c>
      <c r="C30" s="46" t="str">
        <f>IF($J30="","",IF(ISBLANK(INDEX('Product Backlog'!$C$5:$C$504,$J30)),"",INDEX('Product Backlog'!$C$5:$C$504,$J30)))</f>
        <v/>
      </c>
      <c r="D30" s="46" t="str">
        <f>IF($J30="","",IF(ISBLANK(INDEX('Product Backlog'!$D$5:$D$504,$J30)),"",INDEX('Product Backlog'!$D$5:$D$504,$J30)))</f>
        <v/>
      </c>
      <c r="E30" s="46" t="str">
        <f>IF($J30="","",IF(ISBLANK(INDEX('Product Backlog'!$E$5:$E$504,$J30)),"",INDEX('Product Backlog'!$E$5:$E$504,$J30)))</f>
        <v/>
      </c>
      <c r="F30" s="47" t="str">
        <f>IF($J30="","",IF(ISBLANK(INDEX('Product Backlog'!$F$5:$F$504,$J30)),"",INDEX('Product Backlog'!$F$5:$F$504,$J30)))</f>
        <v/>
      </c>
      <c r="G30" s="47" t="str">
        <f>IF($J30="","",IF(ISBLANK(INDEX('Product Backlog'!$G$5:$G$504,$J30)),"",INDEX('Product Backlog'!$G$5:$G$504,$J30)))</f>
        <v/>
      </c>
      <c r="H30" s="48" t="str">
        <f>IF($J30="","",IF(ISBLANK(INDEX('Product Backlog'!$H$5:$H$504,$J30)),"",INDEX('Product Backlog'!$H$5:$H$504,$J30)))</f>
        <v/>
      </c>
      <c r="I30" s="48" t="str">
        <f>IF($J30="","",IF(ISBLANK(INDEX('Product Backlog'!$I$5:$I$504,$J30)),"",INDEX('Product Backlog'!$I$5:$I$504,$J30)))</f>
        <v/>
      </c>
      <c r="J30" t="str">
        <f>IFERROR(MATCH($B$4&amp;"-"&amp;ROWS($A$10:A30),'Product Backlog'!$J$5:$J$504,0),"")</f>
        <v/>
      </c>
    </row>
    <row r="31" spans="1:10" ht="21" customHeight="1" x14ac:dyDescent="0.2">
      <c r="A31" s="46" t="str">
        <f>IF($J31="","",IF(ISBLANK(INDEX('Product Backlog'!$A$5:$A$504,$J31)),"",INDEX('Product Backlog'!$A$5:$A$504,$J31)))</f>
        <v/>
      </c>
      <c r="B31" s="46" t="str">
        <f>IF($J31="","",IF(ISBLANK(INDEX('Product Backlog'!$B$5:$B$504,$J31)),"",INDEX('Product Backlog'!$B$5:$B$504,$J31)))</f>
        <v/>
      </c>
      <c r="C31" s="46" t="str">
        <f>IF($J31="","",IF(ISBLANK(INDEX('Product Backlog'!$C$5:$C$504,$J31)),"",INDEX('Product Backlog'!$C$5:$C$504,$J31)))</f>
        <v/>
      </c>
      <c r="D31" s="46" t="str">
        <f>IF($J31="","",IF(ISBLANK(INDEX('Product Backlog'!$D$5:$D$504,$J31)),"",INDEX('Product Backlog'!$D$5:$D$504,$J31)))</f>
        <v/>
      </c>
      <c r="E31" s="46" t="str">
        <f>IF($J31="","",IF(ISBLANK(INDEX('Product Backlog'!$E$5:$E$504,$J31)),"",INDEX('Product Backlog'!$E$5:$E$504,$J31)))</f>
        <v/>
      </c>
      <c r="F31" s="47" t="str">
        <f>IF($J31="","",IF(ISBLANK(INDEX('Product Backlog'!$F$5:$F$504,$J31)),"",INDEX('Product Backlog'!$F$5:$F$504,$J31)))</f>
        <v/>
      </c>
      <c r="G31" s="47" t="str">
        <f>IF($J31="","",IF(ISBLANK(INDEX('Product Backlog'!$G$5:$G$504,$J31)),"",INDEX('Product Backlog'!$G$5:$G$504,$J31)))</f>
        <v/>
      </c>
      <c r="H31" s="48" t="str">
        <f>IF($J31="","",IF(ISBLANK(INDEX('Product Backlog'!$H$5:$H$504,$J31)),"",INDEX('Product Backlog'!$H$5:$H$504,$J31)))</f>
        <v/>
      </c>
      <c r="I31" s="48" t="str">
        <f>IF($J31="","",IF(ISBLANK(INDEX('Product Backlog'!$I$5:$I$504,$J31)),"",INDEX('Product Backlog'!$I$5:$I$504,$J31)))</f>
        <v/>
      </c>
      <c r="J31" t="str">
        <f>IFERROR(MATCH($B$4&amp;"-"&amp;ROWS($A$10:A31),'Product Backlog'!$J$5:$J$504,0),"")</f>
        <v/>
      </c>
    </row>
    <row r="32" spans="1:10" ht="21" customHeight="1" x14ac:dyDescent="0.2">
      <c r="A32" s="46" t="str">
        <f>IF($J32="","",IF(ISBLANK(INDEX('Product Backlog'!$A$5:$A$504,$J32)),"",INDEX('Product Backlog'!$A$5:$A$504,$J32)))</f>
        <v/>
      </c>
      <c r="B32" s="46" t="str">
        <f>IF($J32="","",IF(ISBLANK(INDEX('Product Backlog'!$B$5:$B$504,$J32)),"",INDEX('Product Backlog'!$B$5:$B$504,$J32)))</f>
        <v/>
      </c>
      <c r="C32" s="46" t="str">
        <f>IF($J32="","",IF(ISBLANK(INDEX('Product Backlog'!$C$5:$C$504,$J32)),"",INDEX('Product Backlog'!$C$5:$C$504,$J32)))</f>
        <v/>
      </c>
      <c r="D32" s="46" t="str">
        <f>IF($J32="","",IF(ISBLANK(INDEX('Product Backlog'!$D$5:$D$504,$J32)),"",INDEX('Product Backlog'!$D$5:$D$504,$J32)))</f>
        <v/>
      </c>
      <c r="E32" s="46" t="str">
        <f>IF($J32="","",IF(ISBLANK(INDEX('Product Backlog'!$E$5:$E$504,$J32)),"",INDEX('Product Backlog'!$E$5:$E$504,$J32)))</f>
        <v/>
      </c>
      <c r="F32" s="47" t="str">
        <f>IF($J32="","",IF(ISBLANK(INDEX('Product Backlog'!$F$5:$F$504,$J32)),"",INDEX('Product Backlog'!$F$5:$F$504,$J32)))</f>
        <v/>
      </c>
      <c r="G32" s="47" t="str">
        <f>IF($J32="","",IF(ISBLANK(INDEX('Product Backlog'!$G$5:$G$504,$J32)),"",INDEX('Product Backlog'!$G$5:$G$504,$J32)))</f>
        <v/>
      </c>
      <c r="H32" s="48" t="str">
        <f>IF($J32="","",IF(ISBLANK(INDEX('Product Backlog'!$H$5:$H$504,$J32)),"",INDEX('Product Backlog'!$H$5:$H$504,$J32)))</f>
        <v/>
      </c>
      <c r="I32" s="48" t="str">
        <f>IF($J32="","",IF(ISBLANK(INDEX('Product Backlog'!$I$5:$I$504,$J32)),"",INDEX('Product Backlog'!$I$5:$I$504,$J32)))</f>
        <v/>
      </c>
      <c r="J32" t="str">
        <f>IFERROR(MATCH($B$4&amp;"-"&amp;ROWS($A$10:A32),'Product Backlog'!$J$5:$J$504,0),"")</f>
        <v/>
      </c>
    </row>
    <row r="33" spans="1:10" ht="21" customHeight="1" x14ac:dyDescent="0.2">
      <c r="A33" s="46" t="str">
        <f>IF($J33="","",IF(ISBLANK(INDEX('Product Backlog'!$A$5:$A$504,$J33)),"",INDEX('Product Backlog'!$A$5:$A$504,$J33)))</f>
        <v/>
      </c>
      <c r="B33" s="46" t="str">
        <f>IF($J33="","",IF(ISBLANK(INDEX('Product Backlog'!$B$5:$B$504,$J33)),"",INDEX('Product Backlog'!$B$5:$B$504,$J33)))</f>
        <v/>
      </c>
      <c r="C33" s="46" t="str">
        <f>IF($J33="","",IF(ISBLANK(INDEX('Product Backlog'!$C$5:$C$504,$J33)),"",INDEX('Product Backlog'!$C$5:$C$504,$J33)))</f>
        <v/>
      </c>
      <c r="D33" s="46" t="str">
        <f>IF($J33="","",IF(ISBLANK(INDEX('Product Backlog'!$D$5:$D$504,$J33)),"",INDEX('Product Backlog'!$D$5:$D$504,$J33)))</f>
        <v/>
      </c>
      <c r="E33" s="46" t="str">
        <f>IF($J33="","",IF(ISBLANK(INDEX('Product Backlog'!$E$5:$E$504,$J33)),"",INDEX('Product Backlog'!$E$5:$E$504,$J33)))</f>
        <v/>
      </c>
      <c r="F33" s="47" t="str">
        <f>IF($J33="","",IF(ISBLANK(INDEX('Product Backlog'!$F$5:$F$504,$J33)),"",INDEX('Product Backlog'!$F$5:$F$504,$J33)))</f>
        <v/>
      </c>
      <c r="G33" s="47" t="str">
        <f>IF($J33="","",IF(ISBLANK(INDEX('Product Backlog'!$G$5:$G$504,$J33)),"",INDEX('Product Backlog'!$G$5:$G$504,$J33)))</f>
        <v/>
      </c>
      <c r="H33" s="48" t="str">
        <f>IF($J33="","",IF(ISBLANK(INDEX('Product Backlog'!$H$5:$H$504,$J33)),"",INDEX('Product Backlog'!$H$5:$H$504,$J33)))</f>
        <v/>
      </c>
      <c r="I33" s="48" t="str">
        <f>IF($J33="","",IF(ISBLANK(INDEX('Product Backlog'!$I$5:$I$504,$J33)),"",INDEX('Product Backlog'!$I$5:$I$504,$J33)))</f>
        <v/>
      </c>
      <c r="J33" t="str">
        <f>IFERROR(MATCH($B$4&amp;"-"&amp;ROWS($A$10:A33),'Product Backlog'!$J$5:$J$504,0),"")</f>
        <v/>
      </c>
    </row>
    <row r="34" spans="1:10" ht="21" customHeight="1" x14ac:dyDescent="0.2">
      <c r="A34" s="46" t="str">
        <f>IF($J34="","",IF(ISBLANK(INDEX('Product Backlog'!$A$5:$A$504,$J34)),"",INDEX('Product Backlog'!$A$5:$A$504,$J34)))</f>
        <v/>
      </c>
      <c r="B34" s="46" t="str">
        <f>IF($J34="","",IF(ISBLANK(INDEX('Product Backlog'!$B$5:$B$504,$J34)),"",INDEX('Product Backlog'!$B$5:$B$504,$J34)))</f>
        <v/>
      </c>
      <c r="C34" s="46" t="str">
        <f>IF($J34="","",IF(ISBLANK(INDEX('Product Backlog'!$C$5:$C$504,$J34)),"",INDEX('Product Backlog'!$C$5:$C$504,$J34)))</f>
        <v/>
      </c>
      <c r="D34" s="46" t="str">
        <f>IF($J34="","",IF(ISBLANK(INDEX('Product Backlog'!$D$5:$D$504,$J34)),"",INDEX('Product Backlog'!$D$5:$D$504,$J34)))</f>
        <v/>
      </c>
      <c r="E34" s="46" t="str">
        <f>IF($J34="","",IF(ISBLANK(INDEX('Product Backlog'!$E$5:$E$504,$J34)),"",INDEX('Product Backlog'!$E$5:$E$504,$J34)))</f>
        <v/>
      </c>
      <c r="F34" s="47" t="str">
        <f>IF($J34="","",IF(ISBLANK(INDEX('Product Backlog'!$F$5:$F$504,$J34)),"",INDEX('Product Backlog'!$F$5:$F$504,$J34)))</f>
        <v/>
      </c>
      <c r="G34" s="47" t="str">
        <f>IF($J34="","",IF(ISBLANK(INDEX('Product Backlog'!$G$5:$G$504,$J34)),"",INDEX('Product Backlog'!$G$5:$G$504,$J34)))</f>
        <v/>
      </c>
      <c r="H34" s="48" t="str">
        <f>IF($J34="","",IF(ISBLANK(INDEX('Product Backlog'!$H$5:$H$504,$J34)),"",INDEX('Product Backlog'!$H$5:$H$504,$J34)))</f>
        <v/>
      </c>
      <c r="I34" s="48" t="str">
        <f>IF($J34="","",IF(ISBLANK(INDEX('Product Backlog'!$I$5:$I$504,$J34)),"",INDEX('Product Backlog'!$I$5:$I$504,$J34)))</f>
        <v/>
      </c>
      <c r="J34" t="str">
        <f>IFERROR(MATCH($B$4&amp;"-"&amp;ROWS($A$10:A34),'Product Backlog'!$J$5:$J$504,0),"")</f>
        <v/>
      </c>
    </row>
    <row r="35" spans="1:10" ht="21" customHeight="1" x14ac:dyDescent="0.2">
      <c r="A35" s="46" t="str">
        <f>IF($J35="","",IF(ISBLANK(INDEX('Product Backlog'!$A$5:$A$504,$J35)),"",INDEX('Product Backlog'!$A$5:$A$504,$J35)))</f>
        <v/>
      </c>
      <c r="B35" s="46" t="str">
        <f>IF($J35="","",IF(ISBLANK(INDEX('Product Backlog'!$B$5:$B$504,$J35)),"",INDEX('Product Backlog'!$B$5:$B$504,$J35)))</f>
        <v/>
      </c>
      <c r="C35" s="46" t="str">
        <f>IF($J35="","",IF(ISBLANK(INDEX('Product Backlog'!$C$5:$C$504,$J35)),"",INDEX('Product Backlog'!$C$5:$C$504,$J35)))</f>
        <v/>
      </c>
      <c r="D35" s="46" t="str">
        <f>IF($J35="","",IF(ISBLANK(INDEX('Product Backlog'!$D$5:$D$504,$J35)),"",INDEX('Product Backlog'!$D$5:$D$504,$J35)))</f>
        <v/>
      </c>
      <c r="E35" s="46" t="str">
        <f>IF($J35="","",IF(ISBLANK(INDEX('Product Backlog'!$E$5:$E$504,$J35)),"",INDEX('Product Backlog'!$E$5:$E$504,$J35)))</f>
        <v/>
      </c>
      <c r="F35" s="47" t="str">
        <f>IF($J35="","",IF(ISBLANK(INDEX('Product Backlog'!$F$5:$F$504,$J35)),"",INDEX('Product Backlog'!$F$5:$F$504,$J35)))</f>
        <v/>
      </c>
      <c r="G35" s="47" t="str">
        <f>IF($J35="","",IF(ISBLANK(INDEX('Product Backlog'!$G$5:$G$504,$J35)),"",INDEX('Product Backlog'!$G$5:$G$504,$J35)))</f>
        <v/>
      </c>
      <c r="H35" s="48" t="str">
        <f>IF($J35="","",IF(ISBLANK(INDEX('Product Backlog'!$H$5:$H$504,$J35)),"",INDEX('Product Backlog'!$H$5:$H$504,$J35)))</f>
        <v/>
      </c>
      <c r="I35" s="48" t="str">
        <f>IF($J35="","",IF(ISBLANK(INDEX('Product Backlog'!$I$5:$I$504,$J35)),"",INDEX('Product Backlog'!$I$5:$I$504,$J35)))</f>
        <v/>
      </c>
      <c r="J35" t="str">
        <f>IFERROR(MATCH($B$4&amp;"-"&amp;ROWS($A$10:A35),'Product Backlog'!$J$5:$J$504,0),"")</f>
        <v/>
      </c>
    </row>
    <row r="36" spans="1:10" ht="21" customHeight="1" x14ac:dyDescent="0.2">
      <c r="A36" s="46" t="str">
        <f>IF($J36="","",IF(ISBLANK(INDEX('Product Backlog'!$A$5:$A$504,$J36)),"",INDEX('Product Backlog'!$A$5:$A$504,$J36)))</f>
        <v/>
      </c>
      <c r="B36" s="46" t="str">
        <f>IF($J36="","",IF(ISBLANK(INDEX('Product Backlog'!$B$5:$B$504,$J36)),"",INDEX('Product Backlog'!$B$5:$B$504,$J36)))</f>
        <v/>
      </c>
      <c r="C36" s="46" t="str">
        <f>IF($J36="","",IF(ISBLANK(INDEX('Product Backlog'!$C$5:$C$504,$J36)),"",INDEX('Product Backlog'!$C$5:$C$504,$J36)))</f>
        <v/>
      </c>
      <c r="D36" s="46" t="str">
        <f>IF($J36="","",IF(ISBLANK(INDEX('Product Backlog'!$D$5:$D$504,$J36)),"",INDEX('Product Backlog'!$D$5:$D$504,$J36)))</f>
        <v/>
      </c>
      <c r="E36" s="46" t="str">
        <f>IF($J36="","",IF(ISBLANK(INDEX('Product Backlog'!$E$5:$E$504,$J36)),"",INDEX('Product Backlog'!$E$5:$E$504,$J36)))</f>
        <v/>
      </c>
      <c r="F36" s="47" t="str">
        <f>IF($J36="","",IF(ISBLANK(INDEX('Product Backlog'!$F$5:$F$504,$J36)),"",INDEX('Product Backlog'!$F$5:$F$504,$J36)))</f>
        <v/>
      </c>
      <c r="G36" s="47" t="str">
        <f>IF($J36="","",IF(ISBLANK(INDEX('Product Backlog'!$G$5:$G$504,$J36)),"",INDEX('Product Backlog'!$G$5:$G$504,$J36)))</f>
        <v/>
      </c>
      <c r="H36" s="48" t="str">
        <f>IF($J36="","",IF(ISBLANK(INDEX('Product Backlog'!$H$5:$H$504,$J36)),"",INDEX('Product Backlog'!$H$5:$H$504,$J36)))</f>
        <v/>
      </c>
      <c r="I36" s="48" t="str">
        <f>IF($J36="","",IF(ISBLANK(INDEX('Product Backlog'!$I$5:$I$504,$J36)),"",INDEX('Product Backlog'!$I$5:$I$504,$J36)))</f>
        <v/>
      </c>
      <c r="J36" t="str">
        <f>IFERROR(MATCH($B$4&amp;"-"&amp;ROWS($A$10:A36),'Product Backlog'!$J$5:$J$504,0),"")</f>
        <v/>
      </c>
    </row>
    <row r="37" spans="1:10" ht="21" customHeight="1" x14ac:dyDescent="0.2">
      <c r="A37" s="46" t="str">
        <f>IF($J37="","",IF(ISBLANK(INDEX('Product Backlog'!$A$5:$A$504,$J37)),"",INDEX('Product Backlog'!$A$5:$A$504,$J37)))</f>
        <v/>
      </c>
      <c r="B37" s="46" t="str">
        <f>IF($J37="","",IF(ISBLANK(INDEX('Product Backlog'!$B$5:$B$504,$J37)),"",INDEX('Product Backlog'!$B$5:$B$504,$J37)))</f>
        <v/>
      </c>
      <c r="C37" s="46" t="str">
        <f>IF($J37="","",IF(ISBLANK(INDEX('Product Backlog'!$C$5:$C$504,$J37)),"",INDEX('Product Backlog'!$C$5:$C$504,$J37)))</f>
        <v/>
      </c>
      <c r="D37" s="46" t="str">
        <f>IF($J37="","",IF(ISBLANK(INDEX('Product Backlog'!$D$5:$D$504,$J37)),"",INDEX('Product Backlog'!$D$5:$D$504,$J37)))</f>
        <v/>
      </c>
      <c r="E37" s="46" t="str">
        <f>IF($J37="","",IF(ISBLANK(INDEX('Product Backlog'!$E$5:$E$504,$J37)),"",INDEX('Product Backlog'!$E$5:$E$504,$J37)))</f>
        <v/>
      </c>
      <c r="F37" s="47" t="str">
        <f>IF($J37="","",IF(ISBLANK(INDEX('Product Backlog'!$F$5:$F$504,$J37)),"",INDEX('Product Backlog'!$F$5:$F$504,$J37)))</f>
        <v/>
      </c>
      <c r="G37" s="47" t="str">
        <f>IF($J37="","",IF(ISBLANK(INDEX('Product Backlog'!$G$5:$G$504,$J37)),"",INDEX('Product Backlog'!$G$5:$G$504,$J37)))</f>
        <v/>
      </c>
      <c r="H37" s="48" t="str">
        <f>IF($J37="","",IF(ISBLANK(INDEX('Product Backlog'!$H$5:$H$504,$J37)),"",INDEX('Product Backlog'!$H$5:$H$504,$J37)))</f>
        <v/>
      </c>
      <c r="I37" s="48" t="str">
        <f>IF($J37="","",IF(ISBLANK(INDEX('Product Backlog'!$I$5:$I$504,$J37)),"",INDEX('Product Backlog'!$I$5:$I$504,$J37)))</f>
        <v/>
      </c>
      <c r="J37" t="str">
        <f>IFERROR(MATCH($B$4&amp;"-"&amp;ROWS($A$10:A37),'Product Backlog'!$J$5:$J$504,0),"")</f>
        <v/>
      </c>
    </row>
    <row r="38" spans="1:10" ht="21" customHeight="1" x14ac:dyDescent="0.2">
      <c r="A38" s="46" t="str">
        <f>IF($J38="","",IF(ISBLANK(INDEX('Product Backlog'!$A$5:$A$504,$J38)),"",INDEX('Product Backlog'!$A$5:$A$504,$J38)))</f>
        <v/>
      </c>
      <c r="B38" s="46" t="str">
        <f>IF($J38="","",IF(ISBLANK(INDEX('Product Backlog'!$B$5:$B$504,$J38)),"",INDEX('Product Backlog'!$B$5:$B$504,$J38)))</f>
        <v/>
      </c>
      <c r="C38" s="46" t="str">
        <f>IF($J38="","",IF(ISBLANK(INDEX('Product Backlog'!$C$5:$C$504,$J38)),"",INDEX('Product Backlog'!$C$5:$C$504,$J38)))</f>
        <v/>
      </c>
      <c r="D38" s="46" t="str">
        <f>IF($J38="","",IF(ISBLANK(INDEX('Product Backlog'!$D$5:$D$504,$J38)),"",INDEX('Product Backlog'!$D$5:$D$504,$J38)))</f>
        <v/>
      </c>
      <c r="E38" s="46" t="str">
        <f>IF($J38="","",IF(ISBLANK(INDEX('Product Backlog'!$E$5:$E$504,$J38)),"",INDEX('Product Backlog'!$E$5:$E$504,$J38)))</f>
        <v/>
      </c>
      <c r="F38" s="47" t="str">
        <f>IF($J38="","",IF(ISBLANK(INDEX('Product Backlog'!$F$5:$F$504,$J38)),"",INDEX('Product Backlog'!$F$5:$F$504,$J38)))</f>
        <v/>
      </c>
      <c r="G38" s="47" t="str">
        <f>IF($J38="","",IF(ISBLANK(INDEX('Product Backlog'!$G$5:$G$504,$J38)),"",INDEX('Product Backlog'!$G$5:$G$504,$J38)))</f>
        <v/>
      </c>
      <c r="H38" s="48" t="str">
        <f>IF($J38="","",IF(ISBLANK(INDEX('Product Backlog'!$H$5:$H$504,$J38)),"",INDEX('Product Backlog'!$H$5:$H$504,$J38)))</f>
        <v/>
      </c>
      <c r="I38" s="48" t="str">
        <f>IF($J38="","",IF(ISBLANK(INDEX('Product Backlog'!$I$5:$I$504,$J38)),"",INDEX('Product Backlog'!$I$5:$I$504,$J38)))</f>
        <v/>
      </c>
      <c r="J38" t="str">
        <f>IFERROR(MATCH($B$4&amp;"-"&amp;ROWS($A$10:A38),'Product Backlog'!$J$5:$J$504,0),"")</f>
        <v/>
      </c>
    </row>
    <row r="39" spans="1:10" ht="21" customHeight="1" x14ac:dyDescent="0.2">
      <c r="A39" s="46" t="str">
        <f>IF($J39="","",IF(ISBLANK(INDEX('Product Backlog'!$A$5:$A$504,$J39)),"",INDEX('Product Backlog'!$A$5:$A$504,$J39)))</f>
        <v/>
      </c>
      <c r="B39" s="46" t="str">
        <f>IF($J39="","",IF(ISBLANK(INDEX('Product Backlog'!$B$5:$B$504,$J39)),"",INDEX('Product Backlog'!$B$5:$B$504,$J39)))</f>
        <v/>
      </c>
      <c r="C39" s="46" t="str">
        <f>IF($J39="","",IF(ISBLANK(INDEX('Product Backlog'!$C$5:$C$504,$J39)),"",INDEX('Product Backlog'!$C$5:$C$504,$J39)))</f>
        <v/>
      </c>
      <c r="D39" s="46" t="str">
        <f>IF($J39="","",IF(ISBLANK(INDEX('Product Backlog'!$D$5:$D$504,$J39)),"",INDEX('Product Backlog'!$D$5:$D$504,$J39)))</f>
        <v/>
      </c>
      <c r="E39" s="46" t="str">
        <f>IF($J39="","",IF(ISBLANK(INDEX('Product Backlog'!$E$5:$E$504,$J39)),"",INDEX('Product Backlog'!$E$5:$E$504,$J39)))</f>
        <v/>
      </c>
      <c r="F39" s="47" t="str">
        <f>IF($J39="","",IF(ISBLANK(INDEX('Product Backlog'!$F$5:$F$504,$J39)),"",INDEX('Product Backlog'!$F$5:$F$504,$J39)))</f>
        <v/>
      </c>
      <c r="G39" s="47" t="str">
        <f>IF($J39="","",IF(ISBLANK(INDEX('Product Backlog'!$G$5:$G$504,$J39)),"",INDEX('Product Backlog'!$G$5:$G$504,$J39)))</f>
        <v/>
      </c>
      <c r="H39" s="48" t="str">
        <f>IF($J39="","",IF(ISBLANK(INDEX('Product Backlog'!$H$5:$H$504,$J39)),"",INDEX('Product Backlog'!$H$5:$H$504,$J39)))</f>
        <v/>
      </c>
      <c r="I39" s="48" t="str">
        <f>IF($J39="","",IF(ISBLANK(INDEX('Product Backlog'!$I$5:$I$504,$J39)),"",INDEX('Product Backlog'!$I$5:$I$504,$J39)))</f>
        <v/>
      </c>
      <c r="J39" t="str">
        <f>IFERROR(MATCH($B$4&amp;"-"&amp;ROWS($A$10:A39),'Product Backlog'!$J$5:$J$504,0),"")</f>
        <v/>
      </c>
    </row>
    <row r="40" spans="1:10" ht="21" customHeight="1" x14ac:dyDescent="0.2">
      <c r="A40" s="46" t="str">
        <f>IF($J40="","",IF(ISBLANK(INDEX('Product Backlog'!$A$5:$A$504,$J40)),"",INDEX('Product Backlog'!$A$5:$A$504,$J40)))</f>
        <v/>
      </c>
      <c r="B40" s="46" t="str">
        <f>IF($J40="","",IF(ISBLANK(INDEX('Product Backlog'!$B$5:$B$504,$J40)),"",INDEX('Product Backlog'!$B$5:$B$504,$J40)))</f>
        <v/>
      </c>
      <c r="C40" s="46" t="str">
        <f>IF($J40="","",IF(ISBLANK(INDEX('Product Backlog'!$C$5:$C$504,$J40)),"",INDEX('Product Backlog'!$C$5:$C$504,$J40)))</f>
        <v/>
      </c>
      <c r="D40" s="46" t="str">
        <f>IF($J40="","",IF(ISBLANK(INDEX('Product Backlog'!$D$5:$D$504,$J40)),"",INDEX('Product Backlog'!$D$5:$D$504,$J40)))</f>
        <v/>
      </c>
      <c r="E40" s="46" t="str">
        <f>IF($J40="","",IF(ISBLANK(INDEX('Product Backlog'!$E$5:$E$504,$J40)),"",INDEX('Product Backlog'!$E$5:$E$504,$J40)))</f>
        <v/>
      </c>
      <c r="F40" s="47" t="str">
        <f>IF($J40="","",IF(ISBLANK(INDEX('Product Backlog'!$F$5:$F$504,$J40)),"",INDEX('Product Backlog'!$F$5:$F$504,$J40)))</f>
        <v/>
      </c>
      <c r="G40" s="47" t="str">
        <f>IF($J40="","",IF(ISBLANK(INDEX('Product Backlog'!$G$5:$G$504,$J40)),"",INDEX('Product Backlog'!$G$5:$G$504,$J40)))</f>
        <v/>
      </c>
      <c r="H40" s="48" t="str">
        <f>IF($J40="","",IF(ISBLANK(INDEX('Product Backlog'!$H$5:$H$504,$J40)),"",INDEX('Product Backlog'!$H$5:$H$504,$J40)))</f>
        <v/>
      </c>
      <c r="I40" s="48" t="str">
        <f>IF($J40="","",IF(ISBLANK(INDEX('Product Backlog'!$I$5:$I$504,$J40)),"",INDEX('Product Backlog'!$I$5:$I$504,$J40)))</f>
        <v/>
      </c>
      <c r="J40" t="str">
        <f>IFERROR(MATCH($B$4&amp;"-"&amp;ROWS($A$10:A40),'Product Backlog'!$J$5:$J$504,0),"")</f>
        <v/>
      </c>
    </row>
    <row r="41" spans="1:10" ht="21" customHeight="1" x14ac:dyDescent="0.2">
      <c r="A41" s="46" t="str">
        <f>IF($J41="","",IF(ISBLANK(INDEX('Product Backlog'!$A$5:$A$504,$J41)),"",INDEX('Product Backlog'!$A$5:$A$504,$J41)))</f>
        <v/>
      </c>
      <c r="B41" s="46" t="str">
        <f>IF($J41="","",IF(ISBLANK(INDEX('Product Backlog'!$B$5:$B$504,$J41)),"",INDEX('Product Backlog'!$B$5:$B$504,$J41)))</f>
        <v/>
      </c>
      <c r="C41" s="46" t="str">
        <f>IF($J41="","",IF(ISBLANK(INDEX('Product Backlog'!$C$5:$C$504,$J41)),"",INDEX('Product Backlog'!$C$5:$C$504,$J41)))</f>
        <v/>
      </c>
      <c r="D41" s="46" t="str">
        <f>IF($J41="","",IF(ISBLANK(INDEX('Product Backlog'!$D$5:$D$504,$J41)),"",INDEX('Product Backlog'!$D$5:$D$504,$J41)))</f>
        <v/>
      </c>
      <c r="E41" s="46" t="str">
        <f>IF($J41="","",IF(ISBLANK(INDEX('Product Backlog'!$E$5:$E$504,$J41)),"",INDEX('Product Backlog'!$E$5:$E$504,$J41)))</f>
        <v/>
      </c>
      <c r="F41" s="47" t="str">
        <f>IF($J41="","",IF(ISBLANK(INDEX('Product Backlog'!$F$5:$F$504,$J41)),"",INDEX('Product Backlog'!$F$5:$F$504,$J41)))</f>
        <v/>
      </c>
      <c r="G41" s="47" t="str">
        <f>IF($J41="","",IF(ISBLANK(INDEX('Product Backlog'!$G$5:$G$504,$J41)),"",INDEX('Product Backlog'!$G$5:$G$504,$J41)))</f>
        <v/>
      </c>
      <c r="H41" s="48" t="str">
        <f>IF($J41="","",IF(ISBLANK(INDEX('Product Backlog'!$H$5:$H$504,$J41)),"",INDEX('Product Backlog'!$H$5:$H$504,$J41)))</f>
        <v/>
      </c>
      <c r="I41" s="48" t="str">
        <f>IF($J41="","",IF(ISBLANK(INDEX('Product Backlog'!$I$5:$I$504,$J41)),"",INDEX('Product Backlog'!$I$5:$I$504,$J41)))</f>
        <v/>
      </c>
      <c r="J41" t="str">
        <f>IFERROR(MATCH($B$4&amp;"-"&amp;ROWS($A$10:A41),'Product Backlog'!$J$5:$J$504,0),"")</f>
        <v/>
      </c>
    </row>
    <row r="42" spans="1:10" ht="21" customHeight="1" x14ac:dyDescent="0.2">
      <c r="A42" s="46" t="str">
        <f>IF($J42="","",IF(ISBLANK(INDEX('Product Backlog'!$A$5:$A$504,$J42)),"",INDEX('Product Backlog'!$A$5:$A$504,$J42)))</f>
        <v/>
      </c>
      <c r="B42" s="46" t="str">
        <f>IF($J42="","",IF(ISBLANK(INDEX('Product Backlog'!$B$5:$B$504,$J42)),"",INDEX('Product Backlog'!$B$5:$B$504,$J42)))</f>
        <v/>
      </c>
      <c r="C42" s="46" t="str">
        <f>IF($J42="","",IF(ISBLANK(INDEX('Product Backlog'!$C$5:$C$504,$J42)),"",INDEX('Product Backlog'!$C$5:$C$504,$J42)))</f>
        <v/>
      </c>
      <c r="D42" s="46" t="str">
        <f>IF($J42="","",IF(ISBLANK(INDEX('Product Backlog'!$D$5:$D$504,$J42)),"",INDEX('Product Backlog'!$D$5:$D$504,$J42)))</f>
        <v/>
      </c>
      <c r="E42" s="46" t="str">
        <f>IF($J42="","",IF(ISBLANK(INDEX('Product Backlog'!$E$5:$E$504,$J42)),"",INDEX('Product Backlog'!$E$5:$E$504,$J42)))</f>
        <v/>
      </c>
      <c r="F42" s="47" t="str">
        <f>IF($J42="","",IF(ISBLANK(INDEX('Product Backlog'!$F$5:$F$504,$J42)),"",INDEX('Product Backlog'!$F$5:$F$504,$J42)))</f>
        <v/>
      </c>
      <c r="G42" s="47" t="str">
        <f>IF($J42="","",IF(ISBLANK(INDEX('Product Backlog'!$G$5:$G$504,$J42)),"",INDEX('Product Backlog'!$G$5:$G$504,$J42)))</f>
        <v/>
      </c>
      <c r="H42" s="48" t="str">
        <f>IF($J42="","",IF(ISBLANK(INDEX('Product Backlog'!$H$5:$H$504,$J42)),"",INDEX('Product Backlog'!$H$5:$H$504,$J42)))</f>
        <v/>
      </c>
      <c r="I42" s="48" t="str">
        <f>IF($J42="","",IF(ISBLANK(INDEX('Product Backlog'!$I$5:$I$504,$J42)),"",INDEX('Product Backlog'!$I$5:$I$504,$J42)))</f>
        <v/>
      </c>
      <c r="J42" t="str">
        <f>IFERROR(MATCH($B$4&amp;"-"&amp;ROWS($A$10:A42),'Product Backlog'!$J$5:$J$504,0),"")</f>
        <v/>
      </c>
    </row>
    <row r="43" spans="1:10" ht="21" customHeight="1" x14ac:dyDescent="0.2">
      <c r="A43" s="46" t="str">
        <f>IF($J43="","",IF(ISBLANK(INDEX('Product Backlog'!$A$5:$A$504,$J43)),"",INDEX('Product Backlog'!$A$5:$A$504,$J43)))</f>
        <v/>
      </c>
      <c r="B43" s="46" t="str">
        <f>IF($J43="","",IF(ISBLANK(INDEX('Product Backlog'!$B$5:$B$504,$J43)),"",INDEX('Product Backlog'!$B$5:$B$504,$J43)))</f>
        <v/>
      </c>
      <c r="C43" s="46" t="str">
        <f>IF($J43="","",IF(ISBLANK(INDEX('Product Backlog'!$C$5:$C$504,$J43)),"",INDEX('Product Backlog'!$C$5:$C$504,$J43)))</f>
        <v/>
      </c>
      <c r="D43" s="46" t="str">
        <f>IF($J43="","",IF(ISBLANK(INDEX('Product Backlog'!$D$5:$D$504,$J43)),"",INDEX('Product Backlog'!$D$5:$D$504,$J43)))</f>
        <v/>
      </c>
      <c r="E43" s="46" t="str">
        <f>IF($J43="","",IF(ISBLANK(INDEX('Product Backlog'!$E$5:$E$504,$J43)),"",INDEX('Product Backlog'!$E$5:$E$504,$J43)))</f>
        <v/>
      </c>
      <c r="F43" s="47" t="str">
        <f>IF($J43="","",IF(ISBLANK(INDEX('Product Backlog'!$F$5:$F$504,$J43)),"",INDEX('Product Backlog'!$F$5:$F$504,$J43)))</f>
        <v/>
      </c>
      <c r="G43" s="47" t="str">
        <f>IF($J43="","",IF(ISBLANK(INDEX('Product Backlog'!$G$5:$G$504,$J43)),"",INDEX('Product Backlog'!$G$5:$G$504,$J43)))</f>
        <v/>
      </c>
      <c r="H43" s="48" t="str">
        <f>IF($J43="","",IF(ISBLANK(INDEX('Product Backlog'!$H$5:$H$504,$J43)),"",INDEX('Product Backlog'!$H$5:$H$504,$J43)))</f>
        <v/>
      </c>
      <c r="I43" s="48" t="str">
        <f>IF($J43="","",IF(ISBLANK(INDEX('Product Backlog'!$I$5:$I$504,$J43)),"",INDEX('Product Backlog'!$I$5:$I$504,$J43)))</f>
        <v/>
      </c>
      <c r="J43" t="str">
        <f>IFERROR(MATCH($B$4&amp;"-"&amp;ROWS($A$10:A43),'Product Backlog'!$J$5:$J$504,0),"")</f>
        <v/>
      </c>
    </row>
    <row r="44" spans="1:10" ht="21" customHeight="1" x14ac:dyDescent="0.2">
      <c r="A44" s="46" t="str">
        <f>IF($J44="","",IF(ISBLANK(INDEX('Product Backlog'!$A$5:$A$504,$J44)),"",INDEX('Product Backlog'!$A$5:$A$504,$J44)))</f>
        <v/>
      </c>
      <c r="B44" s="46" t="str">
        <f>IF($J44="","",IF(ISBLANK(INDEX('Product Backlog'!$B$5:$B$504,$J44)),"",INDEX('Product Backlog'!$B$5:$B$504,$J44)))</f>
        <v/>
      </c>
      <c r="C44" s="46" t="str">
        <f>IF($J44="","",IF(ISBLANK(INDEX('Product Backlog'!$C$5:$C$504,$J44)),"",INDEX('Product Backlog'!$C$5:$C$504,$J44)))</f>
        <v/>
      </c>
      <c r="D44" s="46" t="str">
        <f>IF($J44="","",IF(ISBLANK(INDEX('Product Backlog'!$D$5:$D$504,$J44)),"",INDEX('Product Backlog'!$D$5:$D$504,$J44)))</f>
        <v/>
      </c>
      <c r="E44" s="46" t="str">
        <f>IF($J44="","",IF(ISBLANK(INDEX('Product Backlog'!$E$5:$E$504,$J44)),"",INDEX('Product Backlog'!$E$5:$E$504,$J44)))</f>
        <v/>
      </c>
      <c r="F44" s="47" t="str">
        <f>IF($J44="","",IF(ISBLANK(INDEX('Product Backlog'!$F$5:$F$504,$J44)),"",INDEX('Product Backlog'!$F$5:$F$504,$J44)))</f>
        <v/>
      </c>
      <c r="G44" s="47" t="str">
        <f>IF($J44="","",IF(ISBLANK(INDEX('Product Backlog'!$G$5:$G$504,$J44)),"",INDEX('Product Backlog'!$G$5:$G$504,$J44)))</f>
        <v/>
      </c>
      <c r="H44" s="48" t="str">
        <f>IF($J44="","",IF(ISBLANK(INDEX('Product Backlog'!$H$5:$H$504,$J44)),"",INDEX('Product Backlog'!$H$5:$H$504,$J44)))</f>
        <v/>
      </c>
      <c r="I44" s="48" t="str">
        <f>IF($J44="","",IF(ISBLANK(INDEX('Product Backlog'!$I$5:$I$504,$J44)),"",INDEX('Product Backlog'!$I$5:$I$504,$J44)))</f>
        <v/>
      </c>
      <c r="J44" t="str">
        <f>IFERROR(MATCH($B$4&amp;"-"&amp;ROWS($A$10:A44),'Product Backlog'!$J$5:$J$504,0),"")</f>
        <v/>
      </c>
    </row>
    <row r="45" spans="1:10" ht="21" customHeight="1" x14ac:dyDescent="0.2">
      <c r="A45" s="46" t="str">
        <f>IF($J45="","",IF(ISBLANK(INDEX('Product Backlog'!$A$5:$A$504,$J45)),"",INDEX('Product Backlog'!$A$5:$A$504,$J45)))</f>
        <v/>
      </c>
      <c r="B45" s="46" t="str">
        <f>IF($J45="","",IF(ISBLANK(INDEX('Product Backlog'!$B$5:$B$504,$J45)),"",INDEX('Product Backlog'!$B$5:$B$504,$J45)))</f>
        <v/>
      </c>
      <c r="C45" s="46" t="str">
        <f>IF($J45="","",IF(ISBLANK(INDEX('Product Backlog'!$C$5:$C$504,$J45)),"",INDEX('Product Backlog'!$C$5:$C$504,$J45)))</f>
        <v/>
      </c>
      <c r="D45" s="46" t="str">
        <f>IF($J45="","",IF(ISBLANK(INDEX('Product Backlog'!$D$5:$D$504,$J45)),"",INDEX('Product Backlog'!$D$5:$D$504,$J45)))</f>
        <v/>
      </c>
      <c r="E45" s="46" t="str">
        <f>IF($J45="","",IF(ISBLANK(INDEX('Product Backlog'!$E$5:$E$504,$J45)),"",INDEX('Product Backlog'!$E$5:$E$504,$J45)))</f>
        <v/>
      </c>
      <c r="F45" s="47" t="str">
        <f>IF($J45="","",IF(ISBLANK(INDEX('Product Backlog'!$F$5:$F$504,$J45)),"",INDEX('Product Backlog'!$F$5:$F$504,$J45)))</f>
        <v/>
      </c>
      <c r="G45" s="47" t="str">
        <f>IF($J45="","",IF(ISBLANK(INDEX('Product Backlog'!$G$5:$G$504,$J45)),"",INDEX('Product Backlog'!$G$5:$G$504,$J45)))</f>
        <v/>
      </c>
      <c r="H45" s="48" t="str">
        <f>IF($J45="","",IF(ISBLANK(INDEX('Product Backlog'!$H$5:$H$504,$J45)),"",INDEX('Product Backlog'!$H$5:$H$504,$J45)))</f>
        <v/>
      </c>
      <c r="I45" s="48" t="str">
        <f>IF($J45="","",IF(ISBLANK(INDEX('Product Backlog'!$I$5:$I$504,$J45)),"",INDEX('Product Backlog'!$I$5:$I$504,$J45)))</f>
        <v/>
      </c>
      <c r="J45" t="str">
        <f>IFERROR(MATCH($B$4&amp;"-"&amp;ROWS($A$10:A45),'Product Backlog'!$J$5:$J$504,0),"")</f>
        <v/>
      </c>
    </row>
    <row r="46" spans="1:10" ht="21" customHeight="1" x14ac:dyDescent="0.2">
      <c r="A46" s="46" t="str">
        <f>IF($J46="","",IF(ISBLANK(INDEX('Product Backlog'!$A$5:$A$504,$J46)),"",INDEX('Product Backlog'!$A$5:$A$504,$J46)))</f>
        <v/>
      </c>
      <c r="B46" s="46" t="str">
        <f>IF($J46="","",IF(ISBLANK(INDEX('Product Backlog'!$B$5:$B$504,$J46)),"",INDEX('Product Backlog'!$B$5:$B$504,$J46)))</f>
        <v/>
      </c>
      <c r="C46" s="46" t="str">
        <f>IF($J46="","",IF(ISBLANK(INDEX('Product Backlog'!$C$5:$C$504,$J46)),"",INDEX('Product Backlog'!$C$5:$C$504,$J46)))</f>
        <v/>
      </c>
      <c r="D46" s="46" t="str">
        <f>IF($J46="","",IF(ISBLANK(INDEX('Product Backlog'!$D$5:$D$504,$J46)),"",INDEX('Product Backlog'!$D$5:$D$504,$J46)))</f>
        <v/>
      </c>
      <c r="E46" s="46" t="str">
        <f>IF($J46="","",IF(ISBLANK(INDEX('Product Backlog'!$E$5:$E$504,$J46)),"",INDEX('Product Backlog'!$E$5:$E$504,$J46)))</f>
        <v/>
      </c>
      <c r="F46" s="47" t="str">
        <f>IF($J46="","",IF(ISBLANK(INDEX('Product Backlog'!$F$5:$F$504,$J46)),"",INDEX('Product Backlog'!$F$5:$F$504,$J46)))</f>
        <v/>
      </c>
      <c r="G46" s="47" t="str">
        <f>IF($J46="","",IF(ISBLANK(INDEX('Product Backlog'!$G$5:$G$504,$J46)),"",INDEX('Product Backlog'!$G$5:$G$504,$J46)))</f>
        <v/>
      </c>
      <c r="H46" s="48" t="str">
        <f>IF($J46="","",IF(ISBLANK(INDEX('Product Backlog'!$H$5:$H$504,$J46)),"",INDEX('Product Backlog'!$H$5:$H$504,$J46)))</f>
        <v/>
      </c>
      <c r="I46" s="48" t="str">
        <f>IF($J46="","",IF(ISBLANK(INDEX('Product Backlog'!$I$5:$I$504,$J46)),"",INDEX('Product Backlog'!$I$5:$I$504,$J46)))</f>
        <v/>
      </c>
      <c r="J46" t="str">
        <f>IFERROR(MATCH($B$4&amp;"-"&amp;ROWS($A$10:A46),'Product Backlog'!$J$5:$J$504,0),"")</f>
        <v/>
      </c>
    </row>
    <row r="47" spans="1:10" ht="21" customHeight="1" x14ac:dyDescent="0.2">
      <c r="A47" s="46" t="str">
        <f>IF($J47="","",IF(ISBLANK(INDEX('Product Backlog'!$A$5:$A$504,$J47)),"",INDEX('Product Backlog'!$A$5:$A$504,$J47)))</f>
        <v/>
      </c>
      <c r="B47" s="46" t="str">
        <f>IF($J47="","",IF(ISBLANK(INDEX('Product Backlog'!$B$5:$B$504,$J47)),"",INDEX('Product Backlog'!$B$5:$B$504,$J47)))</f>
        <v/>
      </c>
      <c r="C47" s="46" t="str">
        <f>IF($J47="","",IF(ISBLANK(INDEX('Product Backlog'!$C$5:$C$504,$J47)),"",INDEX('Product Backlog'!$C$5:$C$504,$J47)))</f>
        <v/>
      </c>
      <c r="D47" s="46" t="str">
        <f>IF($J47="","",IF(ISBLANK(INDEX('Product Backlog'!$D$5:$D$504,$J47)),"",INDEX('Product Backlog'!$D$5:$D$504,$J47)))</f>
        <v/>
      </c>
      <c r="E47" s="46" t="str">
        <f>IF($J47="","",IF(ISBLANK(INDEX('Product Backlog'!$E$5:$E$504,$J47)),"",INDEX('Product Backlog'!$E$5:$E$504,$J47)))</f>
        <v/>
      </c>
      <c r="F47" s="47" t="str">
        <f>IF($J47="","",IF(ISBLANK(INDEX('Product Backlog'!$F$5:$F$504,$J47)),"",INDEX('Product Backlog'!$F$5:$F$504,$J47)))</f>
        <v/>
      </c>
      <c r="G47" s="47" t="str">
        <f>IF($J47="","",IF(ISBLANK(INDEX('Product Backlog'!$G$5:$G$504,$J47)),"",INDEX('Product Backlog'!$G$5:$G$504,$J47)))</f>
        <v/>
      </c>
      <c r="H47" s="48" t="str">
        <f>IF($J47="","",IF(ISBLANK(INDEX('Product Backlog'!$H$5:$H$504,$J47)),"",INDEX('Product Backlog'!$H$5:$H$504,$J47)))</f>
        <v/>
      </c>
      <c r="I47" s="48" t="str">
        <f>IF($J47="","",IF(ISBLANK(INDEX('Product Backlog'!$I$5:$I$504,$J47)),"",INDEX('Product Backlog'!$I$5:$I$504,$J47)))</f>
        <v/>
      </c>
      <c r="J47" t="str">
        <f>IFERROR(MATCH($B$4&amp;"-"&amp;ROWS($A$10:A47),'Product Backlog'!$J$5:$J$504,0),"")</f>
        <v/>
      </c>
    </row>
    <row r="48" spans="1:10" ht="21" customHeight="1" x14ac:dyDescent="0.2">
      <c r="A48" s="46" t="str">
        <f>IF($J48="","",IF(ISBLANK(INDEX('Product Backlog'!$A$5:$A$504,$J48)),"",INDEX('Product Backlog'!$A$5:$A$504,$J48)))</f>
        <v/>
      </c>
      <c r="B48" s="46" t="str">
        <f>IF($J48="","",IF(ISBLANK(INDEX('Product Backlog'!$B$5:$B$504,$J48)),"",INDEX('Product Backlog'!$B$5:$B$504,$J48)))</f>
        <v/>
      </c>
      <c r="C48" s="46" t="str">
        <f>IF($J48="","",IF(ISBLANK(INDEX('Product Backlog'!$C$5:$C$504,$J48)),"",INDEX('Product Backlog'!$C$5:$C$504,$J48)))</f>
        <v/>
      </c>
      <c r="D48" s="46" t="str">
        <f>IF($J48="","",IF(ISBLANK(INDEX('Product Backlog'!$D$5:$D$504,$J48)),"",INDEX('Product Backlog'!$D$5:$D$504,$J48)))</f>
        <v/>
      </c>
      <c r="E48" s="46" t="str">
        <f>IF($J48="","",IF(ISBLANK(INDEX('Product Backlog'!$E$5:$E$504,$J48)),"",INDEX('Product Backlog'!$E$5:$E$504,$J48)))</f>
        <v/>
      </c>
      <c r="F48" s="47" t="str">
        <f>IF($J48="","",IF(ISBLANK(INDEX('Product Backlog'!$F$5:$F$504,$J48)),"",INDEX('Product Backlog'!$F$5:$F$504,$J48)))</f>
        <v/>
      </c>
      <c r="G48" s="47" t="str">
        <f>IF($J48="","",IF(ISBLANK(INDEX('Product Backlog'!$G$5:$G$504,$J48)),"",INDEX('Product Backlog'!$G$5:$G$504,$J48)))</f>
        <v/>
      </c>
      <c r="H48" s="48" t="str">
        <f>IF($J48="","",IF(ISBLANK(INDEX('Product Backlog'!$H$5:$H$504,$J48)),"",INDEX('Product Backlog'!$H$5:$H$504,$J48)))</f>
        <v/>
      </c>
      <c r="I48" s="48" t="str">
        <f>IF($J48="","",IF(ISBLANK(INDEX('Product Backlog'!$I$5:$I$504,$J48)),"",INDEX('Product Backlog'!$I$5:$I$504,$J48)))</f>
        <v/>
      </c>
      <c r="J48" t="str">
        <f>IFERROR(MATCH($B$4&amp;"-"&amp;ROWS($A$10:A48),'Product Backlog'!$J$5:$J$504,0),"")</f>
        <v/>
      </c>
    </row>
    <row r="49" spans="1:10" ht="21" customHeight="1" x14ac:dyDescent="0.2">
      <c r="A49" s="46" t="str">
        <f>IF($J49="","",IF(ISBLANK(INDEX('Product Backlog'!$A$5:$A$504,$J49)),"",INDEX('Product Backlog'!$A$5:$A$504,$J49)))</f>
        <v/>
      </c>
      <c r="B49" s="46" t="str">
        <f>IF($J49="","",IF(ISBLANK(INDEX('Product Backlog'!$B$5:$B$504,$J49)),"",INDEX('Product Backlog'!$B$5:$B$504,$J49)))</f>
        <v/>
      </c>
      <c r="C49" s="46" t="str">
        <f>IF($J49="","",IF(ISBLANK(INDEX('Product Backlog'!$C$5:$C$504,$J49)),"",INDEX('Product Backlog'!$C$5:$C$504,$J49)))</f>
        <v/>
      </c>
      <c r="D49" s="46" t="str">
        <f>IF($J49="","",IF(ISBLANK(INDEX('Product Backlog'!$D$5:$D$504,$J49)),"",INDEX('Product Backlog'!$D$5:$D$504,$J49)))</f>
        <v/>
      </c>
      <c r="E49" s="46" t="str">
        <f>IF($J49="","",IF(ISBLANK(INDEX('Product Backlog'!$E$5:$E$504,$J49)),"",INDEX('Product Backlog'!$E$5:$E$504,$J49)))</f>
        <v/>
      </c>
      <c r="F49" s="47" t="str">
        <f>IF($J49="","",IF(ISBLANK(INDEX('Product Backlog'!$F$5:$F$504,$J49)),"",INDEX('Product Backlog'!$F$5:$F$504,$J49)))</f>
        <v/>
      </c>
      <c r="G49" s="47" t="str">
        <f>IF($J49="","",IF(ISBLANK(INDEX('Product Backlog'!$G$5:$G$504,$J49)),"",INDEX('Product Backlog'!$G$5:$G$504,$J49)))</f>
        <v/>
      </c>
      <c r="H49" s="48" t="str">
        <f>IF($J49="","",IF(ISBLANK(INDEX('Product Backlog'!$H$5:$H$504,$J49)),"",INDEX('Product Backlog'!$H$5:$H$504,$J49)))</f>
        <v/>
      </c>
      <c r="I49" s="48" t="str">
        <f>IF($J49="","",IF(ISBLANK(INDEX('Product Backlog'!$I$5:$I$504,$J49)),"",INDEX('Product Backlog'!$I$5:$I$504,$J49)))</f>
        <v/>
      </c>
      <c r="J49" t="str">
        <f>IFERROR(MATCH($B$4&amp;"-"&amp;ROWS($A$10:A49),'Product Backlog'!$J$5:$J$504,0),"")</f>
        <v/>
      </c>
    </row>
    <row r="50" spans="1:10" ht="21" customHeight="1" x14ac:dyDescent="0.2">
      <c r="A50" s="46" t="str">
        <f>IF($J50="","",IF(ISBLANK(INDEX('Product Backlog'!$A$5:$A$504,$J50)),"",INDEX('Product Backlog'!$A$5:$A$504,$J50)))</f>
        <v/>
      </c>
      <c r="B50" s="46" t="str">
        <f>IF($J50="","",IF(ISBLANK(INDEX('Product Backlog'!$B$5:$B$504,$J50)),"",INDEX('Product Backlog'!$B$5:$B$504,$J50)))</f>
        <v/>
      </c>
      <c r="C50" s="46" t="str">
        <f>IF($J50="","",IF(ISBLANK(INDEX('Product Backlog'!$C$5:$C$504,$J50)),"",INDEX('Product Backlog'!$C$5:$C$504,$J50)))</f>
        <v/>
      </c>
      <c r="D50" s="46" t="str">
        <f>IF($J50="","",IF(ISBLANK(INDEX('Product Backlog'!$D$5:$D$504,$J50)),"",INDEX('Product Backlog'!$D$5:$D$504,$J50)))</f>
        <v/>
      </c>
      <c r="E50" s="46" t="str">
        <f>IF($J50="","",IF(ISBLANK(INDEX('Product Backlog'!$E$5:$E$504,$J50)),"",INDEX('Product Backlog'!$E$5:$E$504,$J50)))</f>
        <v/>
      </c>
      <c r="F50" s="47" t="str">
        <f>IF($J50="","",IF(ISBLANK(INDEX('Product Backlog'!$F$5:$F$504,$J50)),"",INDEX('Product Backlog'!$F$5:$F$504,$J50)))</f>
        <v/>
      </c>
      <c r="G50" s="47" t="str">
        <f>IF($J50="","",IF(ISBLANK(INDEX('Product Backlog'!$G$5:$G$504,$J50)),"",INDEX('Product Backlog'!$G$5:$G$504,$J50)))</f>
        <v/>
      </c>
      <c r="H50" s="48" t="str">
        <f>IF($J50="","",IF(ISBLANK(INDEX('Product Backlog'!$H$5:$H$504,$J50)),"",INDEX('Product Backlog'!$H$5:$H$504,$J50)))</f>
        <v/>
      </c>
      <c r="I50" s="48" t="str">
        <f>IF($J50="","",IF(ISBLANK(INDEX('Product Backlog'!$I$5:$I$504,$J50)),"",INDEX('Product Backlog'!$I$5:$I$504,$J50)))</f>
        <v/>
      </c>
      <c r="J50" t="str">
        <f>IFERROR(MATCH($B$4&amp;"-"&amp;ROWS($A$10:A50),'Product Backlog'!$J$5:$J$504,0),"")</f>
        <v/>
      </c>
    </row>
    <row r="51" spans="1:10" ht="21" customHeight="1" x14ac:dyDescent="0.2">
      <c r="A51" s="46" t="str">
        <f>IF($J51="","",IF(ISBLANK(INDEX('Product Backlog'!$A$5:$A$504,$J51)),"",INDEX('Product Backlog'!$A$5:$A$504,$J51)))</f>
        <v/>
      </c>
      <c r="B51" s="46" t="str">
        <f>IF($J51="","",IF(ISBLANK(INDEX('Product Backlog'!$B$5:$B$504,$J51)),"",INDEX('Product Backlog'!$B$5:$B$504,$J51)))</f>
        <v/>
      </c>
      <c r="C51" s="46" t="str">
        <f>IF($J51="","",IF(ISBLANK(INDEX('Product Backlog'!$C$5:$C$504,$J51)),"",INDEX('Product Backlog'!$C$5:$C$504,$J51)))</f>
        <v/>
      </c>
      <c r="D51" s="46" t="str">
        <f>IF($J51="","",IF(ISBLANK(INDEX('Product Backlog'!$D$5:$D$504,$J51)),"",INDEX('Product Backlog'!$D$5:$D$504,$J51)))</f>
        <v/>
      </c>
      <c r="E51" s="46" t="str">
        <f>IF($J51="","",IF(ISBLANK(INDEX('Product Backlog'!$E$5:$E$504,$J51)),"",INDEX('Product Backlog'!$E$5:$E$504,$J51)))</f>
        <v/>
      </c>
      <c r="F51" s="47" t="str">
        <f>IF($J51="","",IF(ISBLANK(INDEX('Product Backlog'!$F$5:$F$504,$J51)),"",INDEX('Product Backlog'!$F$5:$F$504,$J51)))</f>
        <v/>
      </c>
      <c r="G51" s="47" t="str">
        <f>IF($J51="","",IF(ISBLANK(INDEX('Product Backlog'!$G$5:$G$504,$J51)),"",INDEX('Product Backlog'!$G$5:$G$504,$J51)))</f>
        <v/>
      </c>
      <c r="H51" s="48" t="str">
        <f>IF($J51="","",IF(ISBLANK(INDEX('Product Backlog'!$H$5:$H$504,$J51)),"",INDEX('Product Backlog'!$H$5:$H$504,$J51)))</f>
        <v/>
      </c>
      <c r="I51" s="48" t="str">
        <f>IF($J51="","",IF(ISBLANK(INDEX('Product Backlog'!$I$5:$I$504,$J51)),"",INDEX('Product Backlog'!$I$5:$I$504,$J51)))</f>
        <v/>
      </c>
      <c r="J51" t="str">
        <f>IFERROR(MATCH($B$4&amp;"-"&amp;ROWS($A$10:A51),'Product Backlog'!$J$5:$J$504,0),"")</f>
        <v/>
      </c>
    </row>
    <row r="52" spans="1:10" ht="21" customHeight="1" x14ac:dyDescent="0.2">
      <c r="A52" s="46" t="str">
        <f>IF($J52="","",IF(ISBLANK(INDEX('Product Backlog'!$A$5:$A$504,$J52)),"",INDEX('Product Backlog'!$A$5:$A$504,$J52)))</f>
        <v/>
      </c>
      <c r="B52" s="46" t="str">
        <f>IF($J52="","",IF(ISBLANK(INDEX('Product Backlog'!$B$5:$B$504,$J52)),"",INDEX('Product Backlog'!$B$5:$B$504,$J52)))</f>
        <v/>
      </c>
      <c r="C52" s="46" t="str">
        <f>IF($J52="","",IF(ISBLANK(INDEX('Product Backlog'!$C$5:$C$504,$J52)),"",INDEX('Product Backlog'!$C$5:$C$504,$J52)))</f>
        <v/>
      </c>
      <c r="D52" s="46" t="str">
        <f>IF($J52="","",IF(ISBLANK(INDEX('Product Backlog'!$D$5:$D$504,$J52)),"",INDEX('Product Backlog'!$D$5:$D$504,$J52)))</f>
        <v/>
      </c>
      <c r="E52" s="46" t="str">
        <f>IF($J52="","",IF(ISBLANK(INDEX('Product Backlog'!$E$5:$E$504,$J52)),"",INDEX('Product Backlog'!$E$5:$E$504,$J52)))</f>
        <v/>
      </c>
      <c r="F52" s="47" t="str">
        <f>IF($J52="","",IF(ISBLANK(INDEX('Product Backlog'!$F$5:$F$504,$J52)),"",INDEX('Product Backlog'!$F$5:$F$504,$J52)))</f>
        <v/>
      </c>
      <c r="G52" s="47" t="str">
        <f>IF($J52="","",IF(ISBLANK(INDEX('Product Backlog'!$G$5:$G$504,$J52)),"",INDEX('Product Backlog'!$G$5:$G$504,$J52)))</f>
        <v/>
      </c>
      <c r="H52" s="48" t="str">
        <f>IF($J52="","",IF(ISBLANK(INDEX('Product Backlog'!$H$5:$H$504,$J52)),"",INDEX('Product Backlog'!$H$5:$H$504,$J52)))</f>
        <v/>
      </c>
      <c r="I52" s="48" t="str">
        <f>IF($J52="","",IF(ISBLANK(INDEX('Product Backlog'!$I$5:$I$504,$J52)),"",INDEX('Product Backlog'!$I$5:$I$504,$J52)))</f>
        <v/>
      </c>
      <c r="J52" t="str">
        <f>IFERROR(MATCH($B$4&amp;"-"&amp;ROWS($A$10:A52),'Product Backlog'!$J$5:$J$504,0),"")</f>
        <v/>
      </c>
    </row>
    <row r="53" spans="1:10" ht="21" customHeight="1" x14ac:dyDescent="0.2">
      <c r="A53" s="46" t="str">
        <f>IF($J53="","",IF(ISBLANK(INDEX('Product Backlog'!$A$5:$A$504,$J53)),"",INDEX('Product Backlog'!$A$5:$A$504,$J53)))</f>
        <v/>
      </c>
      <c r="B53" s="46" t="str">
        <f>IF($J53="","",IF(ISBLANK(INDEX('Product Backlog'!$B$5:$B$504,$J53)),"",INDEX('Product Backlog'!$B$5:$B$504,$J53)))</f>
        <v/>
      </c>
      <c r="C53" s="46" t="str">
        <f>IF($J53="","",IF(ISBLANK(INDEX('Product Backlog'!$C$5:$C$504,$J53)),"",INDEX('Product Backlog'!$C$5:$C$504,$J53)))</f>
        <v/>
      </c>
      <c r="D53" s="46" t="str">
        <f>IF($J53="","",IF(ISBLANK(INDEX('Product Backlog'!$D$5:$D$504,$J53)),"",INDEX('Product Backlog'!$D$5:$D$504,$J53)))</f>
        <v/>
      </c>
      <c r="E53" s="46" t="str">
        <f>IF($J53="","",IF(ISBLANK(INDEX('Product Backlog'!$E$5:$E$504,$J53)),"",INDEX('Product Backlog'!$E$5:$E$504,$J53)))</f>
        <v/>
      </c>
      <c r="F53" s="47" t="str">
        <f>IF($J53="","",IF(ISBLANK(INDEX('Product Backlog'!$F$5:$F$504,$J53)),"",INDEX('Product Backlog'!$F$5:$F$504,$J53)))</f>
        <v/>
      </c>
      <c r="G53" s="47" t="str">
        <f>IF($J53="","",IF(ISBLANK(INDEX('Product Backlog'!$G$5:$G$504,$J53)),"",INDEX('Product Backlog'!$G$5:$G$504,$J53)))</f>
        <v/>
      </c>
      <c r="H53" s="48" t="str">
        <f>IF($J53="","",IF(ISBLANK(INDEX('Product Backlog'!$H$5:$H$504,$J53)),"",INDEX('Product Backlog'!$H$5:$H$504,$J53)))</f>
        <v/>
      </c>
      <c r="I53" s="48" t="str">
        <f>IF($J53="","",IF(ISBLANK(INDEX('Product Backlog'!$I$5:$I$504,$J53)),"",INDEX('Product Backlog'!$I$5:$I$504,$J53)))</f>
        <v/>
      </c>
      <c r="J53" t="str">
        <f>IFERROR(MATCH($B$4&amp;"-"&amp;ROWS($A$10:A53),'Product Backlog'!$J$5:$J$504,0),"")</f>
        <v/>
      </c>
    </row>
    <row r="54" spans="1:10" ht="21" customHeight="1" x14ac:dyDescent="0.2">
      <c r="A54" s="46" t="str">
        <f>IF($J54="","",IF(ISBLANK(INDEX('Product Backlog'!$A$5:$A$504,$J54)),"",INDEX('Product Backlog'!$A$5:$A$504,$J54)))</f>
        <v/>
      </c>
      <c r="B54" s="46" t="str">
        <f>IF($J54="","",IF(ISBLANK(INDEX('Product Backlog'!$B$5:$B$504,$J54)),"",INDEX('Product Backlog'!$B$5:$B$504,$J54)))</f>
        <v/>
      </c>
      <c r="C54" s="46" t="str">
        <f>IF($J54="","",IF(ISBLANK(INDEX('Product Backlog'!$C$5:$C$504,$J54)),"",INDEX('Product Backlog'!$C$5:$C$504,$J54)))</f>
        <v/>
      </c>
      <c r="D54" s="46" t="str">
        <f>IF($J54="","",IF(ISBLANK(INDEX('Product Backlog'!$D$5:$D$504,$J54)),"",INDEX('Product Backlog'!$D$5:$D$504,$J54)))</f>
        <v/>
      </c>
      <c r="E54" s="46" t="str">
        <f>IF($J54="","",IF(ISBLANK(INDEX('Product Backlog'!$E$5:$E$504,$J54)),"",INDEX('Product Backlog'!$E$5:$E$504,$J54)))</f>
        <v/>
      </c>
      <c r="F54" s="47" t="str">
        <f>IF($J54="","",IF(ISBLANK(INDEX('Product Backlog'!$F$5:$F$504,$J54)),"",INDEX('Product Backlog'!$F$5:$F$504,$J54)))</f>
        <v/>
      </c>
      <c r="G54" s="47" t="str">
        <f>IF($J54="","",IF(ISBLANK(INDEX('Product Backlog'!$G$5:$G$504,$J54)),"",INDEX('Product Backlog'!$G$5:$G$504,$J54)))</f>
        <v/>
      </c>
      <c r="H54" s="48" t="str">
        <f>IF($J54="","",IF(ISBLANK(INDEX('Product Backlog'!$H$5:$H$504,$J54)),"",INDEX('Product Backlog'!$H$5:$H$504,$J54)))</f>
        <v/>
      </c>
      <c r="I54" s="48" t="str">
        <f>IF($J54="","",IF(ISBLANK(INDEX('Product Backlog'!$I$5:$I$504,$J54)),"",INDEX('Product Backlog'!$I$5:$I$504,$J54)))</f>
        <v/>
      </c>
      <c r="J54" t="str">
        <f>IFERROR(MATCH($B$4&amp;"-"&amp;ROWS($A$10:A54),'Product Backlog'!$J$5:$J$504,0),"")</f>
        <v/>
      </c>
    </row>
    <row r="55" spans="1:10" ht="21" customHeight="1" x14ac:dyDescent="0.2">
      <c r="A55" s="46" t="str">
        <f>IF($J55="","",IF(ISBLANK(INDEX('Product Backlog'!$A$5:$A$504,$J55)),"",INDEX('Product Backlog'!$A$5:$A$504,$J55)))</f>
        <v/>
      </c>
      <c r="B55" s="46" t="str">
        <f>IF($J55="","",IF(ISBLANK(INDEX('Product Backlog'!$B$5:$B$504,$J55)),"",INDEX('Product Backlog'!$B$5:$B$504,$J55)))</f>
        <v/>
      </c>
      <c r="C55" s="46" t="str">
        <f>IF($J55="","",IF(ISBLANK(INDEX('Product Backlog'!$C$5:$C$504,$J55)),"",INDEX('Product Backlog'!$C$5:$C$504,$J55)))</f>
        <v/>
      </c>
      <c r="D55" s="46" t="str">
        <f>IF($J55="","",IF(ISBLANK(INDEX('Product Backlog'!$D$5:$D$504,$J55)),"",INDEX('Product Backlog'!$D$5:$D$504,$J55)))</f>
        <v/>
      </c>
      <c r="E55" s="46" t="str">
        <f>IF($J55="","",IF(ISBLANK(INDEX('Product Backlog'!$E$5:$E$504,$J55)),"",INDEX('Product Backlog'!$E$5:$E$504,$J55)))</f>
        <v/>
      </c>
      <c r="F55" s="47" t="str">
        <f>IF($J55="","",IF(ISBLANK(INDEX('Product Backlog'!$F$5:$F$504,$J55)),"",INDEX('Product Backlog'!$F$5:$F$504,$J55)))</f>
        <v/>
      </c>
      <c r="G55" s="47" t="str">
        <f>IF($J55="","",IF(ISBLANK(INDEX('Product Backlog'!$G$5:$G$504,$J55)),"",INDEX('Product Backlog'!$G$5:$G$504,$J55)))</f>
        <v/>
      </c>
      <c r="H55" s="48" t="str">
        <f>IF($J55="","",IF(ISBLANK(INDEX('Product Backlog'!$H$5:$H$504,$J55)),"",INDEX('Product Backlog'!$H$5:$H$504,$J55)))</f>
        <v/>
      </c>
      <c r="I55" s="48" t="str">
        <f>IF($J55="","",IF(ISBLANK(INDEX('Product Backlog'!$I$5:$I$504,$J55)),"",INDEX('Product Backlog'!$I$5:$I$504,$J55)))</f>
        <v/>
      </c>
      <c r="J55" t="str">
        <f>IFERROR(MATCH($B$4&amp;"-"&amp;ROWS($A$10:A55),'Product Backlog'!$J$5:$J$504,0),"")</f>
        <v/>
      </c>
    </row>
    <row r="56" spans="1:10" ht="21" customHeight="1" x14ac:dyDescent="0.2">
      <c r="A56" s="46" t="str">
        <f>IF($J56="","",IF(ISBLANK(INDEX('Product Backlog'!$A$5:$A$504,$J56)),"",INDEX('Product Backlog'!$A$5:$A$504,$J56)))</f>
        <v/>
      </c>
      <c r="B56" s="46" t="str">
        <f>IF($J56="","",IF(ISBLANK(INDEX('Product Backlog'!$B$5:$B$504,$J56)),"",INDEX('Product Backlog'!$B$5:$B$504,$J56)))</f>
        <v/>
      </c>
      <c r="C56" s="46" t="str">
        <f>IF($J56="","",IF(ISBLANK(INDEX('Product Backlog'!$C$5:$C$504,$J56)),"",INDEX('Product Backlog'!$C$5:$C$504,$J56)))</f>
        <v/>
      </c>
      <c r="D56" s="46" t="str">
        <f>IF($J56="","",IF(ISBLANK(INDEX('Product Backlog'!$D$5:$D$504,$J56)),"",INDEX('Product Backlog'!$D$5:$D$504,$J56)))</f>
        <v/>
      </c>
      <c r="E56" s="46" t="str">
        <f>IF($J56="","",IF(ISBLANK(INDEX('Product Backlog'!$E$5:$E$504,$J56)),"",INDEX('Product Backlog'!$E$5:$E$504,$J56)))</f>
        <v/>
      </c>
      <c r="F56" s="47" t="str">
        <f>IF($J56="","",IF(ISBLANK(INDEX('Product Backlog'!$F$5:$F$504,$J56)),"",INDEX('Product Backlog'!$F$5:$F$504,$J56)))</f>
        <v/>
      </c>
      <c r="G56" s="47" t="str">
        <f>IF($J56="","",IF(ISBLANK(INDEX('Product Backlog'!$G$5:$G$504,$J56)),"",INDEX('Product Backlog'!$G$5:$G$504,$J56)))</f>
        <v/>
      </c>
      <c r="H56" s="48" t="str">
        <f>IF($J56="","",IF(ISBLANK(INDEX('Product Backlog'!$H$5:$H$504,$J56)),"",INDEX('Product Backlog'!$H$5:$H$504,$J56)))</f>
        <v/>
      </c>
      <c r="I56" s="48" t="str">
        <f>IF($J56="","",IF(ISBLANK(INDEX('Product Backlog'!$I$5:$I$504,$J56)),"",INDEX('Product Backlog'!$I$5:$I$504,$J56)))</f>
        <v/>
      </c>
      <c r="J56" t="str">
        <f>IFERROR(MATCH($B$4&amp;"-"&amp;ROWS($A$10:A56),'Product Backlog'!$J$5:$J$504,0),"")</f>
        <v/>
      </c>
    </row>
    <row r="57" spans="1:10" ht="21" customHeight="1" x14ac:dyDescent="0.2">
      <c r="A57" s="46" t="str">
        <f>IF($J57="","",IF(ISBLANK(INDEX('Product Backlog'!$A$5:$A$504,$J57)),"",INDEX('Product Backlog'!$A$5:$A$504,$J57)))</f>
        <v/>
      </c>
      <c r="B57" s="46" t="str">
        <f>IF($J57="","",IF(ISBLANK(INDEX('Product Backlog'!$B$5:$B$504,$J57)),"",INDEX('Product Backlog'!$B$5:$B$504,$J57)))</f>
        <v/>
      </c>
      <c r="C57" s="46" t="str">
        <f>IF($J57="","",IF(ISBLANK(INDEX('Product Backlog'!$C$5:$C$504,$J57)),"",INDEX('Product Backlog'!$C$5:$C$504,$J57)))</f>
        <v/>
      </c>
      <c r="D57" s="46" t="str">
        <f>IF($J57="","",IF(ISBLANK(INDEX('Product Backlog'!$D$5:$D$504,$J57)),"",INDEX('Product Backlog'!$D$5:$D$504,$J57)))</f>
        <v/>
      </c>
      <c r="E57" s="46" t="str">
        <f>IF($J57="","",IF(ISBLANK(INDEX('Product Backlog'!$E$5:$E$504,$J57)),"",INDEX('Product Backlog'!$E$5:$E$504,$J57)))</f>
        <v/>
      </c>
      <c r="F57" s="47" t="str">
        <f>IF($J57="","",IF(ISBLANK(INDEX('Product Backlog'!$F$5:$F$504,$J57)),"",INDEX('Product Backlog'!$F$5:$F$504,$J57)))</f>
        <v/>
      </c>
      <c r="G57" s="47" t="str">
        <f>IF($J57="","",IF(ISBLANK(INDEX('Product Backlog'!$G$5:$G$504,$J57)),"",INDEX('Product Backlog'!$G$5:$G$504,$J57)))</f>
        <v/>
      </c>
      <c r="H57" s="48" t="str">
        <f>IF($J57="","",IF(ISBLANK(INDEX('Product Backlog'!$H$5:$H$504,$J57)),"",INDEX('Product Backlog'!$H$5:$H$504,$J57)))</f>
        <v/>
      </c>
      <c r="I57" s="48" t="str">
        <f>IF($J57="","",IF(ISBLANK(INDEX('Product Backlog'!$I$5:$I$504,$J57)),"",INDEX('Product Backlog'!$I$5:$I$504,$J57)))</f>
        <v/>
      </c>
      <c r="J57" t="str">
        <f>IFERROR(MATCH($B$4&amp;"-"&amp;ROWS($A$10:A57),'Product Backlog'!$J$5:$J$504,0),"")</f>
        <v/>
      </c>
    </row>
    <row r="58" spans="1:10" ht="21" customHeight="1" x14ac:dyDescent="0.2">
      <c r="A58" s="46" t="str">
        <f>IF($J58="","",IF(ISBLANK(INDEX('Product Backlog'!$A$5:$A$504,$J58)),"",INDEX('Product Backlog'!$A$5:$A$504,$J58)))</f>
        <v/>
      </c>
      <c r="B58" s="46" t="str">
        <f>IF($J58="","",IF(ISBLANK(INDEX('Product Backlog'!$B$5:$B$504,$J58)),"",INDEX('Product Backlog'!$B$5:$B$504,$J58)))</f>
        <v/>
      </c>
      <c r="C58" s="46" t="str">
        <f>IF($J58="","",IF(ISBLANK(INDEX('Product Backlog'!$C$5:$C$504,$J58)),"",INDEX('Product Backlog'!$C$5:$C$504,$J58)))</f>
        <v/>
      </c>
      <c r="D58" s="46" t="str">
        <f>IF($J58="","",IF(ISBLANK(INDEX('Product Backlog'!$D$5:$D$504,$J58)),"",INDEX('Product Backlog'!$D$5:$D$504,$J58)))</f>
        <v/>
      </c>
      <c r="E58" s="46" t="str">
        <f>IF($J58="","",IF(ISBLANK(INDEX('Product Backlog'!$E$5:$E$504,$J58)),"",INDEX('Product Backlog'!$E$5:$E$504,$J58)))</f>
        <v/>
      </c>
      <c r="F58" s="47" t="str">
        <f>IF($J58="","",IF(ISBLANK(INDEX('Product Backlog'!$F$5:$F$504,$J58)),"",INDEX('Product Backlog'!$F$5:$F$504,$J58)))</f>
        <v/>
      </c>
      <c r="G58" s="47" t="str">
        <f>IF($J58="","",IF(ISBLANK(INDEX('Product Backlog'!$G$5:$G$504,$J58)),"",INDEX('Product Backlog'!$G$5:$G$504,$J58)))</f>
        <v/>
      </c>
      <c r="H58" s="48" t="str">
        <f>IF($J58="","",IF(ISBLANK(INDEX('Product Backlog'!$H$5:$H$504,$J58)),"",INDEX('Product Backlog'!$H$5:$H$504,$J58)))</f>
        <v/>
      </c>
      <c r="I58" s="48" t="str">
        <f>IF($J58="","",IF(ISBLANK(INDEX('Product Backlog'!$I$5:$I$504,$J58)),"",INDEX('Product Backlog'!$I$5:$I$504,$J58)))</f>
        <v/>
      </c>
      <c r="J58" t="str">
        <f>IFERROR(MATCH($B$4&amp;"-"&amp;ROWS($A$10:A58),'Product Backlog'!$J$5:$J$504,0),"")</f>
        <v/>
      </c>
    </row>
    <row r="59" spans="1:10" ht="21" customHeight="1" x14ac:dyDescent="0.2">
      <c r="A59" s="46" t="str">
        <f>IF($J59="","",IF(ISBLANK(INDEX('Product Backlog'!$A$5:$A$504,$J59)),"",INDEX('Product Backlog'!$A$5:$A$504,$J59)))</f>
        <v/>
      </c>
      <c r="B59" s="46" t="str">
        <f>IF($J59="","",IF(ISBLANK(INDEX('Product Backlog'!$B$5:$B$504,$J59)),"",INDEX('Product Backlog'!$B$5:$B$504,$J59)))</f>
        <v/>
      </c>
      <c r="C59" s="46" t="str">
        <f>IF($J59="","",IF(ISBLANK(INDEX('Product Backlog'!$C$5:$C$504,$J59)),"",INDEX('Product Backlog'!$C$5:$C$504,$J59)))</f>
        <v/>
      </c>
      <c r="D59" s="46" t="str">
        <f>IF($J59="","",IF(ISBLANK(INDEX('Product Backlog'!$D$5:$D$504,$J59)),"",INDEX('Product Backlog'!$D$5:$D$504,$J59)))</f>
        <v/>
      </c>
      <c r="E59" s="46" t="str">
        <f>IF($J59="","",IF(ISBLANK(INDEX('Product Backlog'!$E$5:$E$504,$J59)),"",INDEX('Product Backlog'!$E$5:$E$504,$J59)))</f>
        <v/>
      </c>
      <c r="F59" s="47" t="str">
        <f>IF($J59="","",IF(ISBLANK(INDEX('Product Backlog'!$F$5:$F$504,$J59)),"",INDEX('Product Backlog'!$F$5:$F$504,$J59)))</f>
        <v/>
      </c>
      <c r="G59" s="47" t="str">
        <f>IF($J59="","",IF(ISBLANK(INDEX('Product Backlog'!$G$5:$G$504,$J59)),"",INDEX('Product Backlog'!$G$5:$G$504,$J59)))</f>
        <v/>
      </c>
      <c r="H59" s="48" t="str">
        <f>IF($J59="","",IF(ISBLANK(INDEX('Product Backlog'!$H$5:$H$504,$J59)),"",INDEX('Product Backlog'!$H$5:$H$504,$J59)))</f>
        <v/>
      </c>
      <c r="I59" s="48" t="str">
        <f>IF($J59="","",IF(ISBLANK(INDEX('Product Backlog'!$I$5:$I$504,$J59)),"",INDEX('Product Backlog'!$I$5:$I$504,$J59)))</f>
        <v/>
      </c>
      <c r="J59" t="str">
        <f>IFERROR(MATCH($B$4&amp;"-"&amp;ROWS($A$10:A59),'Product Backlog'!$J$5:$J$504,0),"")</f>
        <v/>
      </c>
    </row>
    <row r="60" spans="1:10" ht="21" customHeight="1" x14ac:dyDescent="0.2">
      <c r="A60" s="46" t="str">
        <f>IF($J60="","",IF(ISBLANK(INDEX('Product Backlog'!$A$5:$A$504,$J60)),"",INDEX('Product Backlog'!$A$5:$A$504,$J60)))</f>
        <v/>
      </c>
      <c r="B60" s="46" t="str">
        <f>IF($J60="","",IF(ISBLANK(INDEX('Product Backlog'!$B$5:$B$504,$J60)),"",INDEX('Product Backlog'!$B$5:$B$504,$J60)))</f>
        <v/>
      </c>
      <c r="C60" s="46" t="str">
        <f>IF($J60="","",IF(ISBLANK(INDEX('Product Backlog'!$C$5:$C$504,$J60)),"",INDEX('Product Backlog'!$C$5:$C$504,$J60)))</f>
        <v/>
      </c>
      <c r="D60" s="46" t="str">
        <f>IF($J60="","",IF(ISBLANK(INDEX('Product Backlog'!$D$5:$D$504,$J60)),"",INDEX('Product Backlog'!$D$5:$D$504,$J60)))</f>
        <v/>
      </c>
      <c r="E60" s="46" t="str">
        <f>IF($J60="","",IF(ISBLANK(INDEX('Product Backlog'!$E$5:$E$504,$J60)),"",INDEX('Product Backlog'!$E$5:$E$504,$J60)))</f>
        <v/>
      </c>
      <c r="F60" s="47" t="str">
        <f>IF($J60="","",IF(ISBLANK(INDEX('Product Backlog'!$F$5:$F$504,$J60)),"",INDEX('Product Backlog'!$F$5:$F$504,$J60)))</f>
        <v/>
      </c>
      <c r="G60" s="47" t="str">
        <f>IF($J60="","",IF(ISBLANK(INDEX('Product Backlog'!$G$5:$G$504,$J60)),"",INDEX('Product Backlog'!$G$5:$G$504,$J60)))</f>
        <v/>
      </c>
      <c r="H60" s="48" t="str">
        <f>IF($J60="","",IF(ISBLANK(INDEX('Product Backlog'!$H$5:$H$504,$J60)),"",INDEX('Product Backlog'!$H$5:$H$504,$J60)))</f>
        <v/>
      </c>
      <c r="I60" s="48" t="str">
        <f>IF($J60="","",IF(ISBLANK(INDEX('Product Backlog'!$I$5:$I$504,$J60)),"",INDEX('Product Backlog'!$I$5:$I$504,$J60)))</f>
        <v/>
      </c>
      <c r="J60" t="str">
        <f>IFERROR(MATCH($B$4&amp;"-"&amp;ROWS($A$10:A60),'Product Backlog'!$J$5:$J$504,0),"")</f>
        <v/>
      </c>
    </row>
    <row r="61" spans="1:10" ht="21" customHeight="1" x14ac:dyDescent="0.2">
      <c r="A61" s="46" t="str">
        <f>IF($J61="","",IF(ISBLANK(INDEX('Product Backlog'!$A$5:$A$504,$J61)),"",INDEX('Product Backlog'!$A$5:$A$504,$J61)))</f>
        <v/>
      </c>
      <c r="B61" s="46" t="str">
        <f>IF($J61="","",IF(ISBLANK(INDEX('Product Backlog'!$B$5:$B$504,$J61)),"",INDEX('Product Backlog'!$B$5:$B$504,$J61)))</f>
        <v/>
      </c>
      <c r="C61" s="46" t="str">
        <f>IF($J61="","",IF(ISBLANK(INDEX('Product Backlog'!$C$5:$C$504,$J61)),"",INDEX('Product Backlog'!$C$5:$C$504,$J61)))</f>
        <v/>
      </c>
      <c r="D61" s="46" t="str">
        <f>IF($J61="","",IF(ISBLANK(INDEX('Product Backlog'!$D$5:$D$504,$J61)),"",INDEX('Product Backlog'!$D$5:$D$504,$J61)))</f>
        <v/>
      </c>
      <c r="E61" s="46" t="str">
        <f>IF($J61="","",IF(ISBLANK(INDEX('Product Backlog'!$E$5:$E$504,$J61)),"",INDEX('Product Backlog'!$E$5:$E$504,$J61)))</f>
        <v/>
      </c>
      <c r="F61" s="47" t="str">
        <f>IF($J61="","",IF(ISBLANK(INDEX('Product Backlog'!$F$5:$F$504,$J61)),"",INDEX('Product Backlog'!$F$5:$F$504,$J61)))</f>
        <v/>
      </c>
      <c r="G61" s="47" t="str">
        <f>IF($J61="","",IF(ISBLANK(INDEX('Product Backlog'!$G$5:$G$504,$J61)),"",INDEX('Product Backlog'!$G$5:$G$504,$J61)))</f>
        <v/>
      </c>
      <c r="H61" s="48" t="str">
        <f>IF($J61="","",IF(ISBLANK(INDEX('Product Backlog'!$H$5:$H$504,$J61)),"",INDEX('Product Backlog'!$H$5:$H$504,$J61)))</f>
        <v/>
      </c>
      <c r="I61" s="48" t="str">
        <f>IF($J61="","",IF(ISBLANK(INDEX('Product Backlog'!$I$5:$I$504,$J61)),"",INDEX('Product Backlog'!$I$5:$I$504,$J61)))</f>
        <v/>
      </c>
      <c r="J61" t="str">
        <f>IFERROR(MATCH($B$4&amp;"-"&amp;ROWS($A$10:A61),'Product Backlog'!$J$5:$J$504,0),"")</f>
        <v/>
      </c>
    </row>
    <row r="62" spans="1:10" ht="21" customHeight="1" x14ac:dyDescent="0.2">
      <c r="A62" s="46" t="str">
        <f>IF($J62="","",IF(ISBLANK(INDEX('Product Backlog'!$A$5:$A$504,$J62)),"",INDEX('Product Backlog'!$A$5:$A$504,$J62)))</f>
        <v/>
      </c>
      <c r="B62" s="46" t="str">
        <f>IF($J62="","",IF(ISBLANK(INDEX('Product Backlog'!$B$5:$B$504,$J62)),"",INDEX('Product Backlog'!$B$5:$B$504,$J62)))</f>
        <v/>
      </c>
      <c r="C62" s="46" t="str">
        <f>IF($J62="","",IF(ISBLANK(INDEX('Product Backlog'!$C$5:$C$504,$J62)),"",INDEX('Product Backlog'!$C$5:$C$504,$J62)))</f>
        <v/>
      </c>
      <c r="D62" s="46" t="str">
        <f>IF($J62="","",IF(ISBLANK(INDEX('Product Backlog'!$D$5:$D$504,$J62)),"",INDEX('Product Backlog'!$D$5:$D$504,$J62)))</f>
        <v/>
      </c>
      <c r="E62" s="46" t="str">
        <f>IF($J62="","",IF(ISBLANK(INDEX('Product Backlog'!$E$5:$E$504,$J62)),"",INDEX('Product Backlog'!$E$5:$E$504,$J62)))</f>
        <v/>
      </c>
      <c r="F62" s="47" t="str">
        <f>IF($J62="","",IF(ISBLANK(INDEX('Product Backlog'!$F$5:$F$504,$J62)),"",INDEX('Product Backlog'!$F$5:$F$504,$J62)))</f>
        <v/>
      </c>
      <c r="G62" s="47" t="str">
        <f>IF($J62="","",IF(ISBLANK(INDEX('Product Backlog'!$G$5:$G$504,$J62)),"",INDEX('Product Backlog'!$G$5:$G$504,$J62)))</f>
        <v/>
      </c>
      <c r="H62" s="48" t="str">
        <f>IF($J62="","",IF(ISBLANK(INDEX('Product Backlog'!$H$5:$H$504,$J62)),"",INDEX('Product Backlog'!$H$5:$H$504,$J62)))</f>
        <v/>
      </c>
      <c r="I62" s="48" t="str">
        <f>IF($J62="","",IF(ISBLANK(INDEX('Product Backlog'!$I$5:$I$504,$J62)),"",INDEX('Product Backlog'!$I$5:$I$504,$J62)))</f>
        <v/>
      </c>
      <c r="J62" t="str">
        <f>IFERROR(MATCH($B$4&amp;"-"&amp;ROWS($A$10:A62),'Product Backlog'!$J$5:$J$504,0),"")</f>
        <v/>
      </c>
    </row>
    <row r="63" spans="1:10" ht="21" customHeight="1" x14ac:dyDescent="0.2">
      <c r="A63" s="46" t="str">
        <f>IF($J63="","",IF(ISBLANK(INDEX('Product Backlog'!$A$5:$A$504,$J63)),"",INDEX('Product Backlog'!$A$5:$A$504,$J63)))</f>
        <v/>
      </c>
      <c r="B63" s="46" t="str">
        <f>IF($J63="","",IF(ISBLANK(INDEX('Product Backlog'!$B$5:$B$504,$J63)),"",INDEX('Product Backlog'!$B$5:$B$504,$J63)))</f>
        <v/>
      </c>
      <c r="C63" s="46" t="str">
        <f>IF($J63="","",IF(ISBLANK(INDEX('Product Backlog'!$C$5:$C$504,$J63)),"",INDEX('Product Backlog'!$C$5:$C$504,$J63)))</f>
        <v/>
      </c>
      <c r="D63" s="46" t="str">
        <f>IF($J63="","",IF(ISBLANK(INDEX('Product Backlog'!$D$5:$D$504,$J63)),"",INDEX('Product Backlog'!$D$5:$D$504,$J63)))</f>
        <v/>
      </c>
      <c r="E63" s="46" t="str">
        <f>IF($J63="","",IF(ISBLANK(INDEX('Product Backlog'!$E$5:$E$504,$J63)),"",INDEX('Product Backlog'!$E$5:$E$504,$J63)))</f>
        <v/>
      </c>
      <c r="F63" s="47" t="str">
        <f>IF($J63="","",IF(ISBLANK(INDEX('Product Backlog'!$F$5:$F$504,$J63)),"",INDEX('Product Backlog'!$F$5:$F$504,$J63)))</f>
        <v/>
      </c>
      <c r="G63" s="47" t="str">
        <f>IF($J63="","",IF(ISBLANK(INDEX('Product Backlog'!$G$5:$G$504,$J63)),"",INDEX('Product Backlog'!$G$5:$G$504,$J63)))</f>
        <v/>
      </c>
      <c r="H63" s="48" t="str">
        <f>IF($J63="","",IF(ISBLANK(INDEX('Product Backlog'!$H$5:$H$504,$J63)),"",INDEX('Product Backlog'!$H$5:$H$504,$J63)))</f>
        <v/>
      </c>
      <c r="I63" s="48" t="str">
        <f>IF($J63="","",IF(ISBLANK(INDEX('Product Backlog'!$I$5:$I$504,$J63)),"",INDEX('Product Backlog'!$I$5:$I$504,$J63)))</f>
        <v/>
      </c>
      <c r="J63" t="str">
        <f>IFERROR(MATCH($B$4&amp;"-"&amp;ROWS($A$10:A63),'Product Backlog'!$J$5:$J$504,0),"")</f>
        <v/>
      </c>
    </row>
    <row r="64" spans="1:10" ht="21" customHeight="1" x14ac:dyDescent="0.2">
      <c r="A64" s="46" t="str">
        <f>IF($J64="","",IF(ISBLANK(INDEX('Product Backlog'!$A$5:$A$504,$J64)),"",INDEX('Product Backlog'!$A$5:$A$504,$J64)))</f>
        <v/>
      </c>
      <c r="B64" s="46" t="str">
        <f>IF($J64="","",IF(ISBLANK(INDEX('Product Backlog'!$B$5:$B$504,$J64)),"",INDEX('Product Backlog'!$B$5:$B$504,$J64)))</f>
        <v/>
      </c>
      <c r="C64" s="46" t="str">
        <f>IF($J64="","",IF(ISBLANK(INDEX('Product Backlog'!$C$5:$C$504,$J64)),"",INDEX('Product Backlog'!$C$5:$C$504,$J64)))</f>
        <v/>
      </c>
      <c r="D64" s="46" t="str">
        <f>IF($J64="","",IF(ISBLANK(INDEX('Product Backlog'!$D$5:$D$504,$J64)),"",INDEX('Product Backlog'!$D$5:$D$504,$J64)))</f>
        <v/>
      </c>
      <c r="E64" s="46" t="str">
        <f>IF($J64="","",IF(ISBLANK(INDEX('Product Backlog'!$E$5:$E$504,$J64)),"",INDEX('Product Backlog'!$E$5:$E$504,$J64)))</f>
        <v/>
      </c>
      <c r="F64" s="47" t="str">
        <f>IF($J64="","",IF(ISBLANK(INDEX('Product Backlog'!$F$5:$F$504,$J64)),"",INDEX('Product Backlog'!$F$5:$F$504,$J64)))</f>
        <v/>
      </c>
      <c r="G64" s="47" t="str">
        <f>IF($J64="","",IF(ISBLANK(INDEX('Product Backlog'!$G$5:$G$504,$J64)),"",INDEX('Product Backlog'!$G$5:$G$504,$J64)))</f>
        <v/>
      </c>
      <c r="H64" s="48" t="str">
        <f>IF($J64="","",IF(ISBLANK(INDEX('Product Backlog'!$H$5:$H$504,$J64)),"",INDEX('Product Backlog'!$H$5:$H$504,$J64)))</f>
        <v/>
      </c>
      <c r="I64" s="48" t="str">
        <f>IF($J64="","",IF(ISBLANK(INDEX('Product Backlog'!$I$5:$I$504,$J64)),"",INDEX('Product Backlog'!$I$5:$I$504,$J64)))</f>
        <v/>
      </c>
      <c r="J64" t="str">
        <f>IFERROR(MATCH($B$4&amp;"-"&amp;ROWS($A$10:A64),'Product Backlog'!$J$5:$J$504,0),"")</f>
        <v/>
      </c>
    </row>
    <row r="65" spans="1:10" ht="21" customHeight="1" x14ac:dyDescent="0.2">
      <c r="A65" s="46" t="str">
        <f>IF($J65="","",IF(ISBLANK(INDEX('Product Backlog'!$A$5:$A$504,$J65)),"",INDEX('Product Backlog'!$A$5:$A$504,$J65)))</f>
        <v/>
      </c>
      <c r="B65" s="46" t="str">
        <f>IF($J65="","",IF(ISBLANK(INDEX('Product Backlog'!$B$5:$B$504,$J65)),"",INDEX('Product Backlog'!$B$5:$B$504,$J65)))</f>
        <v/>
      </c>
      <c r="C65" s="46" t="str">
        <f>IF($J65="","",IF(ISBLANK(INDEX('Product Backlog'!$C$5:$C$504,$J65)),"",INDEX('Product Backlog'!$C$5:$C$504,$J65)))</f>
        <v/>
      </c>
      <c r="D65" s="46" t="str">
        <f>IF($J65="","",IF(ISBLANK(INDEX('Product Backlog'!$D$5:$D$504,$J65)),"",INDEX('Product Backlog'!$D$5:$D$504,$J65)))</f>
        <v/>
      </c>
      <c r="E65" s="46" t="str">
        <f>IF($J65="","",IF(ISBLANK(INDEX('Product Backlog'!$E$5:$E$504,$J65)),"",INDEX('Product Backlog'!$E$5:$E$504,$J65)))</f>
        <v/>
      </c>
      <c r="F65" s="47" t="str">
        <f>IF($J65="","",IF(ISBLANK(INDEX('Product Backlog'!$F$5:$F$504,$J65)),"",INDEX('Product Backlog'!$F$5:$F$504,$J65)))</f>
        <v/>
      </c>
      <c r="G65" s="47" t="str">
        <f>IF($J65="","",IF(ISBLANK(INDEX('Product Backlog'!$G$5:$G$504,$J65)),"",INDEX('Product Backlog'!$G$5:$G$504,$J65)))</f>
        <v/>
      </c>
      <c r="H65" s="48" t="str">
        <f>IF($J65="","",IF(ISBLANK(INDEX('Product Backlog'!$H$5:$H$504,$J65)),"",INDEX('Product Backlog'!$H$5:$H$504,$J65)))</f>
        <v/>
      </c>
      <c r="I65" s="48" t="str">
        <f>IF($J65="","",IF(ISBLANK(INDEX('Product Backlog'!$I$5:$I$504,$J65)),"",INDEX('Product Backlog'!$I$5:$I$504,$J65)))</f>
        <v/>
      </c>
      <c r="J65" t="str">
        <f>IFERROR(MATCH($B$4&amp;"-"&amp;ROWS($A$10:A65),'Product Backlog'!$J$5:$J$504,0),"")</f>
        <v/>
      </c>
    </row>
    <row r="66" spans="1:10" ht="21" customHeight="1" x14ac:dyDescent="0.2">
      <c r="A66" s="46" t="str">
        <f>IF($J66="","",IF(ISBLANK(INDEX('Product Backlog'!$A$5:$A$504,$J66)),"",INDEX('Product Backlog'!$A$5:$A$504,$J66)))</f>
        <v/>
      </c>
      <c r="B66" s="46" t="str">
        <f>IF($J66="","",IF(ISBLANK(INDEX('Product Backlog'!$B$5:$B$504,$J66)),"",INDEX('Product Backlog'!$B$5:$B$504,$J66)))</f>
        <v/>
      </c>
      <c r="C66" s="46" t="str">
        <f>IF($J66="","",IF(ISBLANK(INDEX('Product Backlog'!$C$5:$C$504,$J66)),"",INDEX('Product Backlog'!$C$5:$C$504,$J66)))</f>
        <v/>
      </c>
      <c r="D66" s="46" t="str">
        <f>IF($J66="","",IF(ISBLANK(INDEX('Product Backlog'!$D$5:$D$504,$J66)),"",INDEX('Product Backlog'!$D$5:$D$504,$J66)))</f>
        <v/>
      </c>
      <c r="E66" s="46" t="str">
        <f>IF($J66="","",IF(ISBLANK(INDEX('Product Backlog'!$E$5:$E$504,$J66)),"",INDEX('Product Backlog'!$E$5:$E$504,$J66)))</f>
        <v/>
      </c>
      <c r="F66" s="47" t="str">
        <f>IF($J66="","",IF(ISBLANK(INDEX('Product Backlog'!$F$5:$F$504,$J66)),"",INDEX('Product Backlog'!$F$5:$F$504,$J66)))</f>
        <v/>
      </c>
      <c r="G66" s="47" t="str">
        <f>IF($J66="","",IF(ISBLANK(INDEX('Product Backlog'!$G$5:$G$504,$J66)),"",INDEX('Product Backlog'!$G$5:$G$504,$J66)))</f>
        <v/>
      </c>
      <c r="H66" s="48" t="str">
        <f>IF($J66="","",IF(ISBLANK(INDEX('Product Backlog'!$H$5:$H$504,$J66)),"",INDEX('Product Backlog'!$H$5:$H$504,$J66)))</f>
        <v/>
      </c>
      <c r="I66" s="48" t="str">
        <f>IF($J66="","",IF(ISBLANK(INDEX('Product Backlog'!$I$5:$I$504,$J66)),"",INDEX('Product Backlog'!$I$5:$I$504,$J66)))</f>
        <v/>
      </c>
      <c r="J66" t="str">
        <f>IFERROR(MATCH($B$4&amp;"-"&amp;ROWS($A$10:A66),'Product Backlog'!$J$5:$J$504,0),"")</f>
        <v/>
      </c>
    </row>
    <row r="67" spans="1:10" ht="21" customHeight="1" x14ac:dyDescent="0.2">
      <c r="A67" s="46" t="str">
        <f>IF($J67="","",IF(ISBLANK(INDEX('Product Backlog'!$A$5:$A$504,$J67)),"",INDEX('Product Backlog'!$A$5:$A$504,$J67)))</f>
        <v/>
      </c>
      <c r="B67" s="46" t="str">
        <f>IF($J67="","",IF(ISBLANK(INDEX('Product Backlog'!$B$5:$B$504,$J67)),"",INDEX('Product Backlog'!$B$5:$B$504,$J67)))</f>
        <v/>
      </c>
      <c r="C67" s="46" t="str">
        <f>IF($J67="","",IF(ISBLANK(INDEX('Product Backlog'!$C$5:$C$504,$J67)),"",INDEX('Product Backlog'!$C$5:$C$504,$J67)))</f>
        <v/>
      </c>
      <c r="D67" s="46" t="str">
        <f>IF($J67="","",IF(ISBLANK(INDEX('Product Backlog'!$D$5:$D$504,$J67)),"",INDEX('Product Backlog'!$D$5:$D$504,$J67)))</f>
        <v/>
      </c>
      <c r="E67" s="46" t="str">
        <f>IF($J67="","",IF(ISBLANK(INDEX('Product Backlog'!$E$5:$E$504,$J67)),"",INDEX('Product Backlog'!$E$5:$E$504,$J67)))</f>
        <v/>
      </c>
      <c r="F67" s="47" t="str">
        <f>IF($J67="","",IF(ISBLANK(INDEX('Product Backlog'!$F$5:$F$504,$J67)),"",INDEX('Product Backlog'!$F$5:$F$504,$J67)))</f>
        <v/>
      </c>
      <c r="G67" s="47" t="str">
        <f>IF($J67="","",IF(ISBLANK(INDEX('Product Backlog'!$G$5:$G$504,$J67)),"",INDEX('Product Backlog'!$G$5:$G$504,$J67)))</f>
        <v/>
      </c>
      <c r="H67" s="48" t="str">
        <f>IF($J67="","",IF(ISBLANK(INDEX('Product Backlog'!$H$5:$H$504,$J67)),"",INDEX('Product Backlog'!$H$5:$H$504,$J67)))</f>
        <v/>
      </c>
      <c r="I67" s="48" t="str">
        <f>IF($J67="","",IF(ISBLANK(INDEX('Product Backlog'!$I$5:$I$504,$J67)),"",INDEX('Product Backlog'!$I$5:$I$504,$J67)))</f>
        <v/>
      </c>
      <c r="J67" t="str">
        <f>IFERROR(MATCH($B$4&amp;"-"&amp;ROWS($A$10:A67),'Product Backlog'!$J$5:$J$504,0),"")</f>
        <v/>
      </c>
    </row>
    <row r="68" spans="1:10" ht="21" customHeight="1" x14ac:dyDescent="0.2">
      <c r="A68" s="46" t="str">
        <f>IF($J68="","",IF(ISBLANK(INDEX('Product Backlog'!$A$5:$A$504,$J68)),"",INDEX('Product Backlog'!$A$5:$A$504,$J68)))</f>
        <v/>
      </c>
      <c r="B68" s="46" t="str">
        <f>IF($J68="","",IF(ISBLANK(INDEX('Product Backlog'!$B$5:$B$504,$J68)),"",INDEX('Product Backlog'!$B$5:$B$504,$J68)))</f>
        <v/>
      </c>
      <c r="C68" s="46" t="str">
        <f>IF($J68="","",IF(ISBLANK(INDEX('Product Backlog'!$C$5:$C$504,$J68)),"",INDEX('Product Backlog'!$C$5:$C$504,$J68)))</f>
        <v/>
      </c>
      <c r="D68" s="46" t="str">
        <f>IF($J68="","",IF(ISBLANK(INDEX('Product Backlog'!$D$5:$D$504,$J68)),"",INDEX('Product Backlog'!$D$5:$D$504,$J68)))</f>
        <v/>
      </c>
      <c r="E68" s="46" t="str">
        <f>IF($J68="","",IF(ISBLANK(INDEX('Product Backlog'!$E$5:$E$504,$J68)),"",INDEX('Product Backlog'!$E$5:$E$504,$J68)))</f>
        <v/>
      </c>
      <c r="F68" s="47" t="str">
        <f>IF($J68="","",IF(ISBLANK(INDEX('Product Backlog'!$F$5:$F$504,$J68)),"",INDEX('Product Backlog'!$F$5:$F$504,$J68)))</f>
        <v/>
      </c>
      <c r="G68" s="47" t="str">
        <f>IF($J68="","",IF(ISBLANK(INDEX('Product Backlog'!$G$5:$G$504,$J68)),"",INDEX('Product Backlog'!$G$5:$G$504,$J68)))</f>
        <v/>
      </c>
      <c r="H68" s="48" t="str">
        <f>IF($J68="","",IF(ISBLANK(INDEX('Product Backlog'!$H$5:$H$504,$J68)),"",INDEX('Product Backlog'!$H$5:$H$504,$J68)))</f>
        <v/>
      </c>
      <c r="I68" s="48" t="str">
        <f>IF($J68="","",IF(ISBLANK(INDEX('Product Backlog'!$I$5:$I$504,$J68)),"",INDEX('Product Backlog'!$I$5:$I$504,$J68)))</f>
        <v/>
      </c>
      <c r="J68" t="str">
        <f>IFERROR(MATCH($B$4&amp;"-"&amp;ROWS($A$10:A68),'Product Backlog'!$J$5:$J$504,0),"")</f>
        <v/>
      </c>
    </row>
    <row r="69" spans="1:10" ht="21" customHeight="1" x14ac:dyDescent="0.2">
      <c r="A69" s="46" t="str">
        <f>IF($J69="","",IF(ISBLANK(INDEX('Product Backlog'!$A$5:$A$504,$J69)),"",INDEX('Product Backlog'!$A$5:$A$504,$J69)))</f>
        <v/>
      </c>
      <c r="B69" s="46" t="str">
        <f>IF($J69="","",IF(ISBLANK(INDEX('Product Backlog'!$B$5:$B$504,$J69)),"",INDEX('Product Backlog'!$B$5:$B$504,$J69)))</f>
        <v/>
      </c>
      <c r="C69" s="46" t="str">
        <f>IF($J69="","",IF(ISBLANK(INDEX('Product Backlog'!$C$5:$C$504,$J69)),"",INDEX('Product Backlog'!$C$5:$C$504,$J69)))</f>
        <v/>
      </c>
      <c r="D69" s="46" t="str">
        <f>IF($J69="","",IF(ISBLANK(INDEX('Product Backlog'!$D$5:$D$504,$J69)),"",INDEX('Product Backlog'!$D$5:$D$504,$J69)))</f>
        <v/>
      </c>
      <c r="E69" s="46" t="str">
        <f>IF($J69="","",IF(ISBLANK(INDEX('Product Backlog'!$E$5:$E$504,$J69)),"",INDEX('Product Backlog'!$E$5:$E$504,$J69)))</f>
        <v/>
      </c>
      <c r="F69" s="47" t="str">
        <f>IF($J69="","",IF(ISBLANK(INDEX('Product Backlog'!$F$5:$F$504,$J69)),"",INDEX('Product Backlog'!$F$5:$F$504,$J69)))</f>
        <v/>
      </c>
      <c r="G69" s="47" t="str">
        <f>IF($J69="","",IF(ISBLANK(INDEX('Product Backlog'!$G$5:$G$504,$J69)),"",INDEX('Product Backlog'!$G$5:$G$504,$J69)))</f>
        <v/>
      </c>
      <c r="H69" s="48" t="str">
        <f>IF($J69="","",IF(ISBLANK(INDEX('Product Backlog'!$H$5:$H$504,$J69)),"",INDEX('Product Backlog'!$H$5:$H$504,$J69)))</f>
        <v/>
      </c>
      <c r="I69" s="48" t="str">
        <f>IF($J69="","",IF(ISBLANK(INDEX('Product Backlog'!$I$5:$I$504,$J69)),"",INDEX('Product Backlog'!$I$5:$I$504,$J69)))</f>
        <v/>
      </c>
      <c r="J69" t="str">
        <f>IFERROR(MATCH($B$4&amp;"-"&amp;ROWS($A$10:A69),'Product Backlog'!$J$5:$J$504,0),"")</f>
        <v/>
      </c>
    </row>
    <row r="70" spans="1:10" ht="21" customHeight="1" x14ac:dyDescent="0.2">
      <c r="A70" s="46" t="str">
        <f>IF($J70="","",IF(ISBLANK(INDEX('Product Backlog'!$A$5:$A$504,$J70)),"",INDEX('Product Backlog'!$A$5:$A$504,$J70)))</f>
        <v/>
      </c>
      <c r="B70" s="46" t="str">
        <f>IF($J70="","",IF(ISBLANK(INDEX('Product Backlog'!$B$5:$B$504,$J70)),"",INDEX('Product Backlog'!$B$5:$B$504,$J70)))</f>
        <v/>
      </c>
      <c r="C70" s="46" t="str">
        <f>IF($J70="","",IF(ISBLANK(INDEX('Product Backlog'!$C$5:$C$504,$J70)),"",INDEX('Product Backlog'!$C$5:$C$504,$J70)))</f>
        <v/>
      </c>
      <c r="D70" s="46" t="str">
        <f>IF($J70="","",IF(ISBLANK(INDEX('Product Backlog'!$D$5:$D$504,$J70)),"",INDEX('Product Backlog'!$D$5:$D$504,$J70)))</f>
        <v/>
      </c>
      <c r="E70" s="46" t="str">
        <f>IF($J70="","",IF(ISBLANK(INDEX('Product Backlog'!$E$5:$E$504,$J70)),"",INDEX('Product Backlog'!$E$5:$E$504,$J70)))</f>
        <v/>
      </c>
      <c r="F70" s="47" t="str">
        <f>IF($J70="","",IF(ISBLANK(INDEX('Product Backlog'!$F$5:$F$504,$J70)),"",INDEX('Product Backlog'!$F$5:$F$504,$J70)))</f>
        <v/>
      </c>
      <c r="G70" s="47" t="str">
        <f>IF($J70="","",IF(ISBLANK(INDEX('Product Backlog'!$G$5:$G$504,$J70)),"",INDEX('Product Backlog'!$G$5:$G$504,$J70)))</f>
        <v/>
      </c>
      <c r="H70" s="48" t="str">
        <f>IF($J70="","",IF(ISBLANK(INDEX('Product Backlog'!$H$5:$H$504,$J70)),"",INDEX('Product Backlog'!$H$5:$H$504,$J70)))</f>
        <v/>
      </c>
      <c r="I70" s="48" t="str">
        <f>IF($J70="","",IF(ISBLANK(INDEX('Product Backlog'!$I$5:$I$504,$J70)),"",INDEX('Product Backlog'!$I$5:$I$504,$J70)))</f>
        <v/>
      </c>
      <c r="J70" t="str">
        <f>IFERROR(MATCH($B$4&amp;"-"&amp;ROWS($A$10:A70),'Product Backlog'!$J$5:$J$504,0),"")</f>
        <v/>
      </c>
    </row>
    <row r="71" spans="1:10" ht="21" customHeight="1" x14ac:dyDescent="0.2">
      <c r="A71" s="46" t="str">
        <f>IF($J71="","",IF(ISBLANK(INDEX('Product Backlog'!$A$5:$A$504,$J71)),"",INDEX('Product Backlog'!$A$5:$A$504,$J71)))</f>
        <v/>
      </c>
      <c r="B71" s="46" t="str">
        <f>IF($J71="","",IF(ISBLANK(INDEX('Product Backlog'!$B$5:$B$504,$J71)),"",INDEX('Product Backlog'!$B$5:$B$504,$J71)))</f>
        <v/>
      </c>
      <c r="C71" s="46" t="str">
        <f>IF($J71="","",IF(ISBLANK(INDEX('Product Backlog'!$C$5:$C$504,$J71)),"",INDEX('Product Backlog'!$C$5:$C$504,$J71)))</f>
        <v/>
      </c>
      <c r="D71" s="46" t="str">
        <f>IF($J71="","",IF(ISBLANK(INDEX('Product Backlog'!$D$5:$D$504,$J71)),"",INDEX('Product Backlog'!$D$5:$D$504,$J71)))</f>
        <v/>
      </c>
      <c r="E71" s="46" t="str">
        <f>IF($J71="","",IF(ISBLANK(INDEX('Product Backlog'!$E$5:$E$504,$J71)),"",INDEX('Product Backlog'!$E$5:$E$504,$J71)))</f>
        <v/>
      </c>
      <c r="F71" s="47" t="str">
        <f>IF($J71="","",IF(ISBLANK(INDEX('Product Backlog'!$F$5:$F$504,$J71)),"",INDEX('Product Backlog'!$F$5:$F$504,$J71)))</f>
        <v/>
      </c>
      <c r="G71" s="47" t="str">
        <f>IF($J71="","",IF(ISBLANK(INDEX('Product Backlog'!$G$5:$G$504,$J71)),"",INDEX('Product Backlog'!$G$5:$G$504,$J71)))</f>
        <v/>
      </c>
      <c r="H71" s="48" t="str">
        <f>IF($J71="","",IF(ISBLANK(INDEX('Product Backlog'!$H$5:$H$504,$J71)),"",INDEX('Product Backlog'!$H$5:$H$504,$J71)))</f>
        <v/>
      </c>
      <c r="I71" s="48" t="str">
        <f>IF($J71="","",IF(ISBLANK(INDEX('Product Backlog'!$I$5:$I$504,$J71)),"",INDEX('Product Backlog'!$I$5:$I$504,$J71)))</f>
        <v/>
      </c>
      <c r="J71" t="str">
        <f>IFERROR(MATCH($B$4&amp;"-"&amp;ROWS($A$10:A71),'Product Backlog'!$J$5:$J$504,0),"")</f>
        <v/>
      </c>
    </row>
    <row r="72" spans="1:10" ht="21" customHeight="1" x14ac:dyDescent="0.2">
      <c r="A72" s="46" t="str">
        <f>IF($J72="","",IF(ISBLANK(INDEX('Product Backlog'!$A$5:$A$504,$J72)),"",INDEX('Product Backlog'!$A$5:$A$504,$J72)))</f>
        <v/>
      </c>
      <c r="B72" s="46" t="str">
        <f>IF($J72="","",IF(ISBLANK(INDEX('Product Backlog'!$B$5:$B$504,$J72)),"",INDEX('Product Backlog'!$B$5:$B$504,$J72)))</f>
        <v/>
      </c>
      <c r="C72" s="46" t="str">
        <f>IF($J72="","",IF(ISBLANK(INDEX('Product Backlog'!$C$5:$C$504,$J72)),"",INDEX('Product Backlog'!$C$5:$C$504,$J72)))</f>
        <v/>
      </c>
      <c r="D72" s="46" t="str">
        <f>IF($J72="","",IF(ISBLANK(INDEX('Product Backlog'!$D$5:$D$504,$J72)),"",INDEX('Product Backlog'!$D$5:$D$504,$J72)))</f>
        <v/>
      </c>
      <c r="E72" s="46" t="str">
        <f>IF($J72="","",IF(ISBLANK(INDEX('Product Backlog'!$E$5:$E$504,$J72)),"",INDEX('Product Backlog'!$E$5:$E$504,$J72)))</f>
        <v/>
      </c>
      <c r="F72" s="47" t="str">
        <f>IF($J72="","",IF(ISBLANK(INDEX('Product Backlog'!$F$5:$F$504,$J72)),"",INDEX('Product Backlog'!$F$5:$F$504,$J72)))</f>
        <v/>
      </c>
      <c r="G72" s="47" t="str">
        <f>IF($J72="","",IF(ISBLANK(INDEX('Product Backlog'!$G$5:$G$504,$J72)),"",INDEX('Product Backlog'!$G$5:$G$504,$J72)))</f>
        <v/>
      </c>
      <c r="H72" s="48" t="str">
        <f>IF($J72="","",IF(ISBLANK(INDEX('Product Backlog'!$H$5:$H$504,$J72)),"",INDEX('Product Backlog'!$H$5:$H$504,$J72)))</f>
        <v/>
      </c>
      <c r="I72" s="48" t="str">
        <f>IF($J72="","",IF(ISBLANK(INDEX('Product Backlog'!$I$5:$I$504,$J72)),"",INDEX('Product Backlog'!$I$5:$I$504,$J72)))</f>
        <v/>
      </c>
      <c r="J72" t="str">
        <f>IFERROR(MATCH($B$4&amp;"-"&amp;ROWS($A$10:A72),'Product Backlog'!$J$5:$J$504,0),"")</f>
        <v/>
      </c>
    </row>
    <row r="73" spans="1:10" ht="21" customHeight="1" x14ac:dyDescent="0.2">
      <c r="A73" s="46" t="str">
        <f>IF($J73="","",IF(ISBLANK(INDEX('Product Backlog'!$A$5:$A$504,$J73)),"",INDEX('Product Backlog'!$A$5:$A$504,$J73)))</f>
        <v/>
      </c>
      <c r="B73" s="46" t="str">
        <f>IF($J73="","",IF(ISBLANK(INDEX('Product Backlog'!$B$5:$B$504,$J73)),"",INDEX('Product Backlog'!$B$5:$B$504,$J73)))</f>
        <v/>
      </c>
      <c r="C73" s="46" t="str">
        <f>IF($J73="","",IF(ISBLANK(INDEX('Product Backlog'!$C$5:$C$504,$J73)),"",INDEX('Product Backlog'!$C$5:$C$504,$J73)))</f>
        <v/>
      </c>
      <c r="D73" s="46" t="str">
        <f>IF($J73="","",IF(ISBLANK(INDEX('Product Backlog'!$D$5:$D$504,$J73)),"",INDEX('Product Backlog'!$D$5:$D$504,$J73)))</f>
        <v/>
      </c>
      <c r="E73" s="46" t="str">
        <f>IF($J73="","",IF(ISBLANK(INDEX('Product Backlog'!$E$5:$E$504,$J73)),"",INDEX('Product Backlog'!$E$5:$E$504,$J73)))</f>
        <v/>
      </c>
      <c r="F73" s="47" t="str">
        <f>IF($J73="","",IF(ISBLANK(INDEX('Product Backlog'!$F$5:$F$504,$J73)),"",INDEX('Product Backlog'!$F$5:$F$504,$J73)))</f>
        <v/>
      </c>
      <c r="G73" s="47" t="str">
        <f>IF($J73="","",IF(ISBLANK(INDEX('Product Backlog'!$G$5:$G$504,$J73)),"",INDEX('Product Backlog'!$G$5:$G$504,$J73)))</f>
        <v/>
      </c>
      <c r="H73" s="48" t="str">
        <f>IF($J73="","",IF(ISBLANK(INDEX('Product Backlog'!$H$5:$H$504,$J73)),"",INDEX('Product Backlog'!$H$5:$H$504,$J73)))</f>
        <v/>
      </c>
      <c r="I73" s="48" t="str">
        <f>IF($J73="","",IF(ISBLANK(INDEX('Product Backlog'!$I$5:$I$504,$J73)),"",INDEX('Product Backlog'!$I$5:$I$504,$J73)))</f>
        <v/>
      </c>
      <c r="J73" t="str">
        <f>IFERROR(MATCH($B$4&amp;"-"&amp;ROWS($A$10:A73),'Product Backlog'!$J$5:$J$504,0),"")</f>
        <v/>
      </c>
    </row>
    <row r="74" spans="1:10" ht="21" customHeight="1" x14ac:dyDescent="0.2">
      <c r="A74" s="46" t="str">
        <f>IF($J74="","",IF(ISBLANK(INDEX('Product Backlog'!$A$5:$A$504,$J74)),"",INDEX('Product Backlog'!$A$5:$A$504,$J74)))</f>
        <v/>
      </c>
      <c r="B74" s="46" t="str">
        <f>IF($J74="","",IF(ISBLANK(INDEX('Product Backlog'!$B$5:$B$504,$J74)),"",INDEX('Product Backlog'!$B$5:$B$504,$J74)))</f>
        <v/>
      </c>
      <c r="C74" s="46" t="str">
        <f>IF($J74="","",IF(ISBLANK(INDEX('Product Backlog'!$C$5:$C$504,$J74)),"",INDEX('Product Backlog'!$C$5:$C$504,$J74)))</f>
        <v/>
      </c>
      <c r="D74" s="46" t="str">
        <f>IF($J74="","",IF(ISBLANK(INDEX('Product Backlog'!$D$5:$D$504,$J74)),"",INDEX('Product Backlog'!$D$5:$D$504,$J74)))</f>
        <v/>
      </c>
      <c r="E74" s="46" t="str">
        <f>IF($J74="","",IF(ISBLANK(INDEX('Product Backlog'!$E$5:$E$504,$J74)),"",INDEX('Product Backlog'!$E$5:$E$504,$J74)))</f>
        <v/>
      </c>
      <c r="F74" s="47" t="str">
        <f>IF($J74="","",IF(ISBLANK(INDEX('Product Backlog'!$F$5:$F$504,$J74)),"",INDEX('Product Backlog'!$F$5:$F$504,$J74)))</f>
        <v/>
      </c>
      <c r="G74" s="47" t="str">
        <f>IF($J74="","",IF(ISBLANK(INDEX('Product Backlog'!$G$5:$G$504,$J74)),"",INDEX('Product Backlog'!$G$5:$G$504,$J74)))</f>
        <v/>
      </c>
      <c r="H74" s="48" t="str">
        <f>IF($J74="","",IF(ISBLANK(INDEX('Product Backlog'!$H$5:$H$504,$J74)),"",INDEX('Product Backlog'!$H$5:$H$504,$J74)))</f>
        <v/>
      </c>
      <c r="I74" s="48" t="str">
        <f>IF($J74="","",IF(ISBLANK(INDEX('Product Backlog'!$I$5:$I$504,$J74)),"",INDEX('Product Backlog'!$I$5:$I$504,$J74)))</f>
        <v/>
      </c>
      <c r="J74" t="str">
        <f>IFERROR(MATCH($B$4&amp;"-"&amp;ROWS($A$10:A74),'Product Backlog'!$J$5:$J$504,0),"")</f>
        <v/>
      </c>
    </row>
    <row r="75" spans="1:10" ht="21" customHeight="1" x14ac:dyDescent="0.2">
      <c r="A75" s="46" t="str">
        <f>IF($J75="","",IF(ISBLANK(INDEX('Product Backlog'!$A$5:$A$504,$J75)),"",INDEX('Product Backlog'!$A$5:$A$504,$J75)))</f>
        <v/>
      </c>
      <c r="B75" s="46" t="str">
        <f>IF($J75="","",IF(ISBLANK(INDEX('Product Backlog'!$B$5:$B$504,$J75)),"",INDEX('Product Backlog'!$B$5:$B$504,$J75)))</f>
        <v/>
      </c>
      <c r="C75" s="46" t="str">
        <f>IF($J75="","",IF(ISBLANK(INDEX('Product Backlog'!$C$5:$C$504,$J75)),"",INDEX('Product Backlog'!$C$5:$C$504,$J75)))</f>
        <v/>
      </c>
      <c r="D75" s="46" t="str">
        <f>IF($J75="","",IF(ISBLANK(INDEX('Product Backlog'!$D$5:$D$504,$J75)),"",INDEX('Product Backlog'!$D$5:$D$504,$J75)))</f>
        <v/>
      </c>
      <c r="E75" s="46" t="str">
        <f>IF($J75="","",IF(ISBLANK(INDEX('Product Backlog'!$E$5:$E$504,$J75)),"",INDEX('Product Backlog'!$E$5:$E$504,$J75)))</f>
        <v/>
      </c>
      <c r="F75" s="47" t="str">
        <f>IF($J75="","",IF(ISBLANK(INDEX('Product Backlog'!$F$5:$F$504,$J75)),"",INDEX('Product Backlog'!$F$5:$F$504,$J75)))</f>
        <v/>
      </c>
      <c r="G75" s="47" t="str">
        <f>IF($J75="","",IF(ISBLANK(INDEX('Product Backlog'!$G$5:$G$504,$J75)),"",INDEX('Product Backlog'!$G$5:$G$504,$J75)))</f>
        <v/>
      </c>
      <c r="H75" s="48" t="str">
        <f>IF($J75="","",IF(ISBLANK(INDEX('Product Backlog'!$H$5:$H$504,$J75)),"",INDEX('Product Backlog'!$H$5:$H$504,$J75)))</f>
        <v/>
      </c>
      <c r="I75" s="48" t="str">
        <f>IF($J75="","",IF(ISBLANK(INDEX('Product Backlog'!$I$5:$I$504,$J75)),"",INDEX('Product Backlog'!$I$5:$I$504,$J75)))</f>
        <v/>
      </c>
      <c r="J75" t="str">
        <f>IFERROR(MATCH($B$4&amp;"-"&amp;ROWS($A$10:A75),'Product Backlog'!$J$5:$J$504,0),"")</f>
        <v/>
      </c>
    </row>
    <row r="76" spans="1:10" ht="21" customHeight="1" x14ac:dyDescent="0.2">
      <c r="A76" s="46" t="str">
        <f>IF($J76="","",IF(ISBLANK(INDEX('Product Backlog'!$A$5:$A$504,$J76)),"",INDEX('Product Backlog'!$A$5:$A$504,$J76)))</f>
        <v/>
      </c>
      <c r="B76" s="46" t="str">
        <f>IF($J76="","",IF(ISBLANK(INDEX('Product Backlog'!$B$5:$B$504,$J76)),"",INDEX('Product Backlog'!$B$5:$B$504,$J76)))</f>
        <v/>
      </c>
      <c r="C76" s="46" t="str">
        <f>IF($J76="","",IF(ISBLANK(INDEX('Product Backlog'!$C$5:$C$504,$J76)),"",INDEX('Product Backlog'!$C$5:$C$504,$J76)))</f>
        <v/>
      </c>
      <c r="D76" s="46" t="str">
        <f>IF($J76="","",IF(ISBLANK(INDEX('Product Backlog'!$D$5:$D$504,$J76)),"",INDEX('Product Backlog'!$D$5:$D$504,$J76)))</f>
        <v/>
      </c>
      <c r="E76" s="46" t="str">
        <f>IF($J76="","",IF(ISBLANK(INDEX('Product Backlog'!$E$5:$E$504,$J76)),"",INDEX('Product Backlog'!$E$5:$E$504,$J76)))</f>
        <v/>
      </c>
      <c r="F76" s="47" t="str">
        <f>IF($J76="","",IF(ISBLANK(INDEX('Product Backlog'!$F$5:$F$504,$J76)),"",INDEX('Product Backlog'!$F$5:$F$504,$J76)))</f>
        <v/>
      </c>
      <c r="G76" s="47" t="str">
        <f>IF($J76="","",IF(ISBLANK(INDEX('Product Backlog'!$G$5:$G$504,$J76)),"",INDEX('Product Backlog'!$G$5:$G$504,$J76)))</f>
        <v/>
      </c>
      <c r="H76" s="48" t="str">
        <f>IF($J76="","",IF(ISBLANK(INDEX('Product Backlog'!$H$5:$H$504,$J76)),"",INDEX('Product Backlog'!$H$5:$H$504,$J76)))</f>
        <v/>
      </c>
      <c r="I76" s="48" t="str">
        <f>IF($J76="","",IF(ISBLANK(INDEX('Product Backlog'!$I$5:$I$504,$J76)),"",INDEX('Product Backlog'!$I$5:$I$504,$J76)))</f>
        <v/>
      </c>
      <c r="J76" t="str">
        <f>IFERROR(MATCH($B$4&amp;"-"&amp;ROWS($A$10:A76),'Product Backlog'!$J$5:$J$504,0),"")</f>
        <v/>
      </c>
    </row>
    <row r="77" spans="1:10" ht="21" customHeight="1" x14ac:dyDescent="0.2">
      <c r="A77" s="46" t="str">
        <f>IF($J77="","",IF(ISBLANK(INDEX('Product Backlog'!$A$5:$A$504,$J77)),"",INDEX('Product Backlog'!$A$5:$A$504,$J77)))</f>
        <v/>
      </c>
      <c r="B77" s="46" t="str">
        <f>IF($J77="","",IF(ISBLANK(INDEX('Product Backlog'!$B$5:$B$504,$J77)),"",INDEX('Product Backlog'!$B$5:$B$504,$J77)))</f>
        <v/>
      </c>
      <c r="C77" s="46" t="str">
        <f>IF($J77="","",IF(ISBLANK(INDEX('Product Backlog'!$C$5:$C$504,$J77)),"",INDEX('Product Backlog'!$C$5:$C$504,$J77)))</f>
        <v/>
      </c>
      <c r="D77" s="46" t="str">
        <f>IF($J77="","",IF(ISBLANK(INDEX('Product Backlog'!$D$5:$D$504,$J77)),"",INDEX('Product Backlog'!$D$5:$D$504,$J77)))</f>
        <v/>
      </c>
      <c r="E77" s="46" t="str">
        <f>IF($J77="","",IF(ISBLANK(INDEX('Product Backlog'!$E$5:$E$504,$J77)),"",INDEX('Product Backlog'!$E$5:$E$504,$J77)))</f>
        <v/>
      </c>
      <c r="F77" s="47" t="str">
        <f>IF($J77="","",IF(ISBLANK(INDEX('Product Backlog'!$F$5:$F$504,$J77)),"",INDEX('Product Backlog'!$F$5:$F$504,$J77)))</f>
        <v/>
      </c>
      <c r="G77" s="47" t="str">
        <f>IF($J77="","",IF(ISBLANK(INDEX('Product Backlog'!$G$5:$G$504,$J77)),"",INDEX('Product Backlog'!$G$5:$G$504,$J77)))</f>
        <v/>
      </c>
      <c r="H77" s="48" t="str">
        <f>IF($J77="","",IF(ISBLANK(INDEX('Product Backlog'!$H$5:$H$504,$J77)),"",INDEX('Product Backlog'!$H$5:$H$504,$J77)))</f>
        <v/>
      </c>
      <c r="I77" s="48" t="str">
        <f>IF($J77="","",IF(ISBLANK(INDEX('Product Backlog'!$I$5:$I$504,$J77)),"",INDEX('Product Backlog'!$I$5:$I$504,$J77)))</f>
        <v/>
      </c>
      <c r="J77" t="str">
        <f>IFERROR(MATCH($B$4&amp;"-"&amp;ROWS($A$10:A77),'Product Backlog'!$J$5:$J$504,0),"")</f>
        <v/>
      </c>
    </row>
    <row r="78" spans="1:10" ht="21" customHeight="1" x14ac:dyDescent="0.2">
      <c r="A78" s="46" t="str">
        <f>IF($J78="","",IF(ISBLANK(INDEX('Product Backlog'!$A$5:$A$504,$J78)),"",INDEX('Product Backlog'!$A$5:$A$504,$J78)))</f>
        <v/>
      </c>
      <c r="B78" s="46" t="str">
        <f>IF($J78="","",IF(ISBLANK(INDEX('Product Backlog'!$B$5:$B$504,$J78)),"",INDEX('Product Backlog'!$B$5:$B$504,$J78)))</f>
        <v/>
      </c>
      <c r="C78" s="46" t="str">
        <f>IF($J78="","",IF(ISBLANK(INDEX('Product Backlog'!$C$5:$C$504,$J78)),"",INDEX('Product Backlog'!$C$5:$C$504,$J78)))</f>
        <v/>
      </c>
      <c r="D78" s="46" t="str">
        <f>IF($J78="","",IF(ISBLANK(INDEX('Product Backlog'!$D$5:$D$504,$J78)),"",INDEX('Product Backlog'!$D$5:$D$504,$J78)))</f>
        <v/>
      </c>
      <c r="E78" s="46" t="str">
        <f>IF($J78="","",IF(ISBLANK(INDEX('Product Backlog'!$E$5:$E$504,$J78)),"",INDEX('Product Backlog'!$E$5:$E$504,$J78)))</f>
        <v/>
      </c>
      <c r="F78" s="47" t="str">
        <f>IF($J78="","",IF(ISBLANK(INDEX('Product Backlog'!$F$5:$F$504,$J78)),"",INDEX('Product Backlog'!$F$5:$F$504,$J78)))</f>
        <v/>
      </c>
      <c r="G78" s="47" t="str">
        <f>IF($J78="","",IF(ISBLANK(INDEX('Product Backlog'!$G$5:$G$504,$J78)),"",INDEX('Product Backlog'!$G$5:$G$504,$J78)))</f>
        <v/>
      </c>
      <c r="H78" s="48" t="str">
        <f>IF($J78="","",IF(ISBLANK(INDEX('Product Backlog'!$H$5:$H$504,$J78)),"",INDEX('Product Backlog'!$H$5:$H$504,$J78)))</f>
        <v/>
      </c>
      <c r="I78" s="48" t="str">
        <f>IF($J78="","",IF(ISBLANK(INDEX('Product Backlog'!$I$5:$I$504,$J78)),"",INDEX('Product Backlog'!$I$5:$I$504,$J78)))</f>
        <v/>
      </c>
      <c r="J78" t="str">
        <f>IFERROR(MATCH($B$4&amp;"-"&amp;ROWS($A$10:A78),'Product Backlog'!$J$5:$J$504,0),"")</f>
        <v/>
      </c>
    </row>
    <row r="79" spans="1:10" ht="21" customHeight="1" x14ac:dyDescent="0.2">
      <c r="A79" s="46" t="str">
        <f>IF($J79="","",IF(ISBLANK(INDEX('Product Backlog'!$A$5:$A$504,$J79)),"",INDEX('Product Backlog'!$A$5:$A$504,$J79)))</f>
        <v/>
      </c>
      <c r="B79" s="46" t="str">
        <f>IF($J79="","",IF(ISBLANK(INDEX('Product Backlog'!$B$5:$B$504,$J79)),"",INDEX('Product Backlog'!$B$5:$B$504,$J79)))</f>
        <v/>
      </c>
      <c r="C79" s="46" t="str">
        <f>IF($J79="","",IF(ISBLANK(INDEX('Product Backlog'!$C$5:$C$504,$J79)),"",INDEX('Product Backlog'!$C$5:$C$504,$J79)))</f>
        <v/>
      </c>
      <c r="D79" s="46" t="str">
        <f>IF($J79="","",IF(ISBLANK(INDEX('Product Backlog'!$D$5:$D$504,$J79)),"",INDEX('Product Backlog'!$D$5:$D$504,$J79)))</f>
        <v/>
      </c>
      <c r="E79" s="46" t="str">
        <f>IF($J79="","",IF(ISBLANK(INDEX('Product Backlog'!$E$5:$E$504,$J79)),"",INDEX('Product Backlog'!$E$5:$E$504,$J79)))</f>
        <v/>
      </c>
      <c r="F79" s="47" t="str">
        <f>IF($J79="","",IF(ISBLANK(INDEX('Product Backlog'!$F$5:$F$504,$J79)),"",INDEX('Product Backlog'!$F$5:$F$504,$J79)))</f>
        <v/>
      </c>
      <c r="G79" s="47" t="str">
        <f>IF($J79="","",IF(ISBLANK(INDEX('Product Backlog'!$G$5:$G$504,$J79)),"",INDEX('Product Backlog'!$G$5:$G$504,$J79)))</f>
        <v/>
      </c>
      <c r="H79" s="48" t="str">
        <f>IF($J79="","",IF(ISBLANK(INDEX('Product Backlog'!$H$5:$H$504,$J79)),"",INDEX('Product Backlog'!$H$5:$H$504,$J79)))</f>
        <v/>
      </c>
      <c r="I79" s="48" t="str">
        <f>IF($J79="","",IF(ISBLANK(INDEX('Product Backlog'!$I$5:$I$504,$J79)),"",INDEX('Product Backlog'!$I$5:$I$504,$J79)))</f>
        <v/>
      </c>
      <c r="J79" t="str">
        <f>IFERROR(MATCH($B$4&amp;"-"&amp;ROWS($A$10:A79),'Product Backlog'!$J$5:$J$504,0),"")</f>
        <v/>
      </c>
    </row>
    <row r="80" spans="1:10" ht="21" customHeight="1" x14ac:dyDescent="0.2">
      <c r="A80" s="46" t="str">
        <f>IF($J80="","",IF(ISBLANK(INDEX('Product Backlog'!$A$5:$A$504,$J80)),"",INDEX('Product Backlog'!$A$5:$A$504,$J80)))</f>
        <v/>
      </c>
      <c r="B80" s="46" t="str">
        <f>IF($J80="","",IF(ISBLANK(INDEX('Product Backlog'!$B$5:$B$504,$J80)),"",INDEX('Product Backlog'!$B$5:$B$504,$J80)))</f>
        <v/>
      </c>
      <c r="C80" s="46" t="str">
        <f>IF($J80="","",IF(ISBLANK(INDEX('Product Backlog'!$C$5:$C$504,$J80)),"",INDEX('Product Backlog'!$C$5:$C$504,$J80)))</f>
        <v/>
      </c>
      <c r="D80" s="46" t="str">
        <f>IF($J80="","",IF(ISBLANK(INDEX('Product Backlog'!$D$5:$D$504,$J80)),"",INDEX('Product Backlog'!$D$5:$D$504,$J80)))</f>
        <v/>
      </c>
      <c r="E80" s="46" t="str">
        <f>IF($J80="","",IF(ISBLANK(INDEX('Product Backlog'!$E$5:$E$504,$J80)),"",INDEX('Product Backlog'!$E$5:$E$504,$J80)))</f>
        <v/>
      </c>
      <c r="F80" s="47" t="str">
        <f>IF($J80="","",IF(ISBLANK(INDEX('Product Backlog'!$F$5:$F$504,$J80)),"",INDEX('Product Backlog'!$F$5:$F$504,$J80)))</f>
        <v/>
      </c>
      <c r="G80" s="47" t="str">
        <f>IF($J80="","",IF(ISBLANK(INDEX('Product Backlog'!$G$5:$G$504,$J80)),"",INDEX('Product Backlog'!$G$5:$G$504,$J80)))</f>
        <v/>
      </c>
      <c r="H80" s="48" t="str">
        <f>IF($J80="","",IF(ISBLANK(INDEX('Product Backlog'!$H$5:$H$504,$J80)),"",INDEX('Product Backlog'!$H$5:$H$504,$J80)))</f>
        <v/>
      </c>
      <c r="I80" s="48" t="str">
        <f>IF($J80="","",IF(ISBLANK(INDEX('Product Backlog'!$I$5:$I$504,$J80)),"",INDEX('Product Backlog'!$I$5:$I$504,$J80)))</f>
        <v/>
      </c>
      <c r="J80" t="str">
        <f>IFERROR(MATCH($B$4&amp;"-"&amp;ROWS($A$10:A80),'Product Backlog'!$J$5:$J$504,0),"")</f>
        <v/>
      </c>
    </row>
    <row r="81" spans="1:10" ht="21" customHeight="1" x14ac:dyDescent="0.2">
      <c r="A81" s="46" t="str">
        <f>IF($J81="","",IF(ISBLANK(INDEX('Product Backlog'!$A$5:$A$504,$J81)),"",INDEX('Product Backlog'!$A$5:$A$504,$J81)))</f>
        <v/>
      </c>
      <c r="B81" s="46" t="str">
        <f>IF($J81="","",IF(ISBLANK(INDEX('Product Backlog'!$B$5:$B$504,$J81)),"",INDEX('Product Backlog'!$B$5:$B$504,$J81)))</f>
        <v/>
      </c>
      <c r="C81" s="46" t="str">
        <f>IF($J81="","",IF(ISBLANK(INDEX('Product Backlog'!$C$5:$C$504,$J81)),"",INDEX('Product Backlog'!$C$5:$C$504,$J81)))</f>
        <v/>
      </c>
      <c r="D81" s="46" t="str">
        <f>IF($J81="","",IF(ISBLANK(INDEX('Product Backlog'!$D$5:$D$504,$J81)),"",INDEX('Product Backlog'!$D$5:$D$504,$J81)))</f>
        <v/>
      </c>
      <c r="E81" s="46" t="str">
        <f>IF($J81="","",IF(ISBLANK(INDEX('Product Backlog'!$E$5:$E$504,$J81)),"",INDEX('Product Backlog'!$E$5:$E$504,$J81)))</f>
        <v/>
      </c>
      <c r="F81" s="47" t="str">
        <f>IF($J81="","",IF(ISBLANK(INDEX('Product Backlog'!$F$5:$F$504,$J81)),"",INDEX('Product Backlog'!$F$5:$F$504,$J81)))</f>
        <v/>
      </c>
      <c r="G81" s="47" t="str">
        <f>IF($J81="","",IF(ISBLANK(INDEX('Product Backlog'!$G$5:$G$504,$J81)),"",INDEX('Product Backlog'!$G$5:$G$504,$J81)))</f>
        <v/>
      </c>
      <c r="H81" s="48" t="str">
        <f>IF($J81="","",IF(ISBLANK(INDEX('Product Backlog'!$H$5:$H$504,$J81)),"",INDEX('Product Backlog'!$H$5:$H$504,$J81)))</f>
        <v/>
      </c>
      <c r="I81" s="48" t="str">
        <f>IF($J81="","",IF(ISBLANK(INDEX('Product Backlog'!$I$5:$I$504,$J81)),"",INDEX('Product Backlog'!$I$5:$I$504,$J81)))</f>
        <v/>
      </c>
      <c r="J81" t="str">
        <f>IFERROR(MATCH($B$4&amp;"-"&amp;ROWS($A$10:A81),'Product Backlog'!$J$5:$J$504,0),"")</f>
        <v/>
      </c>
    </row>
    <row r="82" spans="1:10" ht="21" customHeight="1" x14ac:dyDescent="0.2">
      <c r="A82" s="46" t="str">
        <f>IF($J82="","",IF(ISBLANK(INDEX('Product Backlog'!$A$5:$A$504,$J82)),"",INDEX('Product Backlog'!$A$5:$A$504,$J82)))</f>
        <v/>
      </c>
      <c r="B82" s="46" t="str">
        <f>IF($J82="","",IF(ISBLANK(INDEX('Product Backlog'!$B$5:$B$504,$J82)),"",INDEX('Product Backlog'!$B$5:$B$504,$J82)))</f>
        <v/>
      </c>
      <c r="C82" s="46" t="str">
        <f>IF($J82="","",IF(ISBLANK(INDEX('Product Backlog'!$C$5:$C$504,$J82)),"",INDEX('Product Backlog'!$C$5:$C$504,$J82)))</f>
        <v/>
      </c>
      <c r="D82" s="46" t="str">
        <f>IF($J82="","",IF(ISBLANK(INDEX('Product Backlog'!$D$5:$D$504,$J82)),"",INDEX('Product Backlog'!$D$5:$D$504,$J82)))</f>
        <v/>
      </c>
      <c r="E82" s="46" t="str">
        <f>IF($J82="","",IF(ISBLANK(INDEX('Product Backlog'!$E$5:$E$504,$J82)),"",INDEX('Product Backlog'!$E$5:$E$504,$J82)))</f>
        <v/>
      </c>
      <c r="F82" s="47" t="str">
        <f>IF($J82="","",IF(ISBLANK(INDEX('Product Backlog'!$F$5:$F$504,$J82)),"",INDEX('Product Backlog'!$F$5:$F$504,$J82)))</f>
        <v/>
      </c>
      <c r="G82" s="47" t="str">
        <f>IF($J82="","",IF(ISBLANK(INDEX('Product Backlog'!$G$5:$G$504,$J82)),"",INDEX('Product Backlog'!$G$5:$G$504,$J82)))</f>
        <v/>
      </c>
      <c r="H82" s="48" t="str">
        <f>IF($J82="","",IF(ISBLANK(INDEX('Product Backlog'!$H$5:$H$504,$J82)),"",INDEX('Product Backlog'!$H$5:$H$504,$J82)))</f>
        <v/>
      </c>
      <c r="I82" s="48" t="str">
        <f>IF($J82="","",IF(ISBLANK(INDEX('Product Backlog'!$I$5:$I$504,$J82)),"",INDEX('Product Backlog'!$I$5:$I$504,$J82)))</f>
        <v/>
      </c>
      <c r="J82" t="str">
        <f>IFERROR(MATCH($B$4&amp;"-"&amp;ROWS($A$10:A82),'Product Backlog'!$J$5:$J$504,0),"")</f>
        <v/>
      </c>
    </row>
    <row r="83" spans="1:10" ht="21" customHeight="1" x14ac:dyDescent="0.2">
      <c r="A83" s="46" t="str">
        <f>IF($J83="","",IF(ISBLANK(INDEX('Product Backlog'!$A$5:$A$504,$J83)),"",INDEX('Product Backlog'!$A$5:$A$504,$J83)))</f>
        <v/>
      </c>
      <c r="B83" s="46" t="str">
        <f>IF($J83="","",IF(ISBLANK(INDEX('Product Backlog'!$B$5:$B$504,$J83)),"",INDEX('Product Backlog'!$B$5:$B$504,$J83)))</f>
        <v/>
      </c>
      <c r="C83" s="46" t="str">
        <f>IF($J83="","",IF(ISBLANK(INDEX('Product Backlog'!$C$5:$C$504,$J83)),"",INDEX('Product Backlog'!$C$5:$C$504,$J83)))</f>
        <v/>
      </c>
      <c r="D83" s="46" t="str">
        <f>IF($J83="","",IF(ISBLANK(INDEX('Product Backlog'!$D$5:$D$504,$J83)),"",INDEX('Product Backlog'!$D$5:$D$504,$J83)))</f>
        <v/>
      </c>
      <c r="E83" s="46" t="str">
        <f>IF($J83="","",IF(ISBLANK(INDEX('Product Backlog'!$E$5:$E$504,$J83)),"",INDEX('Product Backlog'!$E$5:$E$504,$J83)))</f>
        <v/>
      </c>
      <c r="F83" s="47" t="str">
        <f>IF($J83="","",IF(ISBLANK(INDEX('Product Backlog'!$F$5:$F$504,$J83)),"",INDEX('Product Backlog'!$F$5:$F$504,$J83)))</f>
        <v/>
      </c>
      <c r="G83" s="47" t="str">
        <f>IF($J83="","",IF(ISBLANK(INDEX('Product Backlog'!$G$5:$G$504,$J83)),"",INDEX('Product Backlog'!$G$5:$G$504,$J83)))</f>
        <v/>
      </c>
      <c r="H83" s="48" t="str">
        <f>IF($J83="","",IF(ISBLANK(INDEX('Product Backlog'!$H$5:$H$504,$J83)),"",INDEX('Product Backlog'!$H$5:$H$504,$J83)))</f>
        <v/>
      </c>
      <c r="I83" s="48" t="str">
        <f>IF($J83="","",IF(ISBLANK(INDEX('Product Backlog'!$I$5:$I$504,$J83)),"",INDEX('Product Backlog'!$I$5:$I$504,$J83)))</f>
        <v/>
      </c>
      <c r="J83" t="str">
        <f>IFERROR(MATCH($B$4&amp;"-"&amp;ROWS($A$10:A83),'Product Backlog'!$J$5:$J$504,0),"")</f>
        <v/>
      </c>
    </row>
    <row r="84" spans="1:10" ht="21" customHeight="1" x14ac:dyDescent="0.2">
      <c r="A84" s="46" t="str">
        <f>IF($J84="","",IF(ISBLANK(INDEX('Product Backlog'!$A$5:$A$504,$J84)),"",INDEX('Product Backlog'!$A$5:$A$504,$J84)))</f>
        <v/>
      </c>
      <c r="B84" s="46" t="str">
        <f>IF($J84="","",IF(ISBLANK(INDEX('Product Backlog'!$B$5:$B$504,$J84)),"",INDEX('Product Backlog'!$B$5:$B$504,$J84)))</f>
        <v/>
      </c>
      <c r="C84" s="46" t="str">
        <f>IF($J84="","",IF(ISBLANK(INDEX('Product Backlog'!$C$5:$C$504,$J84)),"",INDEX('Product Backlog'!$C$5:$C$504,$J84)))</f>
        <v/>
      </c>
      <c r="D84" s="46" t="str">
        <f>IF($J84="","",IF(ISBLANK(INDEX('Product Backlog'!$D$5:$D$504,$J84)),"",INDEX('Product Backlog'!$D$5:$D$504,$J84)))</f>
        <v/>
      </c>
      <c r="E84" s="46" t="str">
        <f>IF($J84="","",IF(ISBLANK(INDEX('Product Backlog'!$E$5:$E$504,$J84)),"",INDEX('Product Backlog'!$E$5:$E$504,$J84)))</f>
        <v/>
      </c>
      <c r="F84" s="47" t="str">
        <f>IF($J84="","",IF(ISBLANK(INDEX('Product Backlog'!$F$5:$F$504,$J84)),"",INDEX('Product Backlog'!$F$5:$F$504,$J84)))</f>
        <v/>
      </c>
      <c r="G84" s="47" t="str">
        <f>IF($J84="","",IF(ISBLANK(INDEX('Product Backlog'!$G$5:$G$504,$J84)),"",INDEX('Product Backlog'!$G$5:$G$504,$J84)))</f>
        <v/>
      </c>
      <c r="H84" s="48" t="str">
        <f>IF($J84="","",IF(ISBLANK(INDEX('Product Backlog'!$H$5:$H$504,$J84)),"",INDEX('Product Backlog'!$H$5:$H$504,$J84)))</f>
        <v/>
      </c>
      <c r="I84" s="48" t="str">
        <f>IF($J84="","",IF(ISBLANK(INDEX('Product Backlog'!$I$5:$I$504,$J84)),"",INDEX('Product Backlog'!$I$5:$I$504,$J84)))</f>
        <v/>
      </c>
      <c r="J84" t="str">
        <f>IFERROR(MATCH($B$4&amp;"-"&amp;ROWS($A$10:A84),'Product Backlog'!$J$5:$J$504,0),"")</f>
        <v/>
      </c>
    </row>
    <row r="85" spans="1:10" ht="21" customHeight="1" x14ac:dyDescent="0.2">
      <c r="A85" s="46" t="str">
        <f>IF($J85="","",IF(ISBLANK(INDEX('Product Backlog'!$A$5:$A$504,$J85)),"",INDEX('Product Backlog'!$A$5:$A$504,$J85)))</f>
        <v/>
      </c>
      <c r="B85" s="46" t="str">
        <f>IF($J85="","",IF(ISBLANK(INDEX('Product Backlog'!$B$5:$B$504,$J85)),"",INDEX('Product Backlog'!$B$5:$B$504,$J85)))</f>
        <v/>
      </c>
      <c r="C85" s="46" t="str">
        <f>IF($J85="","",IF(ISBLANK(INDEX('Product Backlog'!$C$5:$C$504,$J85)),"",INDEX('Product Backlog'!$C$5:$C$504,$J85)))</f>
        <v/>
      </c>
      <c r="D85" s="46" t="str">
        <f>IF($J85="","",IF(ISBLANK(INDEX('Product Backlog'!$D$5:$D$504,$J85)),"",INDEX('Product Backlog'!$D$5:$D$504,$J85)))</f>
        <v/>
      </c>
      <c r="E85" s="46" t="str">
        <f>IF($J85="","",IF(ISBLANK(INDEX('Product Backlog'!$E$5:$E$504,$J85)),"",INDEX('Product Backlog'!$E$5:$E$504,$J85)))</f>
        <v/>
      </c>
      <c r="F85" s="47" t="str">
        <f>IF($J85="","",IF(ISBLANK(INDEX('Product Backlog'!$F$5:$F$504,$J85)),"",INDEX('Product Backlog'!$F$5:$F$504,$J85)))</f>
        <v/>
      </c>
      <c r="G85" s="47" t="str">
        <f>IF($J85="","",IF(ISBLANK(INDEX('Product Backlog'!$G$5:$G$504,$J85)),"",INDEX('Product Backlog'!$G$5:$G$504,$J85)))</f>
        <v/>
      </c>
      <c r="H85" s="48" t="str">
        <f>IF($J85="","",IF(ISBLANK(INDEX('Product Backlog'!$H$5:$H$504,$J85)),"",INDEX('Product Backlog'!$H$5:$H$504,$J85)))</f>
        <v/>
      </c>
      <c r="I85" s="48" t="str">
        <f>IF($J85="","",IF(ISBLANK(INDEX('Product Backlog'!$I$5:$I$504,$J85)),"",INDEX('Product Backlog'!$I$5:$I$504,$J85)))</f>
        <v/>
      </c>
      <c r="J85" t="str">
        <f>IFERROR(MATCH($B$4&amp;"-"&amp;ROWS($A$10:A85),'Product Backlog'!$J$5:$J$504,0),"")</f>
        <v/>
      </c>
    </row>
    <row r="86" spans="1:10" ht="21" customHeight="1" x14ac:dyDescent="0.2">
      <c r="A86" s="46" t="str">
        <f>IF($J86="","",IF(ISBLANK(INDEX('Product Backlog'!$A$5:$A$504,$J86)),"",INDEX('Product Backlog'!$A$5:$A$504,$J86)))</f>
        <v/>
      </c>
      <c r="B86" s="46" t="str">
        <f>IF($J86="","",IF(ISBLANK(INDEX('Product Backlog'!$B$5:$B$504,$J86)),"",INDEX('Product Backlog'!$B$5:$B$504,$J86)))</f>
        <v/>
      </c>
      <c r="C86" s="46" t="str">
        <f>IF($J86="","",IF(ISBLANK(INDEX('Product Backlog'!$C$5:$C$504,$J86)),"",INDEX('Product Backlog'!$C$5:$C$504,$J86)))</f>
        <v/>
      </c>
      <c r="D86" s="46" t="str">
        <f>IF($J86="","",IF(ISBLANK(INDEX('Product Backlog'!$D$5:$D$504,$J86)),"",INDEX('Product Backlog'!$D$5:$D$504,$J86)))</f>
        <v/>
      </c>
      <c r="E86" s="46" t="str">
        <f>IF($J86="","",IF(ISBLANK(INDEX('Product Backlog'!$E$5:$E$504,$J86)),"",INDEX('Product Backlog'!$E$5:$E$504,$J86)))</f>
        <v/>
      </c>
      <c r="F86" s="47" t="str">
        <f>IF($J86="","",IF(ISBLANK(INDEX('Product Backlog'!$F$5:$F$504,$J86)),"",INDEX('Product Backlog'!$F$5:$F$504,$J86)))</f>
        <v/>
      </c>
      <c r="G86" s="47" t="str">
        <f>IF($J86="","",IF(ISBLANK(INDEX('Product Backlog'!$G$5:$G$504,$J86)),"",INDEX('Product Backlog'!$G$5:$G$504,$J86)))</f>
        <v/>
      </c>
      <c r="H86" s="48" t="str">
        <f>IF($J86="","",IF(ISBLANK(INDEX('Product Backlog'!$H$5:$H$504,$J86)),"",INDEX('Product Backlog'!$H$5:$H$504,$J86)))</f>
        <v/>
      </c>
      <c r="I86" s="48" t="str">
        <f>IF($J86="","",IF(ISBLANK(INDEX('Product Backlog'!$I$5:$I$504,$J86)),"",INDEX('Product Backlog'!$I$5:$I$504,$J86)))</f>
        <v/>
      </c>
      <c r="J86" t="str">
        <f>IFERROR(MATCH($B$4&amp;"-"&amp;ROWS($A$10:A86),'Product Backlog'!$J$5:$J$504,0),"")</f>
        <v/>
      </c>
    </row>
    <row r="87" spans="1:10" ht="21" customHeight="1" x14ac:dyDescent="0.2">
      <c r="A87" s="46" t="str">
        <f>IF($J87="","",IF(ISBLANK(INDEX('Product Backlog'!$A$5:$A$504,$J87)),"",INDEX('Product Backlog'!$A$5:$A$504,$J87)))</f>
        <v/>
      </c>
      <c r="B87" s="46" t="str">
        <f>IF($J87="","",IF(ISBLANK(INDEX('Product Backlog'!$B$5:$B$504,$J87)),"",INDEX('Product Backlog'!$B$5:$B$504,$J87)))</f>
        <v/>
      </c>
      <c r="C87" s="46" t="str">
        <f>IF($J87="","",IF(ISBLANK(INDEX('Product Backlog'!$C$5:$C$504,$J87)),"",INDEX('Product Backlog'!$C$5:$C$504,$J87)))</f>
        <v/>
      </c>
      <c r="D87" s="46" t="str">
        <f>IF($J87="","",IF(ISBLANK(INDEX('Product Backlog'!$D$5:$D$504,$J87)),"",INDEX('Product Backlog'!$D$5:$D$504,$J87)))</f>
        <v/>
      </c>
      <c r="E87" s="46" t="str">
        <f>IF($J87="","",IF(ISBLANK(INDEX('Product Backlog'!$E$5:$E$504,$J87)),"",INDEX('Product Backlog'!$E$5:$E$504,$J87)))</f>
        <v/>
      </c>
      <c r="F87" s="47" t="str">
        <f>IF($J87="","",IF(ISBLANK(INDEX('Product Backlog'!$F$5:$F$504,$J87)),"",INDEX('Product Backlog'!$F$5:$F$504,$J87)))</f>
        <v/>
      </c>
      <c r="G87" s="47" t="str">
        <f>IF($J87="","",IF(ISBLANK(INDEX('Product Backlog'!$G$5:$G$504,$J87)),"",INDEX('Product Backlog'!$G$5:$G$504,$J87)))</f>
        <v/>
      </c>
      <c r="H87" s="48" t="str">
        <f>IF($J87="","",IF(ISBLANK(INDEX('Product Backlog'!$H$5:$H$504,$J87)),"",INDEX('Product Backlog'!$H$5:$H$504,$J87)))</f>
        <v/>
      </c>
      <c r="I87" s="48" t="str">
        <f>IF($J87="","",IF(ISBLANK(INDEX('Product Backlog'!$I$5:$I$504,$J87)),"",INDEX('Product Backlog'!$I$5:$I$504,$J87)))</f>
        <v/>
      </c>
      <c r="J87" t="str">
        <f>IFERROR(MATCH($B$4&amp;"-"&amp;ROWS($A$10:A87),'Product Backlog'!$J$5:$J$504,0),"")</f>
        <v/>
      </c>
    </row>
    <row r="88" spans="1:10" ht="21" customHeight="1" x14ac:dyDescent="0.2">
      <c r="A88" s="46" t="str">
        <f>IF($J88="","",IF(ISBLANK(INDEX('Product Backlog'!$A$5:$A$504,$J88)),"",INDEX('Product Backlog'!$A$5:$A$504,$J88)))</f>
        <v/>
      </c>
      <c r="B88" s="46" t="str">
        <f>IF($J88="","",IF(ISBLANK(INDEX('Product Backlog'!$B$5:$B$504,$J88)),"",INDEX('Product Backlog'!$B$5:$B$504,$J88)))</f>
        <v/>
      </c>
      <c r="C88" s="46" t="str">
        <f>IF($J88="","",IF(ISBLANK(INDEX('Product Backlog'!$C$5:$C$504,$J88)),"",INDEX('Product Backlog'!$C$5:$C$504,$J88)))</f>
        <v/>
      </c>
      <c r="D88" s="46" t="str">
        <f>IF($J88="","",IF(ISBLANK(INDEX('Product Backlog'!$D$5:$D$504,$J88)),"",INDEX('Product Backlog'!$D$5:$D$504,$J88)))</f>
        <v/>
      </c>
      <c r="E88" s="46" t="str">
        <f>IF($J88="","",IF(ISBLANK(INDEX('Product Backlog'!$E$5:$E$504,$J88)),"",INDEX('Product Backlog'!$E$5:$E$504,$J88)))</f>
        <v/>
      </c>
      <c r="F88" s="47" t="str">
        <f>IF($J88="","",IF(ISBLANK(INDEX('Product Backlog'!$F$5:$F$504,$J88)),"",INDEX('Product Backlog'!$F$5:$F$504,$J88)))</f>
        <v/>
      </c>
      <c r="G88" s="47" t="str">
        <f>IF($J88="","",IF(ISBLANK(INDEX('Product Backlog'!$G$5:$G$504,$J88)),"",INDEX('Product Backlog'!$G$5:$G$504,$J88)))</f>
        <v/>
      </c>
      <c r="H88" s="48" t="str">
        <f>IF($J88="","",IF(ISBLANK(INDEX('Product Backlog'!$H$5:$H$504,$J88)),"",INDEX('Product Backlog'!$H$5:$H$504,$J88)))</f>
        <v/>
      </c>
      <c r="I88" s="48" t="str">
        <f>IF($J88="","",IF(ISBLANK(INDEX('Product Backlog'!$I$5:$I$504,$J88)),"",INDEX('Product Backlog'!$I$5:$I$504,$J88)))</f>
        <v/>
      </c>
      <c r="J88" t="str">
        <f>IFERROR(MATCH($B$4&amp;"-"&amp;ROWS($A$10:A88),'Product Backlog'!$J$5:$J$504,0),"")</f>
        <v/>
      </c>
    </row>
    <row r="89" spans="1:10" ht="21" customHeight="1" x14ac:dyDescent="0.2">
      <c r="A89" s="46" t="str">
        <f>IF($J89="","",IF(ISBLANK(INDEX('Product Backlog'!$A$5:$A$504,$J89)),"",INDEX('Product Backlog'!$A$5:$A$504,$J89)))</f>
        <v/>
      </c>
      <c r="B89" s="46" t="str">
        <f>IF($J89="","",IF(ISBLANK(INDEX('Product Backlog'!$B$5:$B$504,$J89)),"",INDEX('Product Backlog'!$B$5:$B$504,$J89)))</f>
        <v/>
      </c>
      <c r="C89" s="46" t="str">
        <f>IF($J89="","",IF(ISBLANK(INDEX('Product Backlog'!$C$5:$C$504,$J89)),"",INDEX('Product Backlog'!$C$5:$C$504,$J89)))</f>
        <v/>
      </c>
      <c r="D89" s="46" t="str">
        <f>IF($J89="","",IF(ISBLANK(INDEX('Product Backlog'!$D$5:$D$504,$J89)),"",INDEX('Product Backlog'!$D$5:$D$504,$J89)))</f>
        <v/>
      </c>
      <c r="E89" s="46" t="str">
        <f>IF($J89="","",IF(ISBLANK(INDEX('Product Backlog'!$E$5:$E$504,$J89)),"",INDEX('Product Backlog'!$E$5:$E$504,$J89)))</f>
        <v/>
      </c>
      <c r="F89" s="47" t="str">
        <f>IF($J89="","",IF(ISBLANK(INDEX('Product Backlog'!$F$5:$F$504,$J89)),"",INDEX('Product Backlog'!$F$5:$F$504,$J89)))</f>
        <v/>
      </c>
      <c r="G89" s="47" t="str">
        <f>IF($J89="","",IF(ISBLANK(INDEX('Product Backlog'!$G$5:$G$504,$J89)),"",INDEX('Product Backlog'!$G$5:$G$504,$J89)))</f>
        <v/>
      </c>
      <c r="H89" s="48" t="str">
        <f>IF($J89="","",IF(ISBLANK(INDEX('Product Backlog'!$H$5:$H$504,$J89)),"",INDEX('Product Backlog'!$H$5:$H$504,$J89)))</f>
        <v/>
      </c>
      <c r="I89" s="48" t="str">
        <f>IF($J89="","",IF(ISBLANK(INDEX('Product Backlog'!$I$5:$I$504,$J89)),"",INDEX('Product Backlog'!$I$5:$I$504,$J89)))</f>
        <v/>
      </c>
      <c r="J89" t="str">
        <f>IFERROR(MATCH($B$4&amp;"-"&amp;ROWS($A$10:A89),'Product Backlog'!$J$5:$J$504,0),"")</f>
        <v/>
      </c>
    </row>
    <row r="90" spans="1:10" ht="21" customHeight="1" x14ac:dyDescent="0.2">
      <c r="A90" s="46" t="str">
        <f>IF($J90="","",IF(ISBLANK(INDEX('Product Backlog'!$A$5:$A$504,$J90)),"",INDEX('Product Backlog'!$A$5:$A$504,$J90)))</f>
        <v/>
      </c>
      <c r="B90" s="46" t="str">
        <f>IF($J90="","",IF(ISBLANK(INDEX('Product Backlog'!$B$5:$B$504,$J90)),"",INDEX('Product Backlog'!$B$5:$B$504,$J90)))</f>
        <v/>
      </c>
      <c r="C90" s="46" t="str">
        <f>IF($J90="","",IF(ISBLANK(INDEX('Product Backlog'!$C$5:$C$504,$J90)),"",INDEX('Product Backlog'!$C$5:$C$504,$J90)))</f>
        <v/>
      </c>
      <c r="D90" s="46" t="str">
        <f>IF($J90="","",IF(ISBLANK(INDEX('Product Backlog'!$D$5:$D$504,$J90)),"",INDEX('Product Backlog'!$D$5:$D$504,$J90)))</f>
        <v/>
      </c>
      <c r="E90" s="46" t="str">
        <f>IF($J90="","",IF(ISBLANK(INDEX('Product Backlog'!$E$5:$E$504,$J90)),"",INDEX('Product Backlog'!$E$5:$E$504,$J90)))</f>
        <v/>
      </c>
      <c r="F90" s="47" t="str">
        <f>IF($J90="","",IF(ISBLANK(INDEX('Product Backlog'!$F$5:$F$504,$J90)),"",INDEX('Product Backlog'!$F$5:$F$504,$J90)))</f>
        <v/>
      </c>
      <c r="G90" s="47" t="str">
        <f>IF($J90="","",IF(ISBLANK(INDEX('Product Backlog'!$G$5:$G$504,$J90)),"",INDEX('Product Backlog'!$G$5:$G$504,$J90)))</f>
        <v/>
      </c>
      <c r="H90" s="48" t="str">
        <f>IF($J90="","",IF(ISBLANK(INDEX('Product Backlog'!$H$5:$H$504,$J90)),"",INDEX('Product Backlog'!$H$5:$H$504,$J90)))</f>
        <v/>
      </c>
      <c r="I90" s="48" t="str">
        <f>IF($J90="","",IF(ISBLANK(INDEX('Product Backlog'!$I$5:$I$504,$J90)),"",INDEX('Product Backlog'!$I$5:$I$504,$J90)))</f>
        <v/>
      </c>
      <c r="J90" t="str">
        <f>IFERROR(MATCH($B$4&amp;"-"&amp;ROWS($A$10:A90),'Product Backlog'!$J$5:$J$504,0),"")</f>
        <v/>
      </c>
    </row>
    <row r="91" spans="1:10" ht="21" customHeight="1" x14ac:dyDescent="0.2">
      <c r="A91" s="46" t="str">
        <f>IF($J91="","",IF(ISBLANK(INDEX('Product Backlog'!$A$5:$A$504,$J91)),"",INDEX('Product Backlog'!$A$5:$A$504,$J91)))</f>
        <v/>
      </c>
      <c r="B91" s="46" t="str">
        <f>IF($J91="","",IF(ISBLANK(INDEX('Product Backlog'!$B$5:$B$504,$J91)),"",INDEX('Product Backlog'!$B$5:$B$504,$J91)))</f>
        <v/>
      </c>
      <c r="C91" s="46" t="str">
        <f>IF($J91="","",IF(ISBLANK(INDEX('Product Backlog'!$C$5:$C$504,$J91)),"",INDEX('Product Backlog'!$C$5:$C$504,$J91)))</f>
        <v/>
      </c>
      <c r="D91" s="46" t="str">
        <f>IF($J91="","",IF(ISBLANK(INDEX('Product Backlog'!$D$5:$D$504,$J91)),"",INDEX('Product Backlog'!$D$5:$D$504,$J91)))</f>
        <v/>
      </c>
      <c r="E91" s="46" t="str">
        <f>IF($J91="","",IF(ISBLANK(INDEX('Product Backlog'!$E$5:$E$504,$J91)),"",INDEX('Product Backlog'!$E$5:$E$504,$J91)))</f>
        <v/>
      </c>
      <c r="F91" s="47" t="str">
        <f>IF($J91="","",IF(ISBLANK(INDEX('Product Backlog'!$F$5:$F$504,$J91)),"",INDEX('Product Backlog'!$F$5:$F$504,$J91)))</f>
        <v/>
      </c>
      <c r="G91" s="47" t="str">
        <f>IF($J91="","",IF(ISBLANK(INDEX('Product Backlog'!$G$5:$G$504,$J91)),"",INDEX('Product Backlog'!$G$5:$G$504,$J91)))</f>
        <v/>
      </c>
      <c r="H91" s="48" t="str">
        <f>IF($J91="","",IF(ISBLANK(INDEX('Product Backlog'!$H$5:$H$504,$J91)),"",INDEX('Product Backlog'!$H$5:$H$504,$J91)))</f>
        <v/>
      </c>
      <c r="I91" s="48" t="str">
        <f>IF($J91="","",IF(ISBLANK(INDEX('Product Backlog'!$I$5:$I$504,$J91)),"",INDEX('Product Backlog'!$I$5:$I$504,$J91)))</f>
        <v/>
      </c>
      <c r="J91" t="str">
        <f>IFERROR(MATCH($B$4&amp;"-"&amp;ROWS($A$10:A91),'Product Backlog'!$J$5:$J$504,0),"")</f>
        <v/>
      </c>
    </row>
    <row r="92" spans="1:10" ht="21" customHeight="1" x14ac:dyDescent="0.2">
      <c r="A92" s="46" t="str">
        <f>IF($J92="","",IF(ISBLANK(INDEX('Product Backlog'!$A$5:$A$504,$J92)),"",INDEX('Product Backlog'!$A$5:$A$504,$J92)))</f>
        <v/>
      </c>
      <c r="B92" s="46" t="str">
        <f>IF($J92="","",IF(ISBLANK(INDEX('Product Backlog'!$B$5:$B$504,$J92)),"",INDEX('Product Backlog'!$B$5:$B$504,$J92)))</f>
        <v/>
      </c>
      <c r="C92" s="46" t="str">
        <f>IF($J92="","",IF(ISBLANK(INDEX('Product Backlog'!$C$5:$C$504,$J92)),"",INDEX('Product Backlog'!$C$5:$C$504,$J92)))</f>
        <v/>
      </c>
      <c r="D92" s="46" t="str">
        <f>IF($J92="","",IF(ISBLANK(INDEX('Product Backlog'!$D$5:$D$504,$J92)),"",INDEX('Product Backlog'!$D$5:$D$504,$J92)))</f>
        <v/>
      </c>
      <c r="E92" s="46" t="str">
        <f>IF($J92="","",IF(ISBLANK(INDEX('Product Backlog'!$E$5:$E$504,$J92)),"",INDEX('Product Backlog'!$E$5:$E$504,$J92)))</f>
        <v/>
      </c>
      <c r="F92" s="47" t="str">
        <f>IF($J92="","",IF(ISBLANK(INDEX('Product Backlog'!$F$5:$F$504,$J92)),"",INDEX('Product Backlog'!$F$5:$F$504,$J92)))</f>
        <v/>
      </c>
      <c r="G92" s="47" t="str">
        <f>IF($J92="","",IF(ISBLANK(INDEX('Product Backlog'!$G$5:$G$504,$J92)),"",INDEX('Product Backlog'!$G$5:$G$504,$J92)))</f>
        <v/>
      </c>
      <c r="H92" s="48" t="str">
        <f>IF($J92="","",IF(ISBLANK(INDEX('Product Backlog'!$H$5:$H$504,$J92)),"",INDEX('Product Backlog'!$H$5:$H$504,$J92)))</f>
        <v/>
      </c>
      <c r="I92" s="48" t="str">
        <f>IF($J92="","",IF(ISBLANK(INDEX('Product Backlog'!$I$5:$I$504,$J92)),"",INDEX('Product Backlog'!$I$5:$I$504,$J92)))</f>
        <v/>
      </c>
      <c r="J92" t="str">
        <f>IFERROR(MATCH($B$4&amp;"-"&amp;ROWS($A$10:A92),'Product Backlog'!$J$5:$J$504,0),"")</f>
        <v/>
      </c>
    </row>
    <row r="93" spans="1:10" ht="21" customHeight="1" x14ac:dyDescent="0.2">
      <c r="A93" s="46" t="str">
        <f>IF($J93="","",IF(ISBLANK(INDEX('Product Backlog'!$A$5:$A$504,$J93)),"",INDEX('Product Backlog'!$A$5:$A$504,$J93)))</f>
        <v/>
      </c>
      <c r="B93" s="46" t="str">
        <f>IF($J93="","",IF(ISBLANK(INDEX('Product Backlog'!$B$5:$B$504,$J93)),"",INDEX('Product Backlog'!$B$5:$B$504,$J93)))</f>
        <v/>
      </c>
      <c r="C93" s="46" t="str">
        <f>IF($J93="","",IF(ISBLANK(INDEX('Product Backlog'!$C$5:$C$504,$J93)),"",INDEX('Product Backlog'!$C$5:$C$504,$J93)))</f>
        <v/>
      </c>
      <c r="D93" s="46" t="str">
        <f>IF($J93="","",IF(ISBLANK(INDEX('Product Backlog'!$D$5:$D$504,$J93)),"",INDEX('Product Backlog'!$D$5:$D$504,$J93)))</f>
        <v/>
      </c>
      <c r="E93" s="46" t="str">
        <f>IF($J93="","",IF(ISBLANK(INDEX('Product Backlog'!$E$5:$E$504,$J93)),"",INDEX('Product Backlog'!$E$5:$E$504,$J93)))</f>
        <v/>
      </c>
      <c r="F93" s="47" t="str">
        <f>IF($J93="","",IF(ISBLANK(INDEX('Product Backlog'!$F$5:$F$504,$J93)),"",INDEX('Product Backlog'!$F$5:$F$504,$J93)))</f>
        <v/>
      </c>
      <c r="G93" s="47" t="str">
        <f>IF($J93="","",IF(ISBLANK(INDEX('Product Backlog'!$G$5:$G$504,$J93)),"",INDEX('Product Backlog'!$G$5:$G$504,$J93)))</f>
        <v/>
      </c>
      <c r="H93" s="48" t="str">
        <f>IF($J93="","",IF(ISBLANK(INDEX('Product Backlog'!$H$5:$H$504,$J93)),"",INDEX('Product Backlog'!$H$5:$H$504,$J93)))</f>
        <v/>
      </c>
      <c r="I93" s="48" t="str">
        <f>IF($J93="","",IF(ISBLANK(INDEX('Product Backlog'!$I$5:$I$504,$J93)),"",INDEX('Product Backlog'!$I$5:$I$504,$J93)))</f>
        <v/>
      </c>
      <c r="J93" t="str">
        <f>IFERROR(MATCH($B$4&amp;"-"&amp;ROWS($A$10:A93),'Product Backlog'!$J$5:$J$504,0),"")</f>
        <v/>
      </c>
    </row>
    <row r="94" spans="1:10" ht="21" customHeight="1" x14ac:dyDescent="0.2">
      <c r="A94" s="46" t="str">
        <f>IF($J94="","",IF(ISBLANK(INDEX('Product Backlog'!$A$5:$A$504,$J94)),"",INDEX('Product Backlog'!$A$5:$A$504,$J94)))</f>
        <v/>
      </c>
      <c r="B94" s="46" t="str">
        <f>IF($J94="","",IF(ISBLANK(INDEX('Product Backlog'!$B$5:$B$504,$J94)),"",INDEX('Product Backlog'!$B$5:$B$504,$J94)))</f>
        <v/>
      </c>
      <c r="C94" s="46" t="str">
        <f>IF($J94="","",IF(ISBLANK(INDEX('Product Backlog'!$C$5:$C$504,$J94)),"",INDEX('Product Backlog'!$C$5:$C$504,$J94)))</f>
        <v/>
      </c>
      <c r="D94" s="46" t="str">
        <f>IF($J94="","",IF(ISBLANK(INDEX('Product Backlog'!$D$5:$D$504,$J94)),"",INDEX('Product Backlog'!$D$5:$D$504,$J94)))</f>
        <v/>
      </c>
      <c r="E94" s="46" t="str">
        <f>IF($J94="","",IF(ISBLANK(INDEX('Product Backlog'!$E$5:$E$504,$J94)),"",INDEX('Product Backlog'!$E$5:$E$504,$J94)))</f>
        <v/>
      </c>
      <c r="F94" s="47" t="str">
        <f>IF($J94="","",IF(ISBLANK(INDEX('Product Backlog'!$F$5:$F$504,$J94)),"",INDEX('Product Backlog'!$F$5:$F$504,$J94)))</f>
        <v/>
      </c>
      <c r="G94" s="47" t="str">
        <f>IF($J94="","",IF(ISBLANK(INDEX('Product Backlog'!$G$5:$G$504,$J94)),"",INDEX('Product Backlog'!$G$5:$G$504,$J94)))</f>
        <v/>
      </c>
      <c r="H94" s="48" t="str">
        <f>IF($J94="","",IF(ISBLANK(INDEX('Product Backlog'!$H$5:$H$504,$J94)),"",INDEX('Product Backlog'!$H$5:$H$504,$J94)))</f>
        <v/>
      </c>
      <c r="I94" s="48" t="str">
        <f>IF($J94="","",IF(ISBLANK(INDEX('Product Backlog'!$I$5:$I$504,$J94)),"",INDEX('Product Backlog'!$I$5:$I$504,$J94)))</f>
        <v/>
      </c>
      <c r="J94" t="str">
        <f>IFERROR(MATCH($B$4&amp;"-"&amp;ROWS($A$10:A94),'Product Backlog'!$J$5:$J$504,0),"")</f>
        <v/>
      </c>
    </row>
    <row r="95" spans="1:10" ht="21" customHeight="1" x14ac:dyDescent="0.2">
      <c r="A95" s="46" t="str">
        <f>IF($J95="","",IF(ISBLANK(INDEX('Product Backlog'!$A$5:$A$504,$J95)),"",INDEX('Product Backlog'!$A$5:$A$504,$J95)))</f>
        <v/>
      </c>
      <c r="B95" s="46" t="str">
        <f>IF($J95="","",IF(ISBLANK(INDEX('Product Backlog'!$B$5:$B$504,$J95)),"",INDEX('Product Backlog'!$B$5:$B$504,$J95)))</f>
        <v/>
      </c>
      <c r="C95" s="46" t="str">
        <f>IF($J95="","",IF(ISBLANK(INDEX('Product Backlog'!$C$5:$C$504,$J95)),"",INDEX('Product Backlog'!$C$5:$C$504,$J95)))</f>
        <v/>
      </c>
      <c r="D95" s="46" t="str">
        <f>IF($J95="","",IF(ISBLANK(INDEX('Product Backlog'!$D$5:$D$504,$J95)),"",INDEX('Product Backlog'!$D$5:$D$504,$J95)))</f>
        <v/>
      </c>
      <c r="E95" s="46" t="str">
        <f>IF($J95="","",IF(ISBLANK(INDEX('Product Backlog'!$E$5:$E$504,$J95)),"",INDEX('Product Backlog'!$E$5:$E$504,$J95)))</f>
        <v/>
      </c>
      <c r="F95" s="47" t="str">
        <f>IF($J95="","",IF(ISBLANK(INDEX('Product Backlog'!$F$5:$F$504,$J95)),"",INDEX('Product Backlog'!$F$5:$F$504,$J95)))</f>
        <v/>
      </c>
      <c r="G95" s="47" t="str">
        <f>IF($J95="","",IF(ISBLANK(INDEX('Product Backlog'!$G$5:$G$504,$J95)),"",INDEX('Product Backlog'!$G$5:$G$504,$J95)))</f>
        <v/>
      </c>
      <c r="H95" s="48" t="str">
        <f>IF($J95="","",IF(ISBLANK(INDEX('Product Backlog'!$H$5:$H$504,$J95)),"",INDEX('Product Backlog'!$H$5:$H$504,$J95)))</f>
        <v/>
      </c>
      <c r="I95" s="48" t="str">
        <f>IF($J95="","",IF(ISBLANK(INDEX('Product Backlog'!$I$5:$I$504,$J95)),"",INDEX('Product Backlog'!$I$5:$I$504,$J95)))</f>
        <v/>
      </c>
      <c r="J95" t="str">
        <f>IFERROR(MATCH($B$4&amp;"-"&amp;ROWS($A$10:A95),'Product Backlog'!$J$5:$J$504,0),"")</f>
        <v/>
      </c>
    </row>
    <row r="96" spans="1:10" ht="21" customHeight="1" x14ac:dyDescent="0.2">
      <c r="A96" s="46" t="str">
        <f>IF($J96="","",IF(ISBLANK(INDEX('Product Backlog'!$A$5:$A$504,$J96)),"",INDEX('Product Backlog'!$A$5:$A$504,$J96)))</f>
        <v/>
      </c>
      <c r="B96" s="46" t="str">
        <f>IF($J96="","",IF(ISBLANK(INDEX('Product Backlog'!$B$5:$B$504,$J96)),"",INDEX('Product Backlog'!$B$5:$B$504,$J96)))</f>
        <v/>
      </c>
      <c r="C96" s="46" t="str">
        <f>IF($J96="","",IF(ISBLANK(INDEX('Product Backlog'!$C$5:$C$504,$J96)),"",INDEX('Product Backlog'!$C$5:$C$504,$J96)))</f>
        <v/>
      </c>
      <c r="D96" s="46" t="str">
        <f>IF($J96="","",IF(ISBLANK(INDEX('Product Backlog'!$D$5:$D$504,$J96)),"",INDEX('Product Backlog'!$D$5:$D$504,$J96)))</f>
        <v/>
      </c>
      <c r="E96" s="46" t="str">
        <f>IF($J96="","",IF(ISBLANK(INDEX('Product Backlog'!$E$5:$E$504,$J96)),"",INDEX('Product Backlog'!$E$5:$E$504,$J96)))</f>
        <v/>
      </c>
      <c r="F96" s="47" t="str">
        <f>IF($J96="","",IF(ISBLANK(INDEX('Product Backlog'!$F$5:$F$504,$J96)),"",INDEX('Product Backlog'!$F$5:$F$504,$J96)))</f>
        <v/>
      </c>
      <c r="G96" s="47" t="str">
        <f>IF($J96="","",IF(ISBLANK(INDEX('Product Backlog'!$G$5:$G$504,$J96)),"",INDEX('Product Backlog'!$G$5:$G$504,$J96)))</f>
        <v/>
      </c>
      <c r="H96" s="48" t="str">
        <f>IF($J96="","",IF(ISBLANK(INDEX('Product Backlog'!$H$5:$H$504,$J96)),"",INDEX('Product Backlog'!$H$5:$H$504,$J96)))</f>
        <v/>
      </c>
      <c r="I96" s="48" t="str">
        <f>IF($J96="","",IF(ISBLANK(INDEX('Product Backlog'!$I$5:$I$504,$J96)),"",INDEX('Product Backlog'!$I$5:$I$504,$J96)))</f>
        <v/>
      </c>
      <c r="J96" t="str">
        <f>IFERROR(MATCH($B$4&amp;"-"&amp;ROWS($A$10:A96),'Product Backlog'!$J$5:$J$504,0),"")</f>
        <v/>
      </c>
    </row>
    <row r="97" spans="1:10" ht="21" customHeight="1" x14ac:dyDescent="0.2">
      <c r="A97" s="46" t="str">
        <f>IF($J97="","",IF(ISBLANK(INDEX('Product Backlog'!$A$5:$A$504,$J97)),"",INDEX('Product Backlog'!$A$5:$A$504,$J97)))</f>
        <v/>
      </c>
      <c r="B97" s="46" t="str">
        <f>IF($J97="","",IF(ISBLANK(INDEX('Product Backlog'!$B$5:$B$504,$J97)),"",INDEX('Product Backlog'!$B$5:$B$504,$J97)))</f>
        <v/>
      </c>
      <c r="C97" s="46" t="str">
        <f>IF($J97="","",IF(ISBLANK(INDEX('Product Backlog'!$C$5:$C$504,$J97)),"",INDEX('Product Backlog'!$C$5:$C$504,$J97)))</f>
        <v/>
      </c>
      <c r="D97" s="46" t="str">
        <f>IF($J97="","",IF(ISBLANK(INDEX('Product Backlog'!$D$5:$D$504,$J97)),"",INDEX('Product Backlog'!$D$5:$D$504,$J97)))</f>
        <v/>
      </c>
      <c r="E97" s="46" t="str">
        <f>IF($J97="","",IF(ISBLANK(INDEX('Product Backlog'!$E$5:$E$504,$J97)),"",INDEX('Product Backlog'!$E$5:$E$504,$J97)))</f>
        <v/>
      </c>
      <c r="F97" s="47" t="str">
        <f>IF($J97="","",IF(ISBLANK(INDEX('Product Backlog'!$F$5:$F$504,$J97)),"",INDEX('Product Backlog'!$F$5:$F$504,$J97)))</f>
        <v/>
      </c>
      <c r="G97" s="47" t="str">
        <f>IF($J97="","",IF(ISBLANK(INDEX('Product Backlog'!$G$5:$G$504,$J97)),"",INDEX('Product Backlog'!$G$5:$G$504,$J97)))</f>
        <v/>
      </c>
      <c r="H97" s="48" t="str">
        <f>IF($J97="","",IF(ISBLANK(INDEX('Product Backlog'!$H$5:$H$504,$J97)),"",INDEX('Product Backlog'!$H$5:$H$504,$J97)))</f>
        <v/>
      </c>
      <c r="I97" s="48" t="str">
        <f>IF($J97="","",IF(ISBLANK(INDEX('Product Backlog'!$I$5:$I$504,$J97)),"",INDEX('Product Backlog'!$I$5:$I$504,$J97)))</f>
        <v/>
      </c>
      <c r="J97" t="str">
        <f>IFERROR(MATCH($B$4&amp;"-"&amp;ROWS($A$10:A97),'Product Backlog'!$J$5:$J$504,0),"")</f>
        <v/>
      </c>
    </row>
    <row r="98" spans="1:10" ht="21" customHeight="1" x14ac:dyDescent="0.2">
      <c r="A98" s="46" t="str">
        <f>IF($J98="","",IF(ISBLANK(INDEX('Product Backlog'!$A$5:$A$504,$J98)),"",INDEX('Product Backlog'!$A$5:$A$504,$J98)))</f>
        <v/>
      </c>
      <c r="B98" s="46" t="str">
        <f>IF($J98="","",IF(ISBLANK(INDEX('Product Backlog'!$B$5:$B$504,$J98)),"",INDEX('Product Backlog'!$B$5:$B$504,$J98)))</f>
        <v/>
      </c>
      <c r="C98" s="46" t="str">
        <f>IF($J98="","",IF(ISBLANK(INDEX('Product Backlog'!$C$5:$C$504,$J98)),"",INDEX('Product Backlog'!$C$5:$C$504,$J98)))</f>
        <v/>
      </c>
      <c r="D98" s="46" t="str">
        <f>IF($J98="","",IF(ISBLANK(INDEX('Product Backlog'!$D$5:$D$504,$J98)),"",INDEX('Product Backlog'!$D$5:$D$504,$J98)))</f>
        <v/>
      </c>
      <c r="E98" s="46" t="str">
        <f>IF($J98="","",IF(ISBLANK(INDEX('Product Backlog'!$E$5:$E$504,$J98)),"",INDEX('Product Backlog'!$E$5:$E$504,$J98)))</f>
        <v/>
      </c>
      <c r="F98" s="47" t="str">
        <f>IF($J98="","",IF(ISBLANK(INDEX('Product Backlog'!$F$5:$F$504,$J98)),"",INDEX('Product Backlog'!$F$5:$F$504,$J98)))</f>
        <v/>
      </c>
      <c r="G98" s="47" t="str">
        <f>IF($J98="","",IF(ISBLANK(INDEX('Product Backlog'!$G$5:$G$504,$J98)),"",INDEX('Product Backlog'!$G$5:$G$504,$J98)))</f>
        <v/>
      </c>
      <c r="H98" s="48" t="str">
        <f>IF($J98="","",IF(ISBLANK(INDEX('Product Backlog'!$H$5:$H$504,$J98)),"",INDEX('Product Backlog'!$H$5:$H$504,$J98)))</f>
        <v/>
      </c>
      <c r="I98" s="48" t="str">
        <f>IF($J98="","",IF(ISBLANK(INDEX('Product Backlog'!$I$5:$I$504,$J98)),"",INDEX('Product Backlog'!$I$5:$I$504,$J98)))</f>
        <v/>
      </c>
      <c r="J98" t="str">
        <f>IFERROR(MATCH($B$4&amp;"-"&amp;ROWS($A$10:A98),'Product Backlog'!$J$5:$J$504,0),"")</f>
        <v/>
      </c>
    </row>
    <row r="99" spans="1:10" ht="21" customHeight="1" x14ac:dyDescent="0.2">
      <c r="A99" s="46" t="str">
        <f>IF($J99="","",IF(ISBLANK(INDEX('Product Backlog'!$A$5:$A$504,$J99)),"",INDEX('Product Backlog'!$A$5:$A$504,$J99)))</f>
        <v/>
      </c>
      <c r="B99" s="46" t="str">
        <f>IF($J99="","",IF(ISBLANK(INDEX('Product Backlog'!$B$5:$B$504,$J99)),"",INDEX('Product Backlog'!$B$5:$B$504,$J99)))</f>
        <v/>
      </c>
      <c r="C99" s="46" t="str">
        <f>IF($J99="","",IF(ISBLANK(INDEX('Product Backlog'!$C$5:$C$504,$J99)),"",INDEX('Product Backlog'!$C$5:$C$504,$J99)))</f>
        <v/>
      </c>
      <c r="D99" s="46" t="str">
        <f>IF($J99="","",IF(ISBLANK(INDEX('Product Backlog'!$D$5:$D$504,$J99)),"",INDEX('Product Backlog'!$D$5:$D$504,$J99)))</f>
        <v/>
      </c>
      <c r="E99" s="46" t="str">
        <f>IF($J99="","",IF(ISBLANK(INDEX('Product Backlog'!$E$5:$E$504,$J99)),"",INDEX('Product Backlog'!$E$5:$E$504,$J99)))</f>
        <v/>
      </c>
      <c r="F99" s="47" t="str">
        <f>IF($J99="","",IF(ISBLANK(INDEX('Product Backlog'!$F$5:$F$504,$J99)),"",INDEX('Product Backlog'!$F$5:$F$504,$J99)))</f>
        <v/>
      </c>
      <c r="G99" s="47" t="str">
        <f>IF($J99="","",IF(ISBLANK(INDEX('Product Backlog'!$G$5:$G$504,$J99)),"",INDEX('Product Backlog'!$G$5:$G$504,$J99)))</f>
        <v/>
      </c>
      <c r="H99" s="48" t="str">
        <f>IF($J99="","",IF(ISBLANK(INDEX('Product Backlog'!$H$5:$H$504,$J99)),"",INDEX('Product Backlog'!$H$5:$H$504,$J99)))</f>
        <v/>
      </c>
      <c r="I99" s="48" t="str">
        <f>IF($J99="","",IF(ISBLANK(INDEX('Product Backlog'!$I$5:$I$504,$J99)),"",INDEX('Product Backlog'!$I$5:$I$504,$J99)))</f>
        <v/>
      </c>
      <c r="J99" t="str">
        <f>IFERROR(MATCH($B$4&amp;"-"&amp;ROWS($A$10:A99),'Product Backlog'!$J$5:$J$504,0),"")</f>
        <v/>
      </c>
    </row>
    <row r="100" spans="1:10" ht="21" customHeight="1" x14ac:dyDescent="0.2">
      <c r="A100" s="46" t="str">
        <f>IF($J100="","",IF(ISBLANK(INDEX('Product Backlog'!$A$5:$A$504,$J100)),"",INDEX('Product Backlog'!$A$5:$A$504,$J100)))</f>
        <v/>
      </c>
      <c r="B100" s="46" t="str">
        <f>IF($J100="","",IF(ISBLANK(INDEX('Product Backlog'!$B$5:$B$504,$J100)),"",INDEX('Product Backlog'!$B$5:$B$504,$J100)))</f>
        <v/>
      </c>
      <c r="C100" s="46" t="str">
        <f>IF($J100="","",IF(ISBLANK(INDEX('Product Backlog'!$C$5:$C$504,$J100)),"",INDEX('Product Backlog'!$C$5:$C$504,$J100)))</f>
        <v/>
      </c>
      <c r="D100" s="46" t="str">
        <f>IF($J100="","",IF(ISBLANK(INDEX('Product Backlog'!$D$5:$D$504,$J100)),"",INDEX('Product Backlog'!$D$5:$D$504,$J100)))</f>
        <v/>
      </c>
      <c r="E100" s="46" t="str">
        <f>IF($J100="","",IF(ISBLANK(INDEX('Product Backlog'!$E$5:$E$504,$J100)),"",INDEX('Product Backlog'!$E$5:$E$504,$J100)))</f>
        <v/>
      </c>
      <c r="F100" s="47" t="str">
        <f>IF($J100="","",IF(ISBLANK(INDEX('Product Backlog'!$F$5:$F$504,$J100)),"",INDEX('Product Backlog'!$F$5:$F$504,$J100)))</f>
        <v/>
      </c>
      <c r="G100" s="47" t="str">
        <f>IF($J100="","",IF(ISBLANK(INDEX('Product Backlog'!$G$5:$G$504,$J100)),"",INDEX('Product Backlog'!$G$5:$G$504,$J100)))</f>
        <v/>
      </c>
      <c r="H100" s="48" t="str">
        <f>IF($J100="","",IF(ISBLANK(INDEX('Product Backlog'!$H$5:$H$504,$J100)),"",INDEX('Product Backlog'!$H$5:$H$504,$J100)))</f>
        <v/>
      </c>
      <c r="I100" s="48" t="str">
        <f>IF($J100="","",IF(ISBLANK(INDEX('Product Backlog'!$I$5:$I$504,$J100)),"",INDEX('Product Backlog'!$I$5:$I$504,$J100)))</f>
        <v/>
      </c>
      <c r="J100" t="str">
        <f>IFERROR(MATCH($B$4&amp;"-"&amp;ROWS($A$10:A100),'Product Backlog'!$J$5:$J$504,0),"")</f>
        <v/>
      </c>
    </row>
    <row r="101" spans="1:10" ht="21" customHeight="1" x14ac:dyDescent="0.2">
      <c r="A101" s="46" t="str">
        <f>IF($J101="","",IF(ISBLANK(INDEX('Product Backlog'!$A$5:$A$504,$J101)),"",INDEX('Product Backlog'!$A$5:$A$504,$J101)))</f>
        <v/>
      </c>
      <c r="B101" s="46" t="str">
        <f>IF($J101="","",IF(ISBLANK(INDEX('Product Backlog'!$B$5:$B$504,$J101)),"",INDEX('Product Backlog'!$B$5:$B$504,$J101)))</f>
        <v/>
      </c>
      <c r="C101" s="46" t="str">
        <f>IF($J101="","",IF(ISBLANK(INDEX('Product Backlog'!$C$5:$C$504,$J101)),"",INDEX('Product Backlog'!$C$5:$C$504,$J101)))</f>
        <v/>
      </c>
      <c r="D101" s="46" t="str">
        <f>IF($J101="","",IF(ISBLANK(INDEX('Product Backlog'!$D$5:$D$504,$J101)),"",INDEX('Product Backlog'!$D$5:$D$504,$J101)))</f>
        <v/>
      </c>
      <c r="E101" s="46" t="str">
        <f>IF($J101="","",IF(ISBLANK(INDEX('Product Backlog'!$E$5:$E$504,$J101)),"",INDEX('Product Backlog'!$E$5:$E$504,$J101)))</f>
        <v/>
      </c>
      <c r="F101" s="47" t="str">
        <f>IF($J101="","",IF(ISBLANK(INDEX('Product Backlog'!$F$5:$F$504,$J101)),"",INDEX('Product Backlog'!$F$5:$F$504,$J101)))</f>
        <v/>
      </c>
      <c r="G101" s="47" t="str">
        <f>IF($J101="","",IF(ISBLANK(INDEX('Product Backlog'!$G$5:$G$504,$J101)),"",INDEX('Product Backlog'!$G$5:$G$504,$J101)))</f>
        <v/>
      </c>
      <c r="H101" s="48" t="str">
        <f>IF($J101="","",IF(ISBLANK(INDEX('Product Backlog'!$H$5:$H$504,$J101)),"",INDEX('Product Backlog'!$H$5:$H$504,$J101)))</f>
        <v/>
      </c>
      <c r="I101" s="48" t="str">
        <f>IF($J101="","",IF(ISBLANK(INDEX('Product Backlog'!$I$5:$I$504,$J101)),"",INDEX('Product Backlog'!$I$5:$I$504,$J101)))</f>
        <v/>
      </c>
      <c r="J101" t="str">
        <f>IFERROR(MATCH($B$4&amp;"-"&amp;ROWS($A$10:A101),'Product Backlog'!$J$5:$J$504,0),"")</f>
        <v/>
      </c>
    </row>
    <row r="102" spans="1:10" ht="21" customHeight="1" x14ac:dyDescent="0.2">
      <c r="A102" s="46" t="str">
        <f>IF($J102="","",IF(ISBLANK(INDEX('Product Backlog'!$A$5:$A$504,$J102)),"",INDEX('Product Backlog'!$A$5:$A$504,$J102)))</f>
        <v/>
      </c>
      <c r="B102" s="46" t="str">
        <f>IF($J102="","",IF(ISBLANK(INDEX('Product Backlog'!$B$5:$B$504,$J102)),"",INDEX('Product Backlog'!$B$5:$B$504,$J102)))</f>
        <v/>
      </c>
      <c r="C102" s="46" t="str">
        <f>IF($J102="","",IF(ISBLANK(INDEX('Product Backlog'!$C$5:$C$504,$J102)),"",INDEX('Product Backlog'!$C$5:$C$504,$J102)))</f>
        <v/>
      </c>
      <c r="D102" s="46" t="str">
        <f>IF($J102="","",IF(ISBLANK(INDEX('Product Backlog'!$D$5:$D$504,$J102)),"",INDEX('Product Backlog'!$D$5:$D$504,$J102)))</f>
        <v/>
      </c>
      <c r="E102" s="46" t="str">
        <f>IF($J102="","",IF(ISBLANK(INDEX('Product Backlog'!$E$5:$E$504,$J102)),"",INDEX('Product Backlog'!$E$5:$E$504,$J102)))</f>
        <v/>
      </c>
      <c r="F102" s="47" t="str">
        <f>IF($J102="","",IF(ISBLANK(INDEX('Product Backlog'!$F$5:$F$504,$J102)),"",INDEX('Product Backlog'!$F$5:$F$504,$J102)))</f>
        <v/>
      </c>
      <c r="G102" s="47" t="str">
        <f>IF($J102="","",IF(ISBLANK(INDEX('Product Backlog'!$G$5:$G$504,$J102)),"",INDEX('Product Backlog'!$G$5:$G$504,$J102)))</f>
        <v/>
      </c>
      <c r="H102" s="48" t="str">
        <f>IF($J102="","",IF(ISBLANK(INDEX('Product Backlog'!$H$5:$H$504,$J102)),"",INDEX('Product Backlog'!$H$5:$H$504,$J102)))</f>
        <v/>
      </c>
      <c r="I102" s="48" t="str">
        <f>IF($J102="","",IF(ISBLANK(INDEX('Product Backlog'!$I$5:$I$504,$J102)),"",INDEX('Product Backlog'!$I$5:$I$504,$J102)))</f>
        <v/>
      </c>
      <c r="J102" t="str">
        <f>IFERROR(MATCH($B$4&amp;"-"&amp;ROWS($A$10:A102),'Product Backlog'!$J$5:$J$504,0),"")</f>
        <v/>
      </c>
    </row>
    <row r="103" spans="1:10" ht="21" customHeight="1" x14ac:dyDescent="0.2">
      <c r="A103" s="46" t="str">
        <f>IF($J103="","",IF(ISBLANK(INDEX('Product Backlog'!$A$5:$A$504,$J103)),"",INDEX('Product Backlog'!$A$5:$A$504,$J103)))</f>
        <v/>
      </c>
      <c r="B103" s="46" t="str">
        <f>IF($J103="","",IF(ISBLANK(INDEX('Product Backlog'!$B$5:$B$504,$J103)),"",INDEX('Product Backlog'!$B$5:$B$504,$J103)))</f>
        <v/>
      </c>
      <c r="C103" s="46" t="str">
        <f>IF($J103="","",IF(ISBLANK(INDEX('Product Backlog'!$C$5:$C$504,$J103)),"",INDEX('Product Backlog'!$C$5:$C$504,$J103)))</f>
        <v/>
      </c>
      <c r="D103" s="46" t="str">
        <f>IF($J103="","",IF(ISBLANK(INDEX('Product Backlog'!$D$5:$D$504,$J103)),"",INDEX('Product Backlog'!$D$5:$D$504,$J103)))</f>
        <v/>
      </c>
      <c r="E103" s="46" t="str">
        <f>IF($J103="","",IF(ISBLANK(INDEX('Product Backlog'!$E$5:$E$504,$J103)),"",INDEX('Product Backlog'!$E$5:$E$504,$J103)))</f>
        <v/>
      </c>
      <c r="F103" s="47" t="str">
        <f>IF($J103="","",IF(ISBLANK(INDEX('Product Backlog'!$F$5:$F$504,$J103)),"",INDEX('Product Backlog'!$F$5:$F$504,$J103)))</f>
        <v/>
      </c>
      <c r="G103" s="47" t="str">
        <f>IF($J103="","",IF(ISBLANK(INDEX('Product Backlog'!$G$5:$G$504,$J103)),"",INDEX('Product Backlog'!$G$5:$G$504,$J103)))</f>
        <v/>
      </c>
      <c r="H103" s="48" t="str">
        <f>IF($J103="","",IF(ISBLANK(INDEX('Product Backlog'!$H$5:$H$504,$J103)),"",INDEX('Product Backlog'!$H$5:$H$504,$J103)))</f>
        <v/>
      </c>
      <c r="I103" s="48" t="str">
        <f>IF($J103="","",IF(ISBLANK(INDEX('Product Backlog'!$I$5:$I$504,$J103)),"",INDEX('Product Backlog'!$I$5:$I$504,$J103)))</f>
        <v/>
      </c>
      <c r="J103" t="str">
        <f>IFERROR(MATCH($B$4&amp;"-"&amp;ROWS($A$10:A103),'Product Backlog'!$J$5:$J$504,0),"")</f>
        <v/>
      </c>
    </row>
    <row r="104" spans="1:10" ht="21" customHeight="1" x14ac:dyDescent="0.2">
      <c r="A104" s="46" t="str">
        <f>IF($J104="","",IF(ISBLANK(INDEX('Product Backlog'!$A$5:$A$504,$J104)),"",INDEX('Product Backlog'!$A$5:$A$504,$J104)))</f>
        <v/>
      </c>
      <c r="B104" s="46" t="str">
        <f>IF($J104="","",IF(ISBLANK(INDEX('Product Backlog'!$B$5:$B$504,$J104)),"",INDEX('Product Backlog'!$B$5:$B$504,$J104)))</f>
        <v/>
      </c>
      <c r="C104" s="46" t="str">
        <f>IF($J104="","",IF(ISBLANK(INDEX('Product Backlog'!$C$5:$C$504,$J104)),"",INDEX('Product Backlog'!$C$5:$C$504,$J104)))</f>
        <v/>
      </c>
      <c r="D104" s="46" t="str">
        <f>IF($J104="","",IF(ISBLANK(INDEX('Product Backlog'!$D$5:$D$504,$J104)),"",INDEX('Product Backlog'!$D$5:$D$504,$J104)))</f>
        <v/>
      </c>
      <c r="E104" s="46" t="str">
        <f>IF($J104="","",IF(ISBLANK(INDEX('Product Backlog'!$E$5:$E$504,$J104)),"",INDEX('Product Backlog'!$E$5:$E$504,$J104)))</f>
        <v/>
      </c>
      <c r="F104" s="47" t="str">
        <f>IF($J104="","",IF(ISBLANK(INDEX('Product Backlog'!$F$5:$F$504,$J104)),"",INDEX('Product Backlog'!$F$5:$F$504,$J104)))</f>
        <v/>
      </c>
      <c r="G104" s="47" t="str">
        <f>IF($J104="","",IF(ISBLANK(INDEX('Product Backlog'!$G$5:$G$504,$J104)),"",INDEX('Product Backlog'!$G$5:$G$504,$J104)))</f>
        <v/>
      </c>
      <c r="H104" s="48" t="str">
        <f>IF($J104="","",IF(ISBLANK(INDEX('Product Backlog'!$H$5:$H$504,$J104)),"",INDEX('Product Backlog'!$H$5:$H$504,$J104)))</f>
        <v/>
      </c>
      <c r="I104" s="48" t="str">
        <f>IF($J104="","",IF(ISBLANK(INDEX('Product Backlog'!$I$5:$I$504,$J104)),"",INDEX('Product Backlog'!$I$5:$I$504,$J104)))</f>
        <v/>
      </c>
      <c r="J104" t="str">
        <f>IFERROR(MATCH($B$4&amp;"-"&amp;ROWS($A$10:A104),'Product Backlog'!$J$5:$J$504,0),"")</f>
        <v/>
      </c>
    </row>
    <row r="105" spans="1:10" ht="21" customHeight="1" x14ac:dyDescent="0.2">
      <c r="A105" s="46" t="str">
        <f>IF($J105="","",IF(ISBLANK(INDEX('Product Backlog'!$A$5:$A$504,$J105)),"",INDEX('Product Backlog'!$A$5:$A$504,$J105)))</f>
        <v/>
      </c>
      <c r="B105" s="46" t="str">
        <f>IF($J105="","",IF(ISBLANK(INDEX('Product Backlog'!$B$5:$B$504,$J105)),"",INDEX('Product Backlog'!$B$5:$B$504,$J105)))</f>
        <v/>
      </c>
      <c r="C105" s="46" t="str">
        <f>IF($J105="","",IF(ISBLANK(INDEX('Product Backlog'!$C$5:$C$504,$J105)),"",INDEX('Product Backlog'!$C$5:$C$504,$J105)))</f>
        <v/>
      </c>
      <c r="D105" s="46" t="str">
        <f>IF($J105="","",IF(ISBLANK(INDEX('Product Backlog'!$D$5:$D$504,$J105)),"",INDEX('Product Backlog'!$D$5:$D$504,$J105)))</f>
        <v/>
      </c>
      <c r="E105" s="46" t="str">
        <f>IF($J105="","",IF(ISBLANK(INDEX('Product Backlog'!$E$5:$E$504,$J105)),"",INDEX('Product Backlog'!$E$5:$E$504,$J105)))</f>
        <v/>
      </c>
      <c r="F105" s="47" t="str">
        <f>IF($J105="","",IF(ISBLANK(INDEX('Product Backlog'!$F$5:$F$504,$J105)),"",INDEX('Product Backlog'!$F$5:$F$504,$J105)))</f>
        <v/>
      </c>
      <c r="G105" s="47" t="str">
        <f>IF($J105="","",IF(ISBLANK(INDEX('Product Backlog'!$G$5:$G$504,$J105)),"",INDEX('Product Backlog'!$G$5:$G$504,$J105)))</f>
        <v/>
      </c>
      <c r="H105" s="48" t="str">
        <f>IF($J105="","",IF(ISBLANK(INDEX('Product Backlog'!$H$5:$H$504,$J105)),"",INDEX('Product Backlog'!$H$5:$H$504,$J105)))</f>
        <v/>
      </c>
      <c r="I105" s="48" t="str">
        <f>IF($J105="","",IF(ISBLANK(INDEX('Product Backlog'!$I$5:$I$504,$J105)),"",INDEX('Product Backlog'!$I$5:$I$504,$J105)))</f>
        <v/>
      </c>
      <c r="J105" t="str">
        <f>IFERROR(MATCH($B$4&amp;"-"&amp;ROWS($A$10:A105),'Product Backlog'!$J$5:$J$504,0),"")</f>
        <v/>
      </c>
    </row>
    <row r="106" spans="1:10" ht="21" customHeight="1" x14ac:dyDescent="0.2">
      <c r="A106" s="46" t="str">
        <f>IF($J106="","",IF(ISBLANK(INDEX('Product Backlog'!$A$5:$A$504,$J106)),"",INDEX('Product Backlog'!$A$5:$A$504,$J106)))</f>
        <v/>
      </c>
      <c r="B106" s="46" t="str">
        <f>IF($J106="","",IF(ISBLANK(INDEX('Product Backlog'!$B$5:$B$504,$J106)),"",INDEX('Product Backlog'!$B$5:$B$504,$J106)))</f>
        <v/>
      </c>
      <c r="C106" s="46" t="str">
        <f>IF($J106="","",IF(ISBLANK(INDEX('Product Backlog'!$C$5:$C$504,$J106)),"",INDEX('Product Backlog'!$C$5:$C$504,$J106)))</f>
        <v/>
      </c>
      <c r="D106" s="46" t="str">
        <f>IF($J106="","",IF(ISBLANK(INDEX('Product Backlog'!$D$5:$D$504,$J106)),"",INDEX('Product Backlog'!$D$5:$D$504,$J106)))</f>
        <v/>
      </c>
      <c r="E106" s="46" t="str">
        <f>IF($J106="","",IF(ISBLANK(INDEX('Product Backlog'!$E$5:$E$504,$J106)),"",INDEX('Product Backlog'!$E$5:$E$504,$J106)))</f>
        <v/>
      </c>
      <c r="F106" s="47" t="str">
        <f>IF($J106="","",IF(ISBLANK(INDEX('Product Backlog'!$F$5:$F$504,$J106)),"",INDEX('Product Backlog'!$F$5:$F$504,$J106)))</f>
        <v/>
      </c>
      <c r="G106" s="47" t="str">
        <f>IF($J106="","",IF(ISBLANK(INDEX('Product Backlog'!$G$5:$G$504,$J106)),"",INDEX('Product Backlog'!$G$5:$G$504,$J106)))</f>
        <v/>
      </c>
      <c r="H106" s="48" t="str">
        <f>IF($J106="","",IF(ISBLANK(INDEX('Product Backlog'!$H$5:$H$504,$J106)),"",INDEX('Product Backlog'!$H$5:$H$504,$J106)))</f>
        <v/>
      </c>
      <c r="I106" s="48" t="str">
        <f>IF($J106="","",IF(ISBLANK(INDEX('Product Backlog'!$I$5:$I$504,$J106)),"",INDEX('Product Backlog'!$I$5:$I$504,$J106)))</f>
        <v/>
      </c>
      <c r="J106" t="str">
        <f>IFERROR(MATCH($B$4&amp;"-"&amp;ROWS($A$10:A106),'Product Backlog'!$J$5:$J$504,0),"")</f>
        <v/>
      </c>
    </row>
    <row r="107" spans="1:10" ht="21" customHeight="1" x14ac:dyDescent="0.2">
      <c r="A107" s="46" t="str">
        <f>IF($J107="","",IF(ISBLANK(INDEX('Product Backlog'!$A$5:$A$504,$J107)),"",INDEX('Product Backlog'!$A$5:$A$504,$J107)))</f>
        <v/>
      </c>
      <c r="B107" s="46" t="str">
        <f>IF($J107="","",IF(ISBLANK(INDEX('Product Backlog'!$B$5:$B$504,$J107)),"",INDEX('Product Backlog'!$B$5:$B$504,$J107)))</f>
        <v/>
      </c>
      <c r="C107" s="46" t="str">
        <f>IF($J107="","",IF(ISBLANK(INDEX('Product Backlog'!$C$5:$C$504,$J107)),"",INDEX('Product Backlog'!$C$5:$C$504,$J107)))</f>
        <v/>
      </c>
      <c r="D107" s="46" t="str">
        <f>IF($J107="","",IF(ISBLANK(INDEX('Product Backlog'!$D$5:$D$504,$J107)),"",INDEX('Product Backlog'!$D$5:$D$504,$J107)))</f>
        <v/>
      </c>
      <c r="E107" s="46" t="str">
        <f>IF($J107="","",IF(ISBLANK(INDEX('Product Backlog'!$E$5:$E$504,$J107)),"",INDEX('Product Backlog'!$E$5:$E$504,$J107)))</f>
        <v/>
      </c>
      <c r="F107" s="47" t="str">
        <f>IF($J107="","",IF(ISBLANK(INDEX('Product Backlog'!$F$5:$F$504,$J107)),"",INDEX('Product Backlog'!$F$5:$F$504,$J107)))</f>
        <v/>
      </c>
      <c r="G107" s="47" t="str">
        <f>IF($J107="","",IF(ISBLANK(INDEX('Product Backlog'!$G$5:$G$504,$J107)),"",INDEX('Product Backlog'!$G$5:$G$504,$J107)))</f>
        <v/>
      </c>
      <c r="H107" s="48" t="str">
        <f>IF($J107="","",IF(ISBLANK(INDEX('Product Backlog'!$H$5:$H$504,$J107)),"",INDEX('Product Backlog'!$H$5:$H$504,$J107)))</f>
        <v/>
      </c>
      <c r="I107" s="48" t="str">
        <f>IF($J107="","",IF(ISBLANK(INDEX('Product Backlog'!$I$5:$I$504,$J107)),"",INDEX('Product Backlog'!$I$5:$I$504,$J107)))</f>
        <v/>
      </c>
      <c r="J107" t="str">
        <f>IFERROR(MATCH($B$4&amp;"-"&amp;ROWS($A$10:A107),'Product Backlog'!$J$5:$J$504,0),"")</f>
        <v/>
      </c>
    </row>
    <row r="108" spans="1:10" ht="21" customHeight="1" x14ac:dyDescent="0.2">
      <c r="A108" s="46" t="str">
        <f>IF($J108="","",IF(ISBLANK(INDEX('Product Backlog'!$A$5:$A$504,$J108)),"",INDEX('Product Backlog'!$A$5:$A$504,$J108)))</f>
        <v/>
      </c>
      <c r="B108" s="46" t="str">
        <f>IF($J108="","",IF(ISBLANK(INDEX('Product Backlog'!$B$5:$B$504,$J108)),"",INDEX('Product Backlog'!$B$5:$B$504,$J108)))</f>
        <v/>
      </c>
      <c r="C108" s="46" t="str">
        <f>IF($J108="","",IF(ISBLANK(INDEX('Product Backlog'!$C$5:$C$504,$J108)),"",INDEX('Product Backlog'!$C$5:$C$504,$J108)))</f>
        <v/>
      </c>
      <c r="D108" s="46" t="str">
        <f>IF($J108="","",IF(ISBLANK(INDEX('Product Backlog'!$D$5:$D$504,$J108)),"",INDEX('Product Backlog'!$D$5:$D$504,$J108)))</f>
        <v/>
      </c>
      <c r="E108" s="46" t="str">
        <f>IF($J108="","",IF(ISBLANK(INDEX('Product Backlog'!$E$5:$E$504,$J108)),"",INDEX('Product Backlog'!$E$5:$E$504,$J108)))</f>
        <v/>
      </c>
      <c r="F108" s="47" t="str">
        <f>IF($J108="","",IF(ISBLANK(INDEX('Product Backlog'!$F$5:$F$504,$J108)),"",INDEX('Product Backlog'!$F$5:$F$504,$J108)))</f>
        <v/>
      </c>
      <c r="G108" s="47" t="str">
        <f>IF($J108="","",IF(ISBLANK(INDEX('Product Backlog'!$G$5:$G$504,$J108)),"",INDEX('Product Backlog'!$G$5:$G$504,$J108)))</f>
        <v/>
      </c>
      <c r="H108" s="48" t="str">
        <f>IF($J108="","",IF(ISBLANK(INDEX('Product Backlog'!$H$5:$H$504,$J108)),"",INDEX('Product Backlog'!$H$5:$H$504,$J108)))</f>
        <v/>
      </c>
      <c r="I108" s="48" t="str">
        <f>IF($J108="","",IF(ISBLANK(INDEX('Product Backlog'!$I$5:$I$504,$J108)),"",INDEX('Product Backlog'!$I$5:$I$504,$J108)))</f>
        <v/>
      </c>
      <c r="J108" t="str">
        <f>IFERROR(MATCH($B$4&amp;"-"&amp;ROWS($A$10:A108),'Product Backlog'!$J$5:$J$504,0),"")</f>
        <v/>
      </c>
    </row>
    <row r="109" spans="1:10" ht="21" customHeight="1" x14ac:dyDescent="0.2">
      <c r="A109" s="46" t="str">
        <f>IF($J109="","",IF(ISBLANK(INDEX('Product Backlog'!$A$5:$A$504,$J109)),"",INDEX('Product Backlog'!$A$5:$A$504,$J109)))</f>
        <v/>
      </c>
      <c r="B109" s="46" t="str">
        <f>IF($J109="","",IF(ISBLANK(INDEX('Product Backlog'!$B$5:$B$504,$J109)),"",INDEX('Product Backlog'!$B$5:$B$504,$J109)))</f>
        <v/>
      </c>
      <c r="C109" s="46" t="str">
        <f>IF($J109="","",IF(ISBLANK(INDEX('Product Backlog'!$C$5:$C$504,$J109)),"",INDEX('Product Backlog'!$C$5:$C$504,$J109)))</f>
        <v/>
      </c>
      <c r="D109" s="46" t="str">
        <f>IF($J109="","",IF(ISBLANK(INDEX('Product Backlog'!$D$5:$D$504,$J109)),"",INDEX('Product Backlog'!$D$5:$D$504,$J109)))</f>
        <v/>
      </c>
      <c r="E109" s="46" t="str">
        <f>IF($J109="","",IF(ISBLANK(INDEX('Product Backlog'!$E$5:$E$504,$J109)),"",INDEX('Product Backlog'!$E$5:$E$504,$J109)))</f>
        <v/>
      </c>
      <c r="F109" s="47" t="str">
        <f>IF($J109="","",IF(ISBLANK(INDEX('Product Backlog'!$F$5:$F$504,$J109)),"",INDEX('Product Backlog'!$F$5:$F$504,$J109)))</f>
        <v/>
      </c>
      <c r="G109" s="47" t="str">
        <f>IF($J109="","",IF(ISBLANK(INDEX('Product Backlog'!$G$5:$G$504,$J109)),"",INDEX('Product Backlog'!$G$5:$G$504,$J109)))</f>
        <v/>
      </c>
      <c r="H109" s="48" t="str">
        <f>IF($J109="","",IF(ISBLANK(INDEX('Product Backlog'!$H$5:$H$504,$J109)),"",INDEX('Product Backlog'!$H$5:$H$504,$J109)))</f>
        <v/>
      </c>
      <c r="I109" s="48" t="str">
        <f>IF($J109="","",IF(ISBLANK(INDEX('Product Backlog'!$I$5:$I$504,$J109)),"",INDEX('Product Backlog'!$I$5:$I$504,$J109)))</f>
        <v/>
      </c>
      <c r="J109" t="str">
        <f>IFERROR(MATCH($B$4&amp;"-"&amp;ROWS($A$10:A109),'Product Backlog'!$J$5:$J$504,0),"")</f>
        <v/>
      </c>
    </row>
    <row r="110" spans="1:10" ht="21" customHeight="1" x14ac:dyDescent="0.2">
      <c r="A110" s="46"/>
      <c r="B110" s="46"/>
      <c r="C110" s="46"/>
      <c r="D110" s="46"/>
      <c r="E110" s="46"/>
      <c r="F110" s="47"/>
      <c r="G110" s="47"/>
      <c r="H110" s="48"/>
      <c r="I110" s="48"/>
    </row>
    <row r="111" spans="1:10" ht="21" customHeight="1" x14ac:dyDescent="0.2">
      <c r="A111" s="46"/>
      <c r="B111" s="46"/>
      <c r="C111" s="46"/>
      <c r="D111" s="46"/>
      <c r="E111" s="46"/>
      <c r="F111" s="47"/>
      <c r="G111" s="47"/>
      <c r="H111" s="48"/>
      <c r="I111" s="48"/>
    </row>
    <row r="112" spans="1:10" ht="21" customHeight="1" x14ac:dyDescent="0.2">
      <c r="A112" s="46"/>
      <c r="B112" s="46"/>
      <c r="C112" s="46"/>
      <c r="D112" s="46"/>
      <c r="E112" s="46"/>
      <c r="F112" s="47"/>
      <c r="G112" s="47"/>
      <c r="H112" s="48"/>
      <c r="I112" s="48"/>
    </row>
    <row r="113" spans="1:9" ht="21" customHeight="1" x14ac:dyDescent="0.2">
      <c r="A113" s="46"/>
      <c r="B113" s="46"/>
      <c r="C113" s="46"/>
      <c r="D113" s="46"/>
      <c r="E113" s="46"/>
      <c r="F113" s="47"/>
      <c r="G113" s="47"/>
      <c r="H113" s="48"/>
      <c r="I113" s="48"/>
    </row>
    <row r="114" spans="1:9" ht="21" customHeight="1" x14ac:dyDescent="0.2">
      <c r="A114" s="46"/>
      <c r="B114" s="46"/>
      <c r="C114" s="46"/>
      <c r="D114" s="46"/>
      <c r="E114" s="46"/>
      <c r="F114" s="47"/>
      <c r="G114" s="47"/>
      <c r="H114" s="48"/>
      <c r="I114" s="48"/>
    </row>
    <row r="115" spans="1:9" ht="21" customHeight="1" x14ac:dyDescent="0.2">
      <c r="A115" s="46"/>
      <c r="B115" s="46"/>
      <c r="C115" s="46"/>
      <c r="D115" s="46"/>
      <c r="E115" s="46"/>
      <c r="F115" s="47"/>
      <c r="G115" s="47"/>
      <c r="H115" s="48"/>
      <c r="I115" s="48"/>
    </row>
    <row r="116" spans="1:9" ht="21" customHeight="1" x14ac:dyDescent="0.2">
      <c r="A116" s="46"/>
      <c r="B116" s="46"/>
      <c r="C116" s="46"/>
      <c r="D116" s="46"/>
      <c r="E116" s="46"/>
      <c r="F116" s="47"/>
      <c r="G116" s="47"/>
      <c r="H116" s="48"/>
      <c r="I116" s="48"/>
    </row>
    <row r="117" spans="1:9" ht="21" customHeight="1" x14ac:dyDescent="0.2">
      <c r="A117" s="46"/>
      <c r="B117" s="46"/>
      <c r="C117" s="46"/>
      <c r="D117" s="46"/>
      <c r="E117" s="46"/>
      <c r="F117" s="47"/>
      <c r="G117" s="47"/>
      <c r="H117" s="48"/>
      <c r="I117" s="48"/>
    </row>
    <row r="118" spans="1:9" ht="21" customHeight="1" x14ac:dyDescent="0.2">
      <c r="A118" s="46"/>
      <c r="B118" s="46"/>
      <c r="C118" s="46"/>
      <c r="D118" s="46"/>
      <c r="E118" s="46"/>
      <c r="F118" s="47"/>
      <c r="G118" s="47"/>
      <c r="H118" s="48"/>
      <c r="I118" s="48"/>
    </row>
    <row r="119" spans="1:9" ht="21" customHeight="1" x14ac:dyDescent="0.2">
      <c r="A119" s="46"/>
      <c r="B119" s="46"/>
      <c r="C119" s="46"/>
      <c r="D119" s="46"/>
      <c r="E119" s="46"/>
      <c r="F119" s="47"/>
      <c r="G119" s="47"/>
      <c r="H119" s="48"/>
      <c r="I119" s="48"/>
    </row>
    <row r="120" spans="1:9" ht="21" customHeight="1" x14ac:dyDescent="0.2">
      <c r="A120" s="46"/>
      <c r="B120" s="46"/>
      <c r="C120" s="46"/>
      <c r="D120" s="46"/>
      <c r="E120" s="46"/>
      <c r="F120" s="47"/>
      <c r="G120" s="47"/>
      <c r="H120" s="48"/>
      <c r="I120" s="48"/>
    </row>
    <row r="121" spans="1:9" ht="21" customHeight="1" x14ac:dyDescent="0.2">
      <c r="A121" s="46"/>
      <c r="B121" s="46"/>
      <c r="C121" s="46"/>
      <c r="D121" s="46"/>
      <c r="E121" s="46"/>
      <c r="F121" s="47"/>
      <c r="G121" s="47"/>
      <c r="H121" s="48"/>
      <c r="I121" s="48"/>
    </row>
    <row r="122" spans="1:9" ht="21" customHeight="1" x14ac:dyDescent="0.2">
      <c r="A122" s="46"/>
      <c r="B122" s="46"/>
      <c r="C122" s="46"/>
      <c r="D122" s="46"/>
      <c r="E122" s="46"/>
      <c r="F122" s="47"/>
      <c r="G122" s="47"/>
      <c r="H122" s="48"/>
      <c r="I122" s="48"/>
    </row>
    <row r="123" spans="1:9" ht="21" customHeight="1" x14ac:dyDescent="0.2">
      <c r="A123" s="46"/>
      <c r="B123" s="46"/>
      <c r="C123" s="46"/>
      <c r="D123" s="46"/>
      <c r="E123" s="46"/>
      <c r="F123" s="47"/>
      <c r="G123" s="47"/>
      <c r="H123" s="48"/>
      <c r="I123" s="48"/>
    </row>
    <row r="124" spans="1:9" ht="21" customHeight="1" x14ac:dyDescent="0.2">
      <c r="A124" s="46"/>
      <c r="B124" s="46"/>
      <c r="C124" s="46"/>
      <c r="D124" s="46"/>
      <c r="E124" s="46"/>
      <c r="F124" s="47"/>
      <c r="G124" s="47"/>
      <c r="H124" s="48"/>
      <c r="I124" s="48"/>
    </row>
    <row r="125" spans="1:9" ht="21" customHeight="1" x14ac:dyDescent="0.2">
      <c r="A125" s="46"/>
      <c r="B125" s="46"/>
      <c r="C125" s="46"/>
      <c r="D125" s="46"/>
      <c r="E125" s="46"/>
      <c r="F125" s="47"/>
      <c r="G125" s="47"/>
      <c r="H125" s="48"/>
      <c r="I125" s="48"/>
    </row>
    <row r="126" spans="1:9" ht="21" customHeight="1" x14ac:dyDescent="0.2">
      <c r="A126" s="46"/>
      <c r="B126" s="46"/>
      <c r="C126" s="46"/>
      <c r="D126" s="46"/>
      <c r="E126" s="46"/>
      <c r="F126" s="47"/>
      <c r="G126" s="47"/>
      <c r="H126" s="48"/>
      <c r="I126" s="48"/>
    </row>
    <row r="127" spans="1:9" ht="21" customHeight="1" x14ac:dyDescent="0.2">
      <c r="A127" s="46"/>
      <c r="B127" s="46"/>
      <c r="C127" s="46"/>
      <c r="D127" s="46"/>
      <c r="E127" s="46"/>
      <c r="F127" s="47"/>
      <c r="G127" s="47"/>
      <c r="H127" s="48"/>
      <c r="I127" s="48"/>
    </row>
    <row r="128" spans="1:9" ht="21" customHeight="1" x14ac:dyDescent="0.2">
      <c r="A128" s="46"/>
      <c r="B128" s="46"/>
      <c r="C128" s="46"/>
      <c r="D128" s="46"/>
      <c r="E128" s="46"/>
      <c r="F128" s="47"/>
      <c r="G128" s="47"/>
      <c r="H128" s="48"/>
      <c r="I128" s="48"/>
    </row>
    <row r="129" spans="1:9" ht="21" customHeight="1" x14ac:dyDescent="0.2">
      <c r="A129" s="46"/>
      <c r="B129" s="46"/>
      <c r="C129" s="46"/>
      <c r="D129" s="46"/>
      <c r="E129" s="46"/>
      <c r="F129" s="47"/>
      <c r="G129" s="47"/>
      <c r="H129" s="48"/>
      <c r="I129" s="48"/>
    </row>
    <row r="130" spans="1:9" ht="21" customHeight="1" x14ac:dyDescent="0.2">
      <c r="A130" s="46"/>
      <c r="B130" s="46"/>
      <c r="C130" s="46"/>
      <c r="D130" s="46"/>
      <c r="E130" s="46"/>
      <c r="F130" s="47"/>
      <c r="G130" s="47"/>
      <c r="H130" s="48"/>
      <c r="I130" s="48"/>
    </row>
    <row r="131" spans="1:9" ht="21" customHeight="1" x14ac:dyDescent="0.2">
      <c r="A131" s="46"/>
      <c r="B131" s="46"/>
      <c r="C131" s="46"/>
      <c r="D131" s="46"/>
      <c r="E131" s="46"/>
      <c r="F131" s="47"/>
      <c r="G131" s="47"/>
      <c r="H131" s="48"/>
      <c r="I131" s="48"/>
    </row>
    <row r="132" spans="1:9" ht="21" customHeight="1" x14ac:dyDescent="0.2">
      <c r="A132" s="46"/>
      <c r="B132" s="46"/>
      <c r="C132" s="46"/>
      <c r="D132" s="46"/>
      <c r="E132" s="46"/>
      <c r="F132" s="47"/>
      <c r="G132" s="47"/>
      <c r="H132" s="48"/>
      <c r="I132" s="48"/>
    </row>
    <row r="133" spans="1:9" ht="21" customHeight="1" x14ac:dyDescent="0.2">
      <c r="A133" s="46"/>
      <c r="B133" s="46"/>
      <c r="C133" s="46"/>
      <c r="D133" s="46"/>
      <c r="E133" s="46"/>
      <c r="F133" s="47"/>
      <c r="G133" s="47"/>
      <c r="H133" s="48"/>
      <c r="I133" s="48"/>
    </row>
    <row r="134" spans="1:9" ht="21" customHeight="1" x14ac:dyDescent="0.2">
      <c r="A134" s="46"/>
      <c r="B134" s="46"/>
      <c r="C134" s="46"/>
      <c r="D134" s="46"/>
      <c r="E134" s="46"/>
      <c r="F134" s="47"/>
      <c r="G134" s="47"/>
      <c r="H134" s="48"/>
      <c r="I134" s="48"/>
    </row>
    <row r="135" spans="1:9" ht="21" customHeight="1" x14ac:dyDescent="0.2">
      <c r="A135" s="46"/>
      <c r="B135" s="46"/>
      <c r="C135" s="46"/>
      <c r="D135" s="46"/>
      <c r="E135" s="46"/>
      <c r="F135" s="47"/>
      <c r="G135" s="47"/>
      <c r="H135" s="48"/>
      <c r="I135" s="48"/>
    </row>
    <row r="136" spans="1:9" ht="21" customHeight="1" x14ac:dyDescent="0.2">
      <c r="A136" s="46"/>
      <c r="B136" s="46"/>
      <c r="C136" s="46"/>
      <c r="D136" s="46"/>
      <c r="E136" s="46"/>
      <c r="F136" s="47"/>
      <c r="G136" s="47"/>
      <c r="H136" s="48"/>
      <c r="I136" s="48"/>
    </row>
    <row r="137" spans="1:9" ht="21" customHeight="1" x14ac:dyDescent="0.2">
      <c r="A137" s="46"/>
      <c r="B137" s="46"/>
      <c r="C137" s="46"/>
      <c r="D137" s="46"/>
      <c r="E137" s="46"/>
      <c r="F137" s="47"/>
      <c r="G137" s="47"/>
      <c r="H137" s="48"/>
      <c r="I137" s="48"/>
    </row>
    <row r="138" spans="1:9" ht="21" customHeight="1" x14ac:dyDescent="0.2">
      <c r="A138" s="46"/>
      <c r="B138" s="46"/>
      <c r="C138" s="46"/>
      <c r="D138" s="46"/>
      <c r="E138" s="46"/>
      <c r="F138" s="47"/>
      <c r="G138" s="47"/>
      <c r="H138" s="48"/>
      <c r="I138" s="48"/>
    </row>
    <row r="139" spans="1:9" ht="21" customHeight="1" x14ac:dyDescent="0.2">
      <c r="A139" s="46"/>
      <c r="B139" s="46"/>
      <c r="C139" s="46"/>
      <c r="D139" s="46"/>
      <c r="E139" s="46"/>
      <c r="F139" s="47"/>
      <c r="G139" s="47"/>
      <c r="H139" s="48"/>
      <c r="I139" s="48"/>
    </row>
    <row r="140" spans="1:9" ht="21" customHeight="1" x14ac:dyDescent="0.2">
      <c r="A140" s="46"/>
      <c r="B140" s="46"/>
      <c r="C140" s="46"/>
      <c r="D140" s="46"/>
      <c r="E140" s="46"/>
      <c r="F140" s="47"/>
      <c r="G140" s="47"/>
      <c r="H140" s="48"/>
      <c r="I140" s="48"/>
    </row>
    <row r="141" spans="1:9" ht="21" customHeight="1" x14ac:dyDescent="0.2">
      <c r="A141" s="46"/>
      <c r="B141" s="46"/>
      <c r="C141" s="46"/>
      <c r="D141" s="46"/>
      <c r="E141" s="46"/>
      <c r="F141" s="47"/>
      <c r="G141" s="47"/>
      <c r="H141" s="48"/>
      <c r="I141" s="48"/>
    </row>
    <row r="142" spans="1:9" ht="21" customHeight="1" x14ac:dyDescent="0.2">
      <c r="A142" s="46"/>
      <c r="B142" s="46"/>
      <c r="C142" s="46"/>
      <c r="D142" s="46"/>
      <c r="E142" s="46"/>
      <c r="F142" s="47"/>
      <c r="G142" s="47"/>
      <c r="H142" s="48"/>
      <c r="I142" s="48"/>
    </row>
    <row r="143" spans="1:9" ht="21" customHeight="1" x14ac:dyDescent="0.2">
      <c r="A143" s="46"/>
      <c r="B143" s="46"/>
      <c r="C143" s="46"/>
      <c r="D143" s="46"/>
      <c r="E143" s="46"/>
      <c r="F143" s="47"/>
      <c r="G143" s="47"/>
      <c r="H143" s="48"/>
      <c r="I143" s="48"/>
    </row>
    <row r="144" spans="1:9" ht="21" customHeight="1" x14ac:dyDescent="0.2">
      <c r="A144" s="46"/>
      <c r="B144" s="46"/>
      <c r="C144" s="46"/>
      <c r="D144" s="46"/>
      <c r="E144" s="46"/>
      <c r="F144" s="47"/>
      <c r="G144" s="47"/>
      <c r="H144" s="48"/>
      <c r="I144" s="48"/>
    </row>
    <row r="145" spans="1:9" ht="21" customHeight="1" x14ac:dyDescent="0.2">
      <c r="A145" s="46"/>
      <c r="B145" s="46"/>
      <c r="C145" s="46"/>
      <c r="D145" s="46"/>
      <c r="E145" s="46"/>
      <c r="F145" s="47"/>
      <c r="G145" s="47"/>
      <c r="H145" s="48"/>
      <c r="I145" s="48"/>
    </row>
    <row r="146" spans="1:9" ht="21" customHeight="1" x14ac:dyDescent="0.2">
      <c r="A146" s="46"/>
      <c r="B146" s="46"/>
      <c r="C146" s="46"/>
      <c r="D146" s="46"/>
      <c r="E146" s="46"/>
      <c r="F146" s="47"/>
      <c r="G146" s="47"/>
      <c r="H146" s="48"/>
      <c r="I146" s="48"/>
    </row>
    <row r="147" spans="1:9" ht="21" customHeight="1" x14ac:dyDescent="0.2">
      <c r="A147" s="46"/>
      <c r="B147" s="46"/>
      <c r="C147" s="46"/>
      <c r="D147" s="46"/>
      <c r="E147" s="46"/>
      <c r="F147" s="47"/>
      <c r="G147" s="47"/>
      <c r="H147" s="48"/>
      <c r="I147" s="48"/>
    </row>
    <row r="148" spans="1:9" ht="21" customHeight="1" x14ac:dyDescent="0.2">
      <c r="A148" s="46"/>
      <c r="B148" s="46"/>
      <c r="C148" s="46"/>
      <c r="D148" s="46"/>
      <c r="E148" s="46"/>
      <c r="F148" s="47"/>
      <c r="G148" s="47"/>
      <c r="H148" s="48"/>
      <c r="I148" s="48"/>
    </row>
    <row r="149" spans="1:9" ht="21" customHeight="1" x14ac:dyDescent="0.2">
      <c r="A149" s="46"/>
      <c r="B149" s="46"/>
      <c r="C149" s="46"/>
      <c r="D149" s="46"/>
      <c r="E149" s="46"/>
      <c r="F149" s="47"/>
      <c r="G149" s="47"/>
      <c r="H149" s="48"/>
      <c r="I149" s="48"/>
    </row>
    <row r="150" spans="1:9" ht="21" customHeight="1" x14ac:dyDescent="0.2">
      <c r="A150" s="46"/>
      <c r="B150" s="46"/>
      <c r="C150" s="46"/>
      <c r="D150" s="46"/>
      <c r="E150" s="46"/>
      <c r="F150" s="47"/>
      <c r="G150" s="47"/>
      <c r="H150" s="48"/>
      <c r="I150" s="48"/>
    </row>
    <row r="151" spans="1:9" ht="21" customHeight="1" x14ac:dyDescent="0.2">
      <c r="A151" s="46"/>
      <c r="B151" s="46"/>
      <c r="C151" s="46"/>
      <c r="D151" s="46"/>
      <c r="E151" s="46"/>
      <c r="F151" s="47"/>
      <c r="G151" s="47"/>
      <c r="H151" s="48"/>
      <c r="I151" s="48"/>
    </row>
    <row r="152" spans="1:9" ht="21" customHeight="1" x14ac:dyDescent="0.2">
      <c r="A152" s="46"/>
      <c r="B152" s="46"/>
      <c r="C152" s="46"/>
      <c r="D152" s="46"/>
      <c r="E152" s="46"/>
      <c r="F152" s="47"/>
      <c r="G152" s="47"/>
      <c r="H152" s="48"/>
      <c r="I152" s="48"/>
    </row>
    <row r="153" spans="1:9" ht="21" customHeight="1" x14ac:dyDescent="0.2">
      <c r="A153" s="46"/>
      <c r="B153" s="46"/>
      <c r="C153" s="46"/>
      <c r="D153" s="46"/>
      <c r="E153" s="46"/>
      <c r="F153" s="47"/>
      <c r="G153" s="47"/>
      <c r="H153" s="48"/>
      <c r="I153" s="48"/>
    </row>
    <row r="154" spans="1:9" ht="21" customHeight="1" x14ac:dyDescent="0.2">
      <c r="A154" s="46"/>
      <c r="B154" s="46"/>
      <c r="C154" s="46"/>
      <c r="D154" s="46"/>
      <c r="E154" s="46"/>
      <c r="F154" s="47"/>
      <c r="G154" s="47"/>
      <c r="H154" s="48"/>
      <c r="I154" s="48"/>
    </row>
    <row r="155" spans="1:9" ht="21" customHeight="1" x14ac:dyDescent="0.2">
      <c r="A155" s="46"/>
      <c r="B155" s="46"/>
      <c r="C155" s="46"/>
      <c r="D155" s="46"/>
      <c r="E155" s="46"/>
      <c r="F155" s="47"/>
      <c r="G155" s="47"/>
      <c r="H155" s="48"/>
      <c r="I155" s="48"/>
    </row>
    <row r="156" spans="1:9" ht="21" customHeight="1" x14ac:dyDescent="0.2">
      <c r="A156" s="46"/>
      <c r="B156" s="46"/>
      <c r="C156" s="46"/>
      <c r="D156" s="46"/>
      <c r="E156" s="46"/>
      <c r="F156" s="47"/>
      <c r="G156" s="47"/>
      <c r="H156" s="48"/>
      <c r="I156" s="48"/>
    </row>
    <row r="157" spans="1:9" ht="21" customHeight="1" x14ac:dyDescent="0.2">
      <c r="A157" s="46"/>
      <c r="B157" s="46"/>
      <c r="C157" s="46"/>
      <c r="D157" s="46"/>
      <c r="E157" s="46"/>
      <c r="F157" s="47"/>
      <c r="G157" s="47"/>
      <c r="H157" s="48"/>
      <c r="I157" s="48"/>
    </row>
    <row r="158" spans="1:9" ht="21" customHeight="1" x14ac:dyDescent="0.2">
      <c r="A158" s="46"/>
      <c r="B158" s="46"/>
      <c r="C158" s="46"/>
      <c r="D158" s="46"/>
      <c r="E158" s="46"/>
      <c r="F158" s="47"/>
      <c r="G158" s="47"/>
      <c r="H158" s="48"/>
      <c r="I158" s="48"/>
    </row>
    <row r="159" spans="1:9" ht="21" customHeight="1" x14ac:dyDescent="0.2">
      <c r="A159" s="46"/>
      <c r="B159" s="46"/>
      <c r="C159" s="46"/>
      <c r="D159" s="46"/>
      <c r="E159" s="46"/>
      <c r="F159" s="47"/>
      <c r="G159" s="47"/>
      <c r="H159" s="48"/>
      <c r="I159" s="48"/>
    </row>
    <row r="160" spans="1:9" ht="21" customHeight="1" x14ac:dyDescent="0.2">
      <c r="A160" s="46"/>
      <c r="B160" s="46"/>
      <c r="C160" s="46"/>
      <c r="D160" s="46"/>
      <c r="E160" s="46"/>
      <c r="F160" s="47"/>
      <c r="G160" s="47"/>
      <c r="H160" s="48"/>
      <c r="I160" s="48"/>
    </row>
    <row r="161" spans="1:9" ht="21" customHeight="1" x14ac:dyDescent="0.2">
      <c r="A161" s="46"/>
      <c r="B161" s="46"/>
      <c r="C161" s="46"/>
      <c r="D161" s="46"/>
      <c r="E161" s="46"/>
      <c r="F161" s="47"/>
      <c r="G161" s="47"/>
      <c r="H161" s="48"/>
      <c r="I161" s="48"/>
    </row>
    <row r="162" spans="1:9" ht="21" customHeight="1" x14ac:dyDescent="0.2">
      <c r="A162" s="46"/>
      <c r="B162" s="46"/>
      <c r="C162" s="46"/>
      <c r="D162" s="46"/>
      <c r="E162" s="46"/>
      <c r="F162" s="47"/>
      <c r="G162" s="47"/>
      <c r="H162" s="48"/>
      <c r="I162" s="48"/>
    </row>
    <row r="163" spans="1:9" ht="21" customHeight="1" x14ac:dyDescent="0.2">
      <c r="A163" s="46"/>
      <c r="B163" s="46"/>
      <c r="C163" s="46"/>
      <c r="D163" s="46"/>
      <c r="E163" s="46"/>
      <c r="F163" s="47"/>
      <c r="G163" s="47"/>
      <c r="H163" s="48"/>
      <c r="I163" s="48"/>
    </row>
    <row r="164" spans="1:9" ht="21" customHeight="1" x14ac:dyDescent="0.2">
      <c r="A164" s="46"/>
      <c r="B164" s="46"/>
      <c r="C164" s="46"/>
      <c r="D164" s="46"/>
      <c r="E164" s="46"/>
      <c r="F164" s="47"/>
      <c r="G164" s="47"/>
      <c r="H164" s="48"/>
      <c r="I164" s="48"/>
    </row>
    <row r="165" spans="1:9" ht="21" customHeight="1" x14ac:dyDescent="0.2">
      <c r="A165" s="46"/>
      <c r="B165" s="46"/>
      <c r="C165" s="46"/>
      <c r="D165" s="46"/>
      <c r="E165" s="46"/>
      <c r="F165" s="47"/>
      <c r="G165" s="47"/>
      <c r="H165" s="48"/>
      <c r="I165" s="48"/>
    </row>
    <row r="166" spans="1:9" ht="21" customHeight="1" x14ac:dyDescent="0.2">
      <c r="A166" s="46"/>
      <c r="B166" s="46"/>
      <c r="C166" s="46"/>
      <c r="D166" s="46"/>
      <c r="E166" s="46"/>
      <c r="F166" s="47"/>
      <c r="G166" s="47"/>
      <c r="H166" s="48"/>
      <c r="I166" s="48"/>
    </row>
    <row r="167" spans="1:9" ht="21" customHeight="1" x14ac:dyDescent="0.2">
      <c r="A167" s="46"/>
      <c r="B167" s="46"/>
      <c r="C167" s="46"/>
      <c r="D167" s="46"/>
      <c r="E167" s="46"/>
      <c r="F167" s="47"/>
      <c r="G167" s="47"/>
      <c r="H167" s="48"/>
      <c r="I167" s="48"/>
    </row>
    <row r="168" spans="1:9" ht="21" customHeight="1" x14ac:dyDescent="0.2">
      <c r="A168" s="46"/>
      <c r="B168" s="46"/>
      <c r="C168" s="46"/>
      <c r="D168" s="46"/>
      <c r="E168" s="46"/>
      <c r="F168" s="47"/>
      <c r="G168" s="47"/>
      <c r="H168" s="48"/>
      <c r="I168" s="48"/>
    </row>
    <row r="169" spans="1:9" ht="21" customHeight="1" x14ac:dyDescent="0.2">
      <c r="A169" s="46"/>
      <c r="B169" s="46"/>
      <c r="C169" s="46"/>
      <c r="D169" s="46"/>
      <c r="E169" s="46"/>
      <c r="F169" s="47"/>
      <c r="G169" s="47"/>
      <c r="H169" s="48"/>
      <c r="I169" s="48"/>
    </row>
    <row r="170" spans="1:9" ht="21" customHeight="1" x14ac:dyDescent="0.2">
      <c r="A170" s="46"/>
      <c r="B170" s="46"/>
      <c r="C170" s="46"/>
      <c r="D170" s="46"/>
      <c r="E170" s="46"/>
      <c r="F170" s="47"/>
      <c r="G170" s="47"/>
      <c r="H170" s="48"/>
      <c r="I170" s="48"/>
    </row>
    <row r="171" spans="1:9" ht="21" customHeight="1" x14ac:dyDescent="0.2">
      <c r="A171" s="46"/>
      <c r="B171" s="46"/>
      <c r="C171" s="46"/>
      <c r="D171" s="46"/>
      <c r="E171" s="46"/>
      <c r="F171" s="47"/>
      <c r="G171" s="47"/>
      <c r="H171" s="48"/>
      <c r="I171" s="48"/>
    </row>
    <row r="172" spans="1:9" ht="21" customHeight="1" x14ac:dyDescent="0.2">
      <c r="A172" s="46"/>
      <c r="B172" s="46"/>
      <c r="C172" s="46"/>
      <c r="D172" s="46"/>
      <c r="E172" s="46"/>
      <c r="F172" s="47"/>
      <c r="G172" s="47"/>
      <c r="H172" s="48"/>
      <c r="I172" s="48"/>
    </row>
    <row r="173" spans="1:9" ht="21" customHeight="1" x14ac:dyDescent="0.2">
      <c r="A173" s="46"/>
      <c r="B173" s="46"/>
      <c r="C173" s="46"/>
      <c r="D173" s="46"/>
      <c r="E173" s="46"/>
      <c r="F173" s="47"/>
      <c r="G173" s="47"/>
      <c r="H173" s="48"/>
      <c r="I173" s="48"/>
    </row>
    <row r="174" spans="1:9" ht="21" customHeight="1" x14ac:dyDescent="0.2">
      <c r="A174" s="46"/>
      <c r="B174" s="46"/>
      <c r="C174" s="46"/>
      <c r="D174" s="46"/>
      <c r="E174" s="46"/>
      <c r="F174" s="47"/>
      <c r="G174" s="47"/>
      <c r="H174" s="48"/>
      <c r="I174" s="48"/>
    </row>
    <row r="175" spans="1:9" ht="21" customHeight="1" x14ac:dyDescent="0.2">
      <c r="A175" s="46"/>
      <c r="B175" s="46"/>
      <c r="C175" s="46"/>
      <c r="D175" s="46"/>
      <c r="E175" s="46"/>
      <c r="F175" s="47"/>
      <c r="G175" s="47"/>
      <c r="H175" s="48"/>
      <c r="I175" s="48"/>
    </row>
    <row r="176" spans="1:9" ht="21" customHeight="1" x14ac:dyDescent="0.2">
      <c r="A176" s="46"/>
      <c r="B176" s="46"/>
      <c r="C176" s="46"/>
      <c r="D176" s="46"/>
      <c r="E176" s="46"/>
      <c r="F176" s="47"/>
      <c r="G176" s="47"/>
      <c r="H176" s="48"/>
      <c r="I176" s="48"/>
    </row>
    <row r="177" spans="1:9" ht="21" customHeight="1" x14ac:dyDescent="0.2">
      <c r="A177" s="46"/>
      <c r="B177" s="46"/>
      <c r="C177" s="46"/>
      <c r="D177" s="46"/>
      <c r="E177" s="46"/>
      <c r="F177" s="47"/>
      <c r="G177" s="47"/>
      <c r="H177" s="48"/>
      <c r="I177" s="48"/>
    </row>
    <row r="178" spans="1:9" ht="21" customHeight="1" x14ac:dyDescent="0.2">
      <c r="A178" s="46"/>
      <c r="B178" s="46"/>
      <c r="C178" s="46"/>
      <c r="D178" s="46"/>
      <c r="E178" s="46"/>
      <c r="F178" s="47"/>
      <c r="G178" s="47"/>
      <c r="H178" s="48"/>
      <c r="I178" s="48"/>
    </row>
    <row r="179" spans="1:9" ht="21" customHeight="1" x14ac:dyDescent="0.2">
      <c r="A179" s="46"/>
      <c r="B179" s="46"/>
      <c r="C179" s="46"/>
      <c r="D179" s="46"/>
      <c r="E179" s="46"/>
      <c r="F179" s="47"/>
      <c r="G179" s="47"/>
      <c r="H179" s="48"/>
      <c r="I179" s="48"/>
    </row>
    <row r="180" spans="1:9" ht="21" customHeight="1" x14ac:dyDescent="0.2">
      <c r="A180" s="46"/>
      <c r="B180" s="46"/>
      <c r="C180" s="46"/>
      <c r="D180" s="46"/>
      <c r="E180" s="46"/>
      <c r="F180" s="47"/>
      <c r="G180" s="47"/>
      <c r="H180" s="48"/>
      <c r="I180" s="48"/>
    </row>
    <row r="181" spans="1:9" ht="21" customHeight="1" x14ac:dyDescent="0.2">
      <c r="A181" s="46"/>
      <c r="B181" s="46"/>
      <c r="C181" s="46"/>
      <c r="D181" s="46"/>
      <c r="E181" s="46"/>
      <c r="F181" s="47"/>
      <c r="G181" s="47"/>
      <c r="H181" s="48"/>
      <c r="I181" s="48"/>
    </row>
    <row r="182" spans="1:9" ht="21" customHeight="1" x14ac:dyDescent="0.2">
      <c r="A182" s="46"/>
      <c r="B182" s="46"/>
      <c r="C182" s="46"/>
      <c r="D182" s="46"/>
      <c r="E182" s="46"/>
      <c r="F182" s="47"/>
      <c r="G182" s="47"/>
      <c r="H182" s="48"/>
      <c r="I182" s="48"/>
    </row>
    <row r="183" spans="1:9" ht="21" customHeight="1" x14ac:dyDescent="0.2">
      <c r="A183" s="46"/>
      <c r="B183" s="46"/>
      <c r="C183" s="46"/>
      <c r="D183" s="46"/>
      <c r="E183" s="46"/>
      <c r="F183" s="47"/>
      <c r="G183" s="47"/>
      <c r="H183" s="48"/>
      <c r="I183" s="48"/>
    </row>
    <row r="184" spans="1:9" ht="21" customHeight="1" x14ac:dyDescent="0.2">
      <c r="A184" s="46"/>
      <c r="B184" s="46"/>
      <c r="C184" s="46"/>
      <c r="D184" s="46"/>
      <c r="E184" s="46"/>
      <c r="F184" s="47"/>
      <c r="G184" s="47"/>
      <c r="H184" s="48"/>
      <c r="I184" s="48"/>
    </row>
    <row r="185" spans="1:9" ht="21" customHeight="1" x14ac:dyDescent="0.2">
      <c r="A185" s="46"/>
      <c r="B185" s="46"/>
      <c r="C185" s="46"/>
      <c r="D185" s="46"/>
      <c r="E185" s="46"/>
      <c r="F185" s="47"/>
      <c r="G185" s="47"/>
      <c r="H185" s="48"/>
      <c r="I185" s="48"/>
    </row>
    <row r="186" spans="1:9" ht="21" customHeight="1" x14ac:dyDescent="0.2">
      <c r="A186" s="46"/>
      <c r="B186" s="46"/>
      <c r="C186" s="46"/>
      <c r="D186" s="46"/>
      <c r="E186" s="46"/>
      <c r="F186" s="47"/>
      <c r="G186" s="47"/>
      <c r="H186" s="48"/>
      <c r="I186" s="48"/>
    </row>
    <row r="187" spans="1:9" ht="21" customHeight="1" x14ac:dyDescent="0.2">
      <c r="A187" s="46"/>
      <c r="B187" s="46"/>
      <c r="C187" s="46"/>
      <c r="D187" s="46"/>
      <c r="E187" s="46"/>
      <c r="F187" s="47"/>
      <c r="G187" s="47"/>
      <c r="H187" s="48"/>
      <c r="I187" s="48"/>
    </row>
    <row r="188" spans="1:9" ht="21" customHeight="1" x14ac:dyDescent="0.2">
      <c r="A188" s="46"/>
      <c r="B188" s="46"/>
      <c r="C188" s="46"/>
      <c r="D188" s="46"/>
      <c r="E188" s="46"/>
      <c r="F188" s="47"/>
      <c r="G188" s="47"/>
      <c r="H188" s="48"/>
      <c r="I188" s="48"/>
    </row>
    <row r="189" spans="1:9" ht="21" customHeight="1" x14ac:dyDescent="0.2">
      <c r="A189" s="46"/>
      <c r="B189" s="46"/>
      <c r="C189" s="46"/>
      <c r="D189" s="46"/>
      <c r="E189" s="46"/>
      <c r="F189" s="47"/>
      <c r="G189" s="47"/>
      <c r="H189" s="48"/>
      <c r="I189" s="48"/>
    </row>
    <row r="190" spans="1:9" ht="21" customHeight="1" x14ac:dyDescent="0.2">
      <c r="A190" s="46"/>
      <c r="B190" s="46"/>
      <c r="C190" s="46"/>
      <c r="D190" s="46"/>
      <c r="E190" s="46"/>
      <c r="F190" s="47"/>
      <c r="G190" s="47"/>
      <c r="H190" s="48"/>
      <c r="I190" s="48"/>
    </row>
    <row r="191" spans="1:9" ht="21" customHeight="1" x14ac:dyDescent="0.2">
      <c r="A191" s="46"/>
      <c r="B191" s="46"/>
      <c r="C191" s="46"/>
      <c r="D191" s="46"/>
      <c r="E191" s="46"/>
      <c r="F191" s="47"/>
      <c r="G191" s="47"/>
      <c r="H191" s="48"/>
      <c r="I191" s="48"/>
    </row>
    <row r="192" spans="1:9" ht="21" customHeight="1" x14ac:dyDescent="0.2">
      <c r="A192" s="46"/>
      <c r="B192" s="46"/>
      <c r="C192" s="46"/>
      <c r="D192" s="46"/>
      <c r="E192" s="46"/>
      <c r="F192" s="47"/>
      <c r="G192" s="47"/>
      <c r="H192" s="48"/>
      <c r="I192" s="48"/>
    </row>
    <row r="193" spans="1:9" ht="21" customHeight="1" x14ac:dyDescent="0.2">
      <c r="A193" s="46"/>
      <c r="B193" s="46"/>
      <c r="C193" s="46"/>
      <c r="D193" s="46"/>
      <c r="E193" s="46"/>
      <c r="F193" s="47"/>
      <c r="G193" s="47"/>
      <c r="H193" s="48"/>
      <c r="I193" s="48"/>
    </row>
    <row r="194" spans="1:9" ht="21" customHeight="1" x14ac:dyDescent="0.2">
      <c r="A194" s="46"/>
      <c r="B194" s="46"/>
      <c r="C194" s="46"/>
      <c r="D194" s="46"/>
      <c r="E194" s="46"/>
      <c r="F194" s="47"/>
      <c r="G194" s="47"/>
      <c r="H194" s="48"/>
      <c r="I194" s="48"/>
    </row>
    <row r="195" spans="1:9" ht="21" customHeight="1" x14ac:dyDescent="0.2">
      <c r="A195" s="46"/>
      <c r="B195" s="46"/>
      <c r="C195" s="46"/>
      <c r="D195" s="46"/>
      <c r="E195" s="46"/>
      <c r="F195" s="47"/>
      <c r="G195" s="47"/>
      <c r="H195" s="48"/>
      <c r="I195" s="48"/>
    </row>
    <row r="196" spans="1:9" ht="21" customHeight="1" x14ac:dyDescent="0.2">
      <c r="A196" s="46"/>
      <c r="B196" s="46"/>
      <c r="C196" s="46"/>
      <c r="D196" s="46"/>
      <c r="E196" s="46"/>
      <c r="F196" s="47"/>
      <c r="G196" s="47"/>
      <c r="H196" s="48"/>
      <c r="I196" s="48"/>
    </row>
    <row r="197" spans="1:9" ht="21" customHeight="1" x14ac:dyDescent="0.2">
      <c r="A197" s="46"/>
      <c r="B197" s="46"/>
      <c r="C197" s="46"/>
      <c r="D197" s="46"/>
      <c r="E197" s="46"/>
      <c r="F197" s="47"/>
      <c r="G197" s="47"/>
      <c r="H197" s="48"/>
      <c r="I197" s="48"/>
    </row>
    <row r="198" spans="1:9" ht="21" customHeight="1" x14ac:dyDescent="0.2">
      <c r="A198" s="46"/>
      <c r="B198" s="46"/>
      <c r="C198" s="46"/>
      <c r="D198" s="46"/>
      <c r="E198" s="46"/>
      <c r="F198" s="47"/>
      <c r="G198" s="47"/>
      <c r="H198" s="48"/>
      <c r="I198" s="48"/>
    </row>
    <row r="199" spans="1:9" ht="21" customHeight="1" x14ac:dyDescent="0.2">
      <c r="A199" s="46"/>
      <c r="B199" s="46"/>
      <c r="C199" s="46"/>
      <c r="D199" s="46"/>
      <c r="E199" s="46"/>
      <c r="F199" s="47"/>
      <c r="G199" s="47"/>
      <c r="H199" s="48"/>
      <c r="I199" s="48"/>
    </row>
    <row r="200" spans="1:9" ht="21" customHeight="1" x14ac:dyDescent="0.2">
      <c r="A200" s="46"/>
      <c r="B200" s="46"/>
      <c r="C200" s="46"/>
      <c r="D200" s="46"/>
      <c r="E200" s="46"/>
      <c r="F200" s="47"/>
      <c r="G200" s="47"/>
      <c r="H200" s="48"/>
      <c r="I200" s="48"/>
    </row>
    <row r="201" spans="1:9" ht="21" customHeight="1" x14ac:dyDescent="0.2">
      <c r="A201" s="46"/>
      <c r="B201" s="46"/>
      <c r="C201" s="46"/>
      <c r="D201" s="46"/>
      <c r="E201" s="46"/>
      <c r="F201" s="47"/>
      <c r="G201" s="47"/>
      <c r="H201" s="48"/>
      <c r="I201" s="48"/>
    </row>
    <row r="202" spans="1:9" ht="21" customHeight="1" x14ac:dyDescent="0.2">
      <c r="A202" s="46"/>
      <c r="B202" s="46"/>
      <c r="C202" s="46"/>
      <c r="D202" s="46"/>
      <c r="E202" s="46"/>
      <c r="F202" s="47"/>
      <c r="G202" s="47"/>
      <c r="H202" s="48"/>
      <c r="I202" s="48"/>
    </row>
    <row r="203" spans="1:9" ht="21" customHeight="1" x14ac:dyDescent="0.2">
      <c r="A203" s="46"/>
      <c r="B203" s="46"/>
      <c r="C203" s="46"/>
      <c r="D203" s="46"/>
      <c r="E203" s="46"/>
      <c r="F203" s="47"/>
      <c r="G203" s="47"/>
      <c r="H203" s="48"/>
      <c r="I203" s="48"/>
    </row>
    <row r="204" spans="1:9" ht="21" customHeight="1" x14ac:dyDescent="0.2">
      <c r="A204" s="46"/>
      <c r="B204" s="46"/>
      <c r="C204" s="46"/>
      <c r="D204" s="46"/>
      <c r="E204" s="46"/>
      <c r="F204" s="47"/>
      <c r="G204" s="47"/>
      <c r="H204" s="48"/>
      <c r="I204" s="48"/>
    </row>
    <row r="205" spans="1:9" ht="21" customHeight="1" x14ac:dyDescent="0.2">
      <c r="A205" s="46"/>
      <c r="B205" s="46"/>
      <c r="C205" s="46"/>
      <c r="D205" s="46"/>
      <c r="E205" s="46"/>
      <c r="F205" s="47"/>
      <c r="G205" s="47"/>
      <c r="H205" s="48"/>
      <c r="I205" s="48"/>
    </row>
    <row r="206" spans="1:9" ht="21" customHeight="1" x14ac:dyDescent="0.2">
      <c r="A206" s="46"/>
      <c r="B206" s="46"/>
      <c r="C206" s="46"/>
      <c r="D206" s="46"/>
      <c r="E206" s="46"/>
      <c r="F206" s="47"/>
      <c r="G206" s="47"/>
      <c r="H206" s="48"/>
      <c r="I206" s="48"/>
    </row>
    <row r="207" spans="1:9" ht="21" customHeight="1" x14ac:dyDescent="0.2">
      <c r="A207" s="46"/>
      <c r="B207" s="46"/>
      <c r="C207" s="46"/>
      <c r="D207" s="46"/>
      <c r="E207" s="46"/>
      <c r="F207" s="47"/>
      <c r="G207" s="47"/>
      <c r="H207" s="48"/>
      <c r="I207" s="48"/>
    </row>
    <row r="208" spans="1:9" ht="21" customHeight="1" x14ac:dyDescent="0.2">
      <c r="A208" s="46"/>
      <c r="B208" s="46"/>
      <c r="C208" s="46"/>
      <c r="D208" s="46"/>
      <c r="E208" s="46"/>
      <c r="F208" s="47"/>
      <c r="G208" s="47"/>
      <c r="H208" s="48"/>
      <c r="I208" s="48"/>
    </row>
    <row r="209" spans="1:9" ht="21" customHeight="1" x14ac:dyDescent="0.2">
      <c r="A209" s="46"/>
      <c r="B209" s="46"/>
      <c r="C209" s="46"/>
      <c r="D209" s="46"/>
      <c r="E209" s="46"/>
      <c r="F209" s="47"/>
      <c r="G209" s="47"/>
      <c r="H209" s="48"/>
      <c r="I209" s="48"/>
    </row>
    <row r="210" spans="1:9" ht="21" customHeight="1" x14ac:dyDescent="0.2">
      <c r="A210" s="46"/>
      <c r="B210" s="46"/>
      <c r="C210" s="46"/>
      <c r="D210" s="46"/>
      <c r="E210" s="46"/>
      <c r="F210" s="47"/>
      <c r="G210" s="47"/>
      <c r="H210" s="48"/>
      <c r="I210" s="48"/>
    </row>
    <row r="211" spans="1:9" ht="21" customHeight="1" x14ac:dyDescent="0.2">
      <c r="A211" s="46"/>
      <c r="B211" s="46"/>
      <c r="C211" s="46"/>
      <c r="D211" s="46"/>
      <c r="E211" s="46"/>
      <c r="F211" s="47"/>
      <c r="G211" s="47"/>
      <c r="H211" s="48"/>
      <c r="I211" s="48"/>
    </row>
    <row r="212" spans="1:9" ht="21" customHeight="1" x14ac:dyDescent="0.2">
      <c r="A212" s="46"/>
      <c r="B212" s="46"/>
      <c r="C212" s="46"/>
      <c r="D212" s="46"/>
      <c r="E212" s="46"/>
      <c r="F212" s="47"/>
      <c r="G212" s="47"/>
      <c r="H212" s="48"/>
      <c r="I212" s="48"/>
    </row>
    <row r="213" spans="1:9" ht="21" customHeight="1" x14ac:dyDescent="0.2">
      <c r="A213" s="46"/>
      <c r="B213" s="46"/>
      <c r="C213" s="46"/>
      <c r="D213" s="46"/>
      <c r="E213" s="46"/>
      <c r="F213" s="47"/>
      <c r="G213" s="47"/>
      <c r="H213" s="48"/>
      <c r="I213" s="48"/>
    </row>
    <row r="214" spans="1:9" ht="21" customHeight="1" x14ac:dyDescent="0.2">
      <c r="A214" s="46"/>
      <c r="B214" s="46"/>
      <c r="C214" s="46"/>
      <c r="D214" s="46"/>
      <c r="E214" s="46"/>
      <c r="F214" s="47"/>
      <c r="G214" s="47"/>
      <c r="H214" s="48"/>
      <c r="I214" s="48"/>
    </row>
    <row r="215" spans="1:9" ht="21" customHeight="1" x14ac:dyDescent="0.2">
      <c r="A215" s="46"/>
      <c r="B215" s="46"/>
      <c r="C215" s="46"/>
      <c r="D215" s="46"/>
      <c r="E215" s="46"/>
      <c r="F215" s="47"/>
      <c r="G215" s="47"/>
      <c r="H215" s="48"/>
      <c r="I215" s="48"/>
    </row>
    <row r="216" spans="1:9" ht="21" customHeight="1" x14ac:dyDescent="0.2">
      <c r="A216" s="46"/>
      <c r="B216" s="46"/>
      <c r="C216" s="46"/>
      <c r="D216" s="46"/>
      <c r="E216" s="46"/>
      <c r="F216" s="47"/>
      <c r="G216" s="47"/>
      <c r="H216" s="48"/>
      <c r="I216" s="48"/>
    </row>
    <row r="217" spans="1:9" ht="21" customHeight="1" x14ac:dyDescent="0.2">
      <c r="A217" s="46"/>
      <c r="B217" s="46"/>
      <c r="C217" s="46"/>
      <c r="D217" s="46"/>
      <c r="E217" s="46"/>
      <c r="F217" s="47"/>
      <c r="G217" s="47"/>
      <c r="H217" s="48"/>
      <c r="I217" s="48"/>
    </row>
    <row r="218" spans="1:9" ht="21" customHeight="1" x14ac:dyDescent="0.2">
      <c r="A218" s="46"/>
      <c r="B218" s="46"/>
      <c r="C218" s="46"/>
      <c r="D218" s="46"/>
      <c r="E218" s="46"/>
      <c r="F218" s="47"/>
      <c r="G218" s="47"/>
      <c r="H218" s="48"/>
      <c r="I218" s="48"/>
    </row>
    <row r="219" spans="1:9" ht="21" customHeight="1" x14ac:dyDescent="0.2">
      <c r="A219" s="46"/>
      <c r="B219" s="46"/>
      <c r="C219" s="46"/>
      <c r="D219" s="46"/>
      <c r="E219" s="46"/>
      <c r="F219" s="47"/>
      <c r="G219" s="47"/>
      <c r="H219" s="48"/>
      <c r="I219" s="48"/>
    </row>
    <row r="220" spans="1:9" ht="21" customHeight="1" x14ac:dyDescent="0.2">
      <c r="A220" s="46"/>
      <c r="B220" s="46"/>
      <c r="C220" s="46"/>
      <c r="D220" s="46"/>
      <c r="E220" s="46"/>
      <c r="F220" s="47"/>
      <c r="G220" s="47"/>
      <c r="H220" s="48"/>
      <c r="I220" s="48"/>
    </row>
    <row r="221" spans="1:9" ht="21" customHeight="1" x14ac:dyDescent="0.2">
      <c r="A221" s="46"/>
      <c r="B221" s="46"/>
      <c r="C221" s="46"/>
      <c r="D221" s="46"/>
      <c r="E221" s="46"/>
      <c r="F221" s="47"/>
      <c r="G221" s="47"/>
      <c r="H221" s="48"/>
      <c r="I221" s="48"/>
    </row>
    <row r="222" spans="1:9" ht="21" customHeight="1" x14ac:dyDescent="0.2">
      <c r="A222" s="46"/>
      <c r="B222" s="46"/>
      <c r="C222" s="46"/>
      <c r="D222" s="46"/>
      <c r="E222" s="46"/>
      <c r="F222" s="47"/>
      <c r="G222" s="47"/>
      <c r="H222" s="48"/>
      <c r="I222" s="48"/>
    </row>
    <row r="223" spans="1:9" ht="21" customHeight="1" x14ac:dyDescent="0.2">
      <c r="A223" s="46"/>
      <c r="B223" s="46"/>
      <c r="C223" s="46"/>
      <c r="D223" s="46"/>
      <c r="E223" s="46"/>
      <c r="F223" s="47"/>
      <c r="G223" s="47"/>
      <c r="H223" s="48"/>
      <c r="I223" s="48"/>
    </row>
    <row r="224" spans="1:9" ht="21" customHeight="1" x14ac:dyDescent="0.2">
      <c r="A224" s="46"/>
      <c r="B224" s="46"/>
      <c r="C224" s="46"/>
      <c r="D224" s="46"/>
      <c r="E224" s="46"/>
      <c r="F224" s="47"/>
      <c r="G224" s="47"/>
      <c r="H224" s="48"/>
      <c r="I224" s="48"/>
    </row>
    <row r="225" spans="1:9" ht="21" customHeight="1" x14ac:dyDescent="0.2">
      <c r="A225" s="46"/>
      <c r="B225" s="46"/>
      <c r="C225" s="46"/>
      <c r="D225" s="46"/>
      <c r="E225" s="46"/>
      <c r="F225" s="47"/>
      <c r="G225" s="47"/>
      <c r="H225" s="48"/>
      <c r="I225" s="48"/>
    </row>
    <row r="226" spans="1:9" ht="21" customHeight="1" x14ac:dyDescent="0.2">
      <c r="A226" s="46"/>
      <c r="B226" s="46"/>
      <c r="C226" s="46"/>
      <c r="D226" s="46"/>
      <c r="E226" s="46"/>
      <c r="F226" s="47"/>
      <c r="G226" s="47"/>
      <c r="H226" s="48"/>
      <c r="I226" s="48"/>
    </row>
    <row r="227" spans="1:9" ht="21" customHeight="1" x14ac:dyDescent="0.2">
      <c r="A227" s="46"/>
      <c r="B227" s="46"/>
      <c r="C227" s="46"/>
      <c r="D227" s="46"/>
      <c r="E227" s="46"/>
      <c r="F227" s="47"/>
      <c r="G227" s="47"/>
      <c r="H227" s="48"/>
      <c r="I227" s="48"/>
    </row>
    <row r="228" spans="1:9" ht="21" customHeight="1" x14ac:dyDescent="0.2">
      <c r="A228" s="46"/>
      <c r="B228" s="46"/>
      <c r="C228" s="46"/>
      <c r="D228" s="46"/>
      <c r="E228" s="46"/>
      <c r="F228" s="47"/>
      <c r="G228" s="47"/>
      <c r="H228" s="48"/>
      <c r="I228" s="48"/>
    </row>
    <row r="229" spans="1:9" ht="21" customHeight="1" x14ac:dyDescent="0.2">
      <c r="A229" s="46"/>
      <c r="B229" s="46"/>
      <c r="C229" s="46"/>
      <c r="D229" s="46"/>
      <c r="E229" s="46"/>
      <c r="F229" s="47"/>
      <c r="G229" s="47"/>
      <c r="H229" s="48"/>
      <c r="I229" s="48"/>
    </row>
    <row r="230" spans="1:9" ht="21" customHeight="1" x14ac:dyDescent="0.2">
      <c r="A230" s="46"/>
      <c r="B230" s="46"/>
      <c r="C230" s="46"/>
      <c r="D230" s="46"/>
      <c r="E230" s="46"/>
      <c r="F230" s="47"/>
      <c r="G230" s="47"/>
      <c r="H230" s="48"/>
      <c r="I230" s="48"/>
    </row>
    <row r="231" spans="1:9" ht="21" customHeight="1" x14ac:dyDescent="0.2">
      <c r="A231" s="46"/>
      <c r="B231" s="46"/>
      <c r="C231" s="46"/>
      <c r="D231" s="46"/>
      <c r="E231" s="46"/>
      <c r="F231" s="47"/>
      <c r="G231" s="47"/>
      <c r="H231" s="48"/>
      <c r="I231" s="48"/>
    </row>
    <row r="232" spans="1:9" ht="21" customHeight="1" x14ac:dyDescent="0.2">
      <c r="A232" s="46"/>
      <c r="B232" s="46"/>
      <c r="C232" s="46"/>
      <c r="D232" s="46"/>
      <c r="E232" s="46"/>
      <c r="F232" s="47"/>
      <c r="G232" s="47"/>
      <c r="H232" s="48"/>
      <c r="I232" s="48"/>
    </row>
    <row r="233" spans="1:9" ht="21" customHeight="1" x14ac:dyDescent="0.2">
      <c r="A233" s="46"/>
      <c r="B233" s="46"/>
      <c r="C233" s="46"/>
      <c r="D233" s="46"/>
      <c r="E233" s="46"/>
      <c r="F233" s="47"/>
      <c r="G233" s="47"/>
      <c r="H233" s="48"/>
      <c r="I233" s="48"/>
    </row>
    <row r="234" spans="1:9" ht="21" customHeight="1" x14ac:dyDescent="0.2">
      <c r="A234" s="46"/>
      <c r="B234" s="46"/>
      <c r="C234" s="46"/>
      <c r="D234" s="46"/>
      <c r="E234" s="46"/>
      <c r="F234" s="47"/>
      <c r="G234" s="47"/>
      <c r="H234" s="48"/>
      <c r="I234" s="48"/>
    </row>
    <row r="235" spans="1:9" ht="21" customHeight="1" x14ac:dyDescent="0.2">
      <c r="A235" s="46"/>
      <c r="B235" s="46"/>
      <c r="C235" s="46"/>
      <c r="D235" s="46"/>
      <c r="E235" s="46"/>
      <c r="F235" s="47"/>
      <c r="G235" s="47"/>
      <c r="H235" s="48"/>
      <c r="I235" s="48"/>
    </row>
    <row r="236" spans="1:9" ht="21" customHeight="1" x14ac:dyDescent="0.2">
      <c r="A236" s="46"/>
      <c r="B236" s="46"/>
      <c r="C236" s="46"/>
      <c r="D236" s="46"/>
      <c r="E236" s="46"/>
      <c r="F236" s="47"/>
      <c r="G236" s="47"/>
      <c r="H236" s="48"/>
      <c r="I236" s="48"/>
    </row>
    <row r="237" spans="1:9" ht="21" customHeight="1" x14ac:dyDescent="0.2">
      <c r="A237" s="46"/>
      <c r="B237" s="46"/>
      <c r="C237" s="46"/>
      <c r="D237" s="46"/>
      <c r="E237" s="46"/>
      <c r="F237" s="47"/>
      <c r="G237" s="47"/>
      <c r="H237" s="48"/>
      <c r="I237" s="48"/>
    </row>
    <row r="238" spans="1:9" ht="21" customHeight="1" x14ac:dyDescent="0.2">
      <c r="A238" s="46"/>
      <c r="B238" s="46"/>
      <c r="C238" s="46"/>
      <c r="D238" s="46"/>
      <c r="E238" s="46"/>
      <c r="F238" s="47"/>
      <c r="G238" s="47"/>
      <c r="H238" s="48"/>
      <c r="I238" s="48"/>
    </row>
    <row r="239" spans="1:9" ht="21" customHeight="1" x14ac:dyDescent="0.2">
      <c r="A239" s="46"/>
      <c r="B239" s="46"/>
      <c r="C239" s="46"/>
      <c r="D239" s="46"/>
      <c r="E239" s="46"/>
      <c r="F239" s="47"/>
      <c r="G239" s="47"/>
      <c r="H239" s="48"/>
      <c r="I239" s="48"/>
    </row>
    <row r="240" spans="1:9" ht="21" customHeight="1" x14ac:dyDescent="0.2">
      <c r="A240" s="46"/>
      <c r="B240" s="46"/>
      <c r="C240" s="46"/>
      <c r="D240" s="46"/>
      <c r="E240" s="46"/>
      <c r="F240" s="47"/>
      <c r="G240" s="47"/>
      <c r="H240" s="48"/>
      <c r="I240" s="48"/>
    </row>
    <row r="241" spans="1:9" ht="21" customHeight="1" x14ac:dyDescent="0.2">
      <c r="A241" s="46"/>
      <c r="B241" s="46"/>
      <c r="C241" s="46"/>
      <c r="D241" s="46"/>
      <c r="E241" s="46"/>
      <c r="F241" s="47"/>
      <c r="G241" s="47"/>
      <c r="H241" s="48"/>
      <c r="I241" s="48"/>
    </row>
    <row r="242" spans="1:9" ht="21" customHeight="1" x14ac:dyDescent="0.2">
      <c r="A242" s="46"/>
      <c r="B242" s="46"/>
      <c r="C242" s="46"/>
      <c r="D242" s="46"/>
      <c r="E242" s="46"/>
      <c r="F242" s="47"/>
      <c r="G242" s="47"/>
      <c r="H242" s="48"/>
      <c r="I242" s="48"/>
    </row>
    <row r="243" spans="1:9" ht="21" customHeight="1" x14ac:dyDescent="0.2">
      <c r="A243" s="46"/>
      <c r="B243" s="46"/>
      <c r="C243" s="46"/>
      <c r="D243" s="46"/>
      <c r="E243" s="46"/>
      <c r="F243" s="47"/>
      <c r="G243" s="47"/>
      <c r="H243" s="48"/>
      <c r="I243" s="48"/>
    </row>
    <row r="244" spans="1:9" ht="21" customHeight="1" x14ac:dyDescent="0.2">
      <c r="A244" s="46"/>
      <c r="B244" s="46"/>
      <c r="C244" s="46"/>
      <c r="D244" s="46"/>
      <c r="E244" s="46"/>
      <c r="F244" s="47"/>
      <c r="G244" s="47"/>
      <c r="H244" s="48"/>
      <c r="I244" s="48"/>
    </row>
    <row r="245" spans="1:9" ht="21" customHeight="1" x14ac:dyDescent="0.2">
      <c r="A245" s="46"/>
      <c r="B245" s="46"/>
      <c r="C245" s="46"/>
      <c r="D245" s="46"/>
      <c r="E245" s="46"/>
      <c r="F245" s="47"/>
      <c r="G245" s="47"/>
      <c r="H245" s="48"/>
      <c r="I245" s="48"/>
    </row>
    <row r="246" spans="1:9" ht="21" customHeight="1" x14ac:dyDescent="0.2">
      <c r="A246" s="46"/>
      <c r="B246" s="46"/>
      <c r="C246" s="46"/>
      <c r="D246" s="46"/>
      <c r="E246" s="46"/>
      <c r="F246" s="47"/>
      <c r="G246" s="47"/>
      <c r="H246" s="48"/>
      <c r="I246" s="48"/>
    </row>
    <row r="247" spans="1:9" ht="21" customHeight="1" x14ac:dyDescent="0.2">
      <c r="A247" s="46"/>
      <c r="B247" s="46"/>
      <c r="C247" s="46"/>
      <c r="D247" s="46"/>
      <c r="E247" s="46"/>
      <c r="F247" s="47"/>
      <c r="G247" s="47"/>
      <c r="H247" s="48"/>
      <c r="I247" s="48"/>
    </row>
    <row r="248" spans="1:9" ht="21" customHeight="1" x14ac:dyDescent="0.2">
      <c r="A248" s="46"/>
      <c r="B248" s="46"/>
      <c r="C248" s="46"/>
      <c r="D248" s="46"/>
      <c r="E248" s="46"/>
      <c r="F248" s="47"/>
      <c r="G248" s="47"/>
      <c r="H248" s="48"/>
      <c r="I248" s="48"/>
    </row>
    <row r="249" spans="1:9" ht="21" customHeight="1" x14ac:dyDescent="0.2">
      <c r="A249" s="46"/>
      <c r="B249" s="46"/>
      <c r="C249" s="46"/>
      <c r="D249" s="46"/>
      <c r="E249" s="46"/>
      <c r="F249" s="47"/>
      <c r="G249" s="47"/>
      <c r="H249" s="48"/>
      <c r="I249" s="48"/>
    </row>
    <row r="250" spans="1:9" ht="21" customHeight="1" x14ac:dyDescent="0.2">
      <c r="A250" s="46"/>
      <c r="B250" s="46"/>
      <c r="C250" s="46"/>
      <c r="D250" s="46"/>
      <c r="E250" s="46"/>
      <c r="F250" s="47"/>
      <c r="G250" s="47"/>
      <c r="H250" s="48"/>
      <c r="I250" s="48"/>
    </row>
    <row r="251" spans="1:9" ht="21" customHeight="1" x14ac:dyDescent="0.2">
      <c r="A251" s="46"/>
      <c r="B251" s="46"/>
      <c r="C251" s="46"/>
      <c r="D251" s="46"/>
      <c r="E251" s="46"/>
      <c r="F251" s="47"/>
      <c r="G251" s="47"/>
      <c r="H251" s="48"/>
      <c r="I251" s="48"/>
    </row>
    <row r="252" spans="1:9" ht="21" customHeight="1" x14ac:dyDescent="0.2">
      <c r="A252" s="46"/>
      <c r="B252" s="46"/>
      <c r="C252" s="46"/>
      <c r="D252" s="46"/>
      <c r="E252" s="46"/>
      <c r="F252" s="47"/>
      <c r="G252" s="47"/>
      <c r="H252" s="48"/>
      <c r="I252" s="48"/>
    </row>
    <row r="253" spans="1:9" ht="21" customHeight="1" x14ac:dyDescent="0.2">
      <c r="A253" s="46"/>
      <c r="B253" s="46"/>
      <c r="C253" s="46"/>
      <c r="D253" s="46"/>
      <c r="E253" s="46"/>
      <c r="F253" s="47"/>
      <c r="G253" s="47"/>
      <c r="H253" s="48"/>
      <c r="I253" s="48"/>
    </row>
    <row r="254" spans="1:9" ht="21" customHeight="1" x14ac:dyDescent="0.2">
      <c r="A254" s="46"/>
      <c r="B254" s="46"/>
      <c r="C254" s="46"/>
      <c r="D254" s="46"/>
      <c r="E254" s="46"/>
      <c r="F254" s="47"/>
      <c r="G254" s="47"/>
      <c r="H254" s="48"/>
      <c r="I254" s="48"/>
    </row>
    <row r="255" spans="1:9" ht="21" customHeight="1" x14ac:dyDescent="0.2">
      <c r="A255" s="46"/>
      <c r="B255" s="46"/>
      <c r="C255" s="46"/>
      <c r="D255" s="46"/>
      <c r="E255" s="46"/>
      <c r="F255" s="47"/>
      <c r="G255" s="47"/>
      <c r="H255" s="48"/>
      <c r="I255" s="48"/>
    </row>
    <row r="256" spans="1:9" ht="21" customHeight="1" x14ac:dyDescent="0.2">
      <c r="A256" s="46"/>
      <c r="B256" s="46"/>
      <c r="C256" s="46"/>
      <c r="D256" s="46"/>
      <c r="E256" s="46"/>
      <c r="F256" s="47"/>
      <c r="G256" s="47"/>
      <c r="H256" s="48"/>
      <c r="I256" s="48"/>
    </row>
    <row r="257" spans="1:9" ht="21" customHeight="1" x14ac:dyDescent="0.2">
      <c r="A257" s="46"/>
      <c r="B257" s="46"/>
      <c r="C257" s="46"/>
      <c r="D257" s="46"/>
      <c r="E257" s="46"/>
      <c r="F257" s="47"/>
      <c r="G257" s="47"/>
      <c r="H257" s="48"/>
      <c r="I257" s="48"/>
    </row>
    <row r="258" spans="1:9" ht="21" customHeight="1" x14ac:dyDescent="0.2">
      <c r="A258" s="46"/>
      <c r="B258" s="46"/>
      <c r="C258" s="46"/>
      <c r="D258" s="46"/>
      <c r="E258" s="46"/>
      <c r="F258" s="47"/>
      <c r="G258" s="47"/>
      <c r="H258" s="48"/>
      <c r="I258" s="48"/>
    </row>
    <row r="259" spans="1:9" ht="21" customHeight="1" x14ac:dyDescent="0.2">
      <c r="A259" s="46"/>
      <c r="B259" s="46"/>
      <c r="C259" s="46"/>
      <c r="D259" s="46"/>
      <c r="E259" s="46"/>
      <c r="F259" s="47"/>
      <c r="G259" s="47"/>
      <c r="H259" s="48"/>
      <c r="I259" s="48"/>
    </row>
    <row r="260" spans="1:9" ht="21" customHeight="1" x14ac:dyDescent="0.2">
      <c r="A260" s="46"/>
      <c r="B260" s="46"/>
      <c r="C260" s="46"/>
      <c r="D260" s="46"/>
      <c r="E260" s="46"/>
      <c r="F260" s="47"/>
      <c r="G260" s="47"/>
      <c r="H260" s="48"/>
      <c r="I260" s="48"/>
    </row>
    <row r="261" spans="1:9" ht="21" customHeight="1" x14ac:dyDescent="0.2">
      <c r="A261" s="46"/>
      <c r="B261" s="46"/>
      <c r="C261" s="46"/>
      <c r="D261" s="46"/>
      <c r="E261" s="46"/>
      <c r="F261" s="47"/>
      <c r="G261" s="47"/>
      <c r="H261" s="48"/>
      <c r="I261" s="48"/>
    </row>
    <row r="262" spans="1:9" ht="21" customHeight="1" x14ac:dyDescent="0.2">
      <c r="A262" s="46"/>
      <c r="B262" s="46"/>
      <c r="C262" s="46"/>
      <c r="D262" s="46"/>
      <c r="E262" s="46"/>
      <c r="F262" s="47"/>
      <c r="G262" s="47"/>
      <c r="H262" s="48"/>
      <c r="I262" s="48"/>
    </row>
    <row r="263" spans="1:9" ht="21" customHeight="1" x14ac:dyDescent="0.2">
      <c r="A263" s="46"/>
      <c r="B263" s="46"/>
      <c r="C263" s="46"/>
      <c r="D263" s="46"/>
      <c r="E263" s="46"/>
      <c r="F263" s="47"/>
      <c r="G263" s="47"/>
      <c r="H263" s="48"/>
      <c r="I263" s="48"/>
    </row>
    <row r="264" spans="1:9" ht="21" customHeight="1" x14ac:dyDescent="0.2">
      <c r="A264" s="46"/>
      <c r="B264" s="46"/>
      <c r="C264" s="46"/>
      <c r="D264" s="46"/>
      <c r="E264" s="46"/>
      <c r="F264" s="47"/>
      <c r="G264" s="47"/>
      <c r="H264" s="48"/>
      <c r="I264" s="48"/>
    </row>
    <row r="265" spans="1:9" ht="21" customHeight="1" x14ac:dyDescent="0.2">
      <c r="A265" s="46"/>
      <c r="B265" s="46"/>
      <c r="C265" s="46"/>
      <c r="D265" s="46"/>
      <c r="E265" s="46"/>
      <c r="F265" s="47"/>
      <c r="G265" s="47"/>
      <c r="H265" s="48"/>
      <c r="I265" s="48"/>
    </row>
    <row r="266" spans="1:9" ht="21" customHeight="1" x14ac:dyDescent="0.2">
      <c r="A266" s="46"/>
      <c r="B266" s="46"/>
      <c r="C266" s="46"/>
      <c r="D266" s="46"/>
      <c r="E266" s="46"/>
      <c r="F266" s="47"/>
      <c r="G266" s="47"/>
      <c r="H266" s="48"/>
      <c r="I266" s="48"/>
    </row>
    <row r="267" spans="1:9" ht="21" customHeight="1" x14ac:dyDescent="0.2">
      <c r="A267" s="46"/>
      <c r="B267" s="46"/>
      <c r="C267" s="46"/>
      <c r="D267" s="46"/>
      <c r="E267" s="46"/>
      <c r="F267" s="47"/>
      <c r="G267" s="47"/>
      <c r="H267" s="48"/>
      <c r="I267" s="48"/>
    </row>
    <row r="268" spans="1:9" ht="21" customHeight="1" x14ac:dyDescent="0.2">
      <c r="A268" s="46"/>
      <c r="B268" s="46"/>
      <c r="C268" s="46"/>
      <c r="D268" s="46"/>
      <c r="E268" s="46"/>
      <c r="F268" s="47"/>
      <c r="G268" s="47"/>
      <c r="H268" s="48"/>
      <c r="I268" s="48"/>
    </row>
    <row r="269" spans="1:9" ht="21" customHeight="1" x14ac:dyDescent="0.2">
      <c r="A269" s="46"/>
      <c r="B269" s="46"/>
      <c r="C269" s="46"/>
      <c r="D269" s="46"/>
      <c r="E269" s="46"/>
      <c r="F269" s="47"/>
      <c r="G269" s="47"/>
      <c r="H269" s="48"/>
      <c r="I269" s="48"/>
    </row>
    <row r="270" spans="1:9" ht="21" customHeight="1" x14ac:dyDescent="0.2">
      <c r="A270" s="46"/>
      <c r="B270" s="46"/>
      <c r="C270" s="46"/>
      <c r="D270" s="46"/>
      <c r="E270" s="46"/>
      <c r="F270" s="47"/>
      <c r="G270" s="47"/>
      <c r="H270" s="48"/>
      <c r="I270" s="48"/>
    </row>
    <row r="271" spans="1:9" ht="21" customHeight="1" x14ac:dyDescent="0.2">
      <c r="A271" s="46"/>
      <c r="B271" s="46"/>
      <c r="C271" s="46"/>
      <c r="D271" s="46"/>
      <c r="E271" s="46"/>
      <c r="F271" s="47"/>
      <c r="G271" s="47"/>
      <c r="H271" s="48"/>
      <c r="I271" s="48"/>
    </row>
    <row r="272" spans="1:9" ht="21" customHeight="1" x14ac:dyDescent="0.2">
      <c r="A272" s="46"/>
      <c r="B272" s="46"/>
      <c r="C272" s="46"/>
      <c r="D272" s="46"/>
      <c r="E272" s="46"/>
      <c r="F272" s="47"/>
      <c r="G272" s="47"/>
      <c r="H272" s="48"/>
      <c r="I272" s="48"/>
    </row>
    <row r="273" spans="1:9" ht="21" customHeight="1" x14ac:dyDescent="0.2">
      <c r="A273" s="46"/>
      <c r="B273" s="46"/>
      <c r="C273" s="46"/>
      <c r="D273" s="46"/>
      <c r="E273" s="46"/>
      <c r="F273" s="47"/>
      <c r="G273" s="47"/>
      <c r="H273" s="48"/>
      <c r="I273" s="48"/>
    </row>
    <row r="274" spans="1:9" ht="21" customHeight="1" x14ac:dyDescent="0.2">
      <c r="A274" s="46"/>
      <c r="B274" s="46"/>
      <c r="C274" s="46"/>
      <c r="D274" s="46"/>
      <c r="E274" s="46"/>
      <c r="F274" s="47"/>
      <c r="G274" s="47"/>
      <c r="H274" s="48"/>
      <c r="I274" s="48"/>
    </row>
    <row r="275" spans="1:9" ht="21" customHeight="1" x14ac:dyDescent="0.2">
      <c r="A275" s="46"/>
      <c r="B275" s="46"/>
      <c r="C275" s="46"/>
      <c r="D275" s="46"/>
      <c r="E275" s="46"/>
      <c r="F275" s="47"/>
      <c r="G275" s="47"/>
      <c r="H275" s="48"/>
      <c r="I275" s="48"/>
    </row>
    <row r="276" spans="1:9" ht="21" customHeight="1" x14ac:dyDescent="0.2">
      <c r="A276" s="46"/>
      <c r="B276" s="46"/>
      <c r="C276" s="46"/>
      <c r="D276" s="46"/>
      <c r="E276" s="46"/>
      <c r="F276" s="47"/>
      <c r="G276" s="47"/>
      <c r="H276" s="48"/>
      <c r="I276" s="48"/>
    </row>
    <row r="277" spans="1:9" ht="21" customHeight="1" x14ac:dyDescent="0.2">
      <c r="A277" s="46"/>
      <c r="B277" s="46"/>
      <c r="C277" s="46"/>
      <c r="D277" s="46"/>
      <c r="E277" s="46"/>
      <c r="F277" s="47"/>
      <c r="G277" s="47"/>
      <c r="H277" s="48"/>
      <c r="I277" s="48"/>
    </row>
    <row r="278" spans="1:9" ht="21" customHeight="1" x14ac:dyDescent="0.2">
      <c r="A278" s="46"/>
      <c r="B278" s="46"/>
      <c r="C278" s="46"/>
      <c r="D278" s="46"/>
      <c r="E278" s="46"/>
      <c r="F278" s="47"/>
      <c r="G278" s="47"/>
      <c r="H278" s="48"/>
      <c r="I278" s="48"/>
    </row>
    <row r="279" spans="1:9" ht="21" customHeight="1" x14ac:dyDescent="0.2">
      <c r="A279" s="46"/>
      <c r="B279" s="46"/>
      <c r="C279" s="46"/>
      <c r="D279" s="46"/>
      <c r="E279" s="46"/>
      <c r="F279" s="47"/>
      <c r="G279" s="47"/>
      <c r="H279" s="48"/>
      <c r="I279" s="48"/>
    </row>
    <row r="280" spans="1:9" ht="21" customHeight="1" x14ac:dyDescent="0.2">
      <c r="A280" s="46"/>
      <c r="B280" s="46"/>
      <c r="C280" s="46"/>
      <c r="D280" s="46"/>
      <c r="E280" s="46"/>
      <c r="F280" s="47"/>
      <c r="G280" s="47"/>
      <c r="H280" s="48"/>
      <c r="I280" s="48"/>
    </row>
    <row r="281" spans="1:9" ht="21" customHeight="1" x14ac:dyDescent="0.2">
      <c r="A281" s="46"/>
      <c r="B281" s="46"/>
      <c r="C281" s="46"/>
      <c r="D281" s="46"/>
      <c r="E281" s="46"/>
      <c r="F281" s="47"/>
      <c r="G281" s="47"/>
      <c r="H281" s="48"/>
      <c r="I281" s="48"/>
    </row>
    <row r="282" spans="1:9" ht="21" customHeight="1" x14ac:dyDescent="0.2">
      <c r="A282" s="46"/>
      <c r="B282" s="46"/>
      <c r="C282" s="46"/>
      <c r="D282" s="46"/>
      <c r="E282" s="46"/>
      <c r="F282" s="47"/>
      <c r="G282" s="47"/>
      <c r="H282" s="48"/>
      <c r="I282" s="48"/>
    </row>
    <row r="283" spans="1:9" ht="21" customHeight="1" x14ac:dyDescent="0.2">
      <c r="A283" s="46"/>
      <c r="B283" s="46"/>
      <c r="C283" s="46"/>
      <c r="D283" s="46"/>
      <c r="E283" s="46"/>
      <c r="F283" s="47"/>
      <c r="G283" s="47"/>
      <c r="H283" s="48"/>
      <c r="I283" s="48"/>
    </row>
    <row r="284" spans="1:9" ht="21" customHeight="1" x14ac:dyDescent="0.2">
      <c r="A284" s="46"/>
      <c r="B284" s="46"/>
      <c r="C284" s="46"/>
      <c r="D284" s="46"/>
      <c r="E284" s="46"/>
      <c r="F284" s="47"/>
      <c r="G284" s="47"/>
      <c r="H284" s="48"/>
      <c r="I284" s="48"/>
    </row>
    <row r="285" spans="1:9" ht="21" customHeight="1" x14ac:dyDescent="0.2">
      <c r="A285" s="46"/>
      <c r="B285" s="46"/>
      <c r="C285" s="46"/>
      <c r="D285" s="46"/>
      <c r="E285" s="46"/>
      <c r="F285" s="47"/>
      <c r="G285" s="47"/>
      <c r="H285" s="48"/>
      <c r="I285" s="48"/>
    </row>
    <row r="286" spans="1:9" ht="21" customHeight="1" x14ac:dyDescent="0.2">
      <c r="A286" s="46"/>
      <c r="B286" s="46"/>
      <c r="C286" s="46"/>
      <c r="D286" s="46"/>
      <c r="E286" s="46"/>
      <c r="F286" s="47"/>
      <c r="G286" s="47"/>
      <c r="H286" s="48"/>
      <c r="I286" s="48"/>
    </row>
    <row r="287" spans="1:9" ht="21" customHeight="1" x14ac:dyDescent="0.2">
      <c r="A287" s="46"/>
      <c r="B287" s="46"/>
      <c r="C287" s="46"/>
      <c r="D287" s="46"/>
      <c r="E287" s="46"/>
      <c r="F287" s="47"/>
      <c r="G287" s="47"/>
      <c r="H287" s="48"/>
      <c r="I287" s="48"/>
    </row>
    <row r="288" spans="1:9" ht="21" customHeight="1" x14ac:dyDescent="0.2">
      <c r="A288" s="46"/>
      <c r="B288" s="46"/>
      <c r="C288" s="46"/>
      <c r="D288" s="46"/>
      <c r="E288" s="46"/>
      <c r="F288" s="47"/>
      <c r="G288" s="47"/>
      <c r="H288" s="48"/>
      <c r="I288" s="48"/>
    </row>
    <row r="289" spans="1:9" ht="21" customHeight="1" x14ac:dyDescent="0.2">
      <c r="A289" s="46"/>
      <c r="B289" s="46"/>
      <c r="C289" s="46"/>
      <c r="D289" s="46"/>
      <c r="E289" s="46"/>
      <c r="F289" s="47"/>
      <c r="G289" s="47"/>
      <c r="H289" s="48"/>
      <c r="I289" s="48"/>
    </row>
    <row r="290" spans="1:9" ht="21" customHeight="1" x14ac:dyDescent="0.2">
      <c r="A290" s="46"/>
      <c r="B290" s="46"/>
      <c r="C290" s="46"/>
      <c r="D290" s="46"/>
      <c r="E290" s="46"/>
      <c r="F290" s="47"/>
      <c r="G290" s="47"/>
      <c r="H290" s="48"/>
      <c r="I290" s="48"/>
    </row>
    <row r="291" spans="1:9" ht="21" customHeight="1" x14ac:dyDescent="0.2">
      <c r="A291" s="46"/>
      <c r="B291" s="46"/>
      <c r="C291" s="46"/>
      <c r="D291" s="46"/>
      <c r="E291" s="46"/>
      <c r="F291" s="47"/>
      <c r="G291" s="47"/>
      <c r="H291" s="48"/>
      <c r="I291" s="48"/>
    </row>
    <row r="292" spans="1:9" ht="21" customHeight="1" x14ac:dyDescent="0.2">
      <c r="A292" s="46"/>
      <c r="B292" s="46"/>
      <c r="C292" s="46"/>
      <c r="D292" s="46"/>
      <c r="E292" s="46"/>
      <c r="F292" s="47"/>
      <c r="G292" s="47"/>
      <c r="H292" s="48"/>
      <c r="I292" s="48"/>
    </row>
    <row r="293" spans="1:9" ht="21" customHeight="1" x14ac:dyDescent="0.2">
      <c r="A293" s="46"/>
      <c r="B293" s="46"/>
      <c r="C293" s="46"/>
      <c r="D293" s="46"/>
      <c r="E293" s="46"/>
      <c r="F293" s="47"/>
      <c r="G293" s="47"/>
      <c r="H293" s="48"/>
      <c r="I293" s="48"/>
    </row>
    <row r="294" spans="1:9" ht="21" customHeight="1" x14ac:dyDescent="0.2">
      <c r="A294" s="46"/>
      <c r="B294" s="46"/>
      <c r="C294" s="46"/>
      <c r="D294" s="46"/>
      <c r="E294" s="46"/>
      <c r="F294" s="47"/>
      <c r="G294" s="47"/>
      <c r="H294" s="48"/>
      <c r="I294" s="48"/>
    </row>
    <row r="295" spans="1:9" ht="21" customHeight="1" x14ac:dyDescent="0.2">
      <c r="A295" s="46"/>
      <c r="B295" s="46"/>
      <c r="C295" s="46"/>
      <c r="D295" s="46"/>
      <c r="E295" s="46"/>
      <c r="F295" s="47"/>
      <c r="G295" s="47"/>
      <c r="H295" s="48"/>
      <c r="I295" s="48"/>
    </row>
    <row r="296" spans="1:9" ht="21" customHeight="1" x14ac:dyDescent="0.2">
      <c r="A296" s="46"/>
      <c r="B296" s="46"/>
      <c r="C296" s="46"/>
      <c r="D296" s="46"/>
      <c r="E296" s="46"/>
      <c r="F296" s="47"/>
      <c r="G296" s="47"/>
      <c r="H296" s="48"/>
      <c r="I296" s="48"/>
    </row>
    <row r="297" spans="1:9" ht="21" customHeight="1" x14ac:dyDescent="0.2">
      <c r="A297" s="46"/>
      <c r="B297" s="46"/>
      <c r="C297" s="46"/>
      <c r="D297" s="46"/>
      <c r="E297" s="46"/>
      <c r="F297" s="47"/>
      <c r="G297" s="47"/>
      <c r="H297" s="48"/>
      <c r="I297" s="48"/>
    </row>
    <row r="298" spans="1:9" ht="21" customHeight="1" x14ac:dyDescent="0.2">
      <c r="A298" s="46"/>
      <c r="B298" s="46"/>
      <c r="C298" s="46"/>
      <c r="D298" s="46"/>
      <c r="E298" s="46"/>
      <c r="F298" s="47"/>
      <c r="G298" s="47"/>
      <c r="H298" s="48"/>
      <c r="I298" s="48"/>
    </row>
    <row r="299" spans="1:9" ht="21" customHeight="1" x14ac:dyDescent="0.2">
      <c r="A299" s="46"/>
      <c r="B299" s="46"/>
      <c r="C299" s="46"/>
      <c r="D299" s="46"/>
      <c r="E299" s="46"/>
      <c r="F299" s="47"/>
      <c r="G299" s="47"/>
      <c r="H299" s="48"/>
      <c r="I299" s="48"/>
    </row>
    <row r="300" spans="1:9" ht="21" customHeight="1" x14ac:dyDescent="0.2">
      <c r="A300" s="46"/>
      <c r="B300" s="46"/>
      <c r="C300" s="46"/>
      <c r="D300" s="46"/>
      <c r="E300" s="46"/>
      <c r="F300" s="47"/>
      <c r="G300" s="47"/>
      <c r="H300" s="48"/>
      <c r="I300" s="48"/>
    </row>
    <row r="301" spans="1:9" ht="21" customHeight="1" x14ac:dyDescent="0.2">
      <c r="A301" s="46"/>
      <c r="B301" s="46"/>
      <c r="C301" s="46"/>
      <c r="D301" s="46"/>
      <c r="E301" s="46"/>
      <c r="F301" s="47"/>
      <c r="G301" s="47"/>
      <c r="H301" s="48"/>
      <c r="I301" s="48"/>
    </row>
    <row r="302" spans="1:9" ht="21" customHeight="1" x14ac:dyDescent="0.2">
      <c r="A302" s="46"/>
      <c r="B302" s="46"/>
      <c r="C302" s="46"/>
      <c r="D302" s="46"/>
      <c r="E302" s="46"/>
      <c r="F302" s="47"/>
      <c r="G302" s="47"/>
      <c r="H302" s="48"/>
      <c r="I302" s="48"/>
    </row>
    <row r="303" spans="1:9" ht="21" customHeight="1" x14ac:dyDescent="0.2">
      <c r="A303" s="46"/>
      <c r="B303" s="46"/>
      <c r="C303" s="46"/>
      <c r="D303" s="46"/>
      <c r="E303" s="46"/>
      <c r="F303" s="47"/>
      <c r="G303" s="47"/>
      <c r="H303" s="48"/>
      <c r="I303" s="48"/>
    </row>
    <row r="304" spans="1:9" ht="21" customHeight="1" x14ac:dyDescent="0.2">
      <c r="A304" s="46"/>
      <c r="B304" s="46"/>
      <c r="C304" s="46"/>
      <c r="D304" s="46"/>
      <c r="E304" s="46"/>
      <c r="F304" s="47"/>
      <c r="G304" s="47"/>
      <c r="H304" s="48"/>
      <c r="I304" s="48"/>
    </row>
    <row r="305" spans="1:9" ht="21" customHeight="1" x14ac:dyDescent="0.2">
      <c r="A305" s="46"/>
      <c r="B305" s="46"/>
      <c r="C305" s="46"/>
      <c r="D305" s="46"/>
      <c r="E305" s="46"/>
      <c r="F305" s="47"/>
      <c r="G305" s="47"/>
      <c r="H305" s="48"/>
      <c r="I305" s="48"/>
    </row>
    <row r="306" spans="1:9" ht="21" customHeight="1" x14ac:dyDescent="0.2">
      <c r="A306" s="46"/>
      <c r="B306" s="46"/>
      <c r="C306" s="46"/>
      <c r="D306" s="46"/>
      <c r="E306" s="46"/>
      <c r="F306" s="47"/>
      <c r="G306" s="47"/>
      <c r="H306" s="48"/>
      <c r="I306" s="48"/>
    </row>
    <row r="307" spans="1:9" ht="21" customHeight="1" x14ac:dyDescent="0.2">
      <c r="A307" s="46"/>
      <c r="B307" s="46"/>
      <c r="C307" s="46"/>
      <c r="D307" s="46"/>
      <c r="E307" s="46"/>
      <c r="F307" s="47"/>
      <c r="G307" s="47"/>
      <c r="H307" s="48"/>
      <c r="I307" s="48"/>
    </row>
    <row r="308" spans="1:9" ht="21" customHeight="1" x14ac:dyDescent="0.2">
      <c r="A308" s="46"/>
      <c r="B308" s="46"/>
      <c r="C308" s="46"/>
      <c r="D308" s="46"/>
      <c r="E308" s="46"/>
      <c r="F308" s="47"/>
      <c r="G308" s="47"/>
      <c r="H308" s="48"/>
      <c r="I308" s="48"/>
    </row>
    <row r="309" spans="1:9" ht="21" customHeight="1" x14ac:dyDescent="0.2">
      <c r="A309" s="46"/>
      <c r="B309" s="46"/>
      <c r="C309" s="46"/>
      <c r="D309" s="46"/>
      <c r="E309" s="46"/>
      <c r="F309" s="47"/>
      <c r="G309" s="47"/>
      <c r="H309" s="48"/>
      <c r="I309" s="48"/>
    </row>
    <row r="310" spans="1:9" ht="21" customHeight="1" x14ac:dyDescent="0.2">
      <c r="A310" s="46"/>
      <c r="B310" s="46"/>
      <c r="C310" s="46"/>
      <c r="D310" s="46"/>
      <c r="E310" s="46"/>
      <c r="F310" s="47"/>
      <c r="G310" s="47"/>
      <c r="H310" s="48"/>
      <c r="I310" s="48"/>
    </row>
    <row r="311" spans="1:9" ht="21" customHeight="1" x14ac:dyDescent="0.2">
      <c r="A311" s="46"/>
      <c r="B311" s="46"/>
      <c r="C311" s="46"/>
      <c r="D311" s="46"/>
      <c r="E311" s="46"/>
      <c r="F311" s="47"/>
      <c r="G311" s="47"/>
      <c r="H311" s="48"/>
      <c r="I311" s="48"/>
    </row>
    <row r="312" spans="1:9" ht="21" customHeight="1" x14ac:dyDescent="0.2">
      <c r="A312" s="46"/>
      <c r="B312" s="46"/>
      <c r="C312" s="46"/>
      <c r="D312" s="46"/>
      <c r="E312" s="46"/>
      <c r="F312" s="47"/>
      <c r="G312" s="47"/>
      <c r="H312" s="48"/>
      <c r="I312" s="48"/>
    </row>
    <row r="313" spans="1:9" ht="21" customHeight="1" x14ac:dyDescent="0.2">
      <c r="A313" s="46"/>
      <c r="B313" s="46"/>
      <c r="C313" s="46"/>
      <c r="D313" s="46"/>
      <c r="E313" s="46"/>
      <c r="F313" s="47"/>
      <c r="G313" s="47"/>
      <c r="H313" s="48"/>
      <c r="I313" s="48"/>
    </row>
    <row r="314" spans="1:9" ht="21" customHeight="1" x14ac:dyDescent="0.2">
      <c r="A314" s="46"/>
      <c r="B314" s="46"/>
      <c r="C314" s="46"/>
      <c r="D314" s="46"/>
      <c r="E314" s="46"/>
      <c r="F314" s="47"/>
      <c r="G314" s="47"/>
      <c r="H314" s="48"/>
      <c r="I314" s="48"/>
    </row>
    <row r="315" spans="1:9" ht="21" customHeight="1" x14ac:dyDescent="0.2">
      <c r="A315" s="46"/>
      <c r="B315" s="46"/>
      <c r="C315" s="46"/>
      <c r="D315" s="46"/>
      <c r="E315" s="46"/>
      <c r="F315" s="47"/>
      <c r="G315" s="47"/>
      <c r="H315" s="48"/>
      <c r="I315" s="48"/>
    </row>
    <row r="316" spans="1:9" ht="21" customHeight="1" x14ac:dyDescent="0.2">
      <c r="A316" s="46"/>
      <c r="B316" s="46"/>
      <c r="C316" s="46"/>
      <c r="D316" s="46"/>
      <c r="E316" s="46"/>
      <c r="F316" s="47"/>
      <c r="G316" s="47"/>
      <c r="H316" s="48"/>
      <c r="I316" s="48"/>
    </row>
    <row r="317" spans="1:9" ht="21" customHeight="1" x14ac:dyDescent="0.2">
      <c r="A317" s="46"/>
      <c r="B317" s="46"/>
      <c r="C317" s="46"/>
      <c r="D317" s="46"/>
      <c r="E317" s="46"/>
      <c r="F317" s="47"/>
      <c r="G317" s="47"/>
      <c r="H317" s="48"/>
      <c r="I317" s="48"/>
    </row>
    <row r="318" spans="1:9" ht="21" customHeight="1" x14ac:dyDescent="0.2">
      <c r="A318" s="46"/>
      <c r="B318" s="46"/>
      <c r="C318" s="46"/>
      <c r="D318" s="46"/>
      <c r="E318" s="46"/>
      <c r="F318" s="47"/>
      <c r="G318" s="47"/>
      <c r="H318" s="48"/>
      <c r="I318" s="48"/>
    </row>
    <row r="319" spans="1:9" ht="21" customHeight="1" x14ac:dyDescent="0.2">
      <c r="A319" s="46"/>
      <c r="B319" s="46"/>
      <c r="C319" s="46"/>
      <c r="D319" s="46"/>
      <c r="E319" s="46"/>
      <c r="F319" s="47"/>
      <c r="G319" s="47"/>
      <c r="H319" s="48"/>
      <c r="I319" s="48"/>
    </row>
    <row r="320" spans="1:9" ht="21" customHeight="1" x14ac:dyDescent="0.2">
      <c r="A320" s="46"/>
      <c r="B320" s="46"/>
      <c r="C320" s="46"/>
      <c r="D320" s="46"/>
      <c r="E320" s="46"/>
      <c r="F320" s="47"/>
      <c r="G320" s="47"/>
      <c r="H320" s="48"/>
      <c r="I320" s="48"/>
    </row>
    <row r="321" spans="1:9" ht="21" customHeight="1" x14ac:dyDescent="0.2">
      <c r="A321" s="46"/>
      <c r="B321" s="46"/>
      <c r="C321" s="46"/>
      <c r="D321" s="46"/>
      <c r="E321" s="46"/>
      <c r="F321" s="47"/>
      <c r="G321" s="47"/>
      <c r="H321" s="48"/>
      <c r="I321" s="48"/>
    </row>
    <row r="322" spans="1:9" ht="21" customHeight="1" x14ac:dyDescent="0.2">
      <c r="A322" s="46"/>
      <c r="B322" s="46"/>
      <c r="C322" s="46"/>
      <c r="D322" s="46"/>
      <c r="E322" s="46"/>
      <c r="F322" s="47"/>
      <c r="G322" s="47"/>
      <c r="H322" s="48"/>
      <c r="I322" s="48"/>
    </row>
    <row r="323" spans="1:9" ht="21" customHeight="1" x14ac:dyDescent="0.2">
      <c r="A323" s="46"/>
      <c r="B323" s="46"/>
      <c r="C323" s="46"/>
      <c r="D323" s="46"/>
      <c r="E323" s="46"/>
      <c r="F323" s="47"/>
      <c r="G323" s="47"/>
      <c r="H323" s="48"/>
      <c r="I323" s="48"/>
    </row>
    <row r="324" spans="1:9" ht="21" customHeight="1" x14ac:dyDescent="0.2">
      <c r="A324" s="46"/>
      <c r="B324" s="46"/>
      <c r="C324" s="46"/>
      <c r="D324" s="46"/>
      <c r="E324" s="46"/>
      <c r="F324" s="47"/>
      <c r="G324" s="47"/>
      <c r="H324" s="48"/>
      <c r="I324" s="48"/>
    </row>
    <row r="325" spans="1:9" ht="21" customHeight="1" x14ac:dyDescent="0.2">
      <c r="A325" s="46"/>
      <c r="B325" s="46"/>
      <c r="C325" s="46"/>
      <c r="D325" s="46"/>
      <c r="E325" s="46"/>
      <c r="F325" s="47"/>
      <c r="G325" s="47"/>
      <c r="H325" s="48"/>
      <c r="I325" s="48"/>
    </row>
    <row r="326" spans="1:9" ht="21" customHeight="1" x14ac:dyDescent="0.2">
      <c r="A326" s="46"/>
      <c r="B326" s="46"/>
      <c r="C326" s="46"/>
      <c r="D326" s="46"/>
      <c r="E326" s="46"/>
      <c r="F326" s="47"/>
      <c r="G326" s="47"/>
      <c r="H326" s="48"/>
      <c r="I326" s="48"/>
    </row>
    <row r="327" spans="1:9" ht="21" customHeight="1" x14ac:dyDescent="0.2">
      <c r="A327" s="46"/>
      <c r="B327" s="46"/>
      <c r="C327" s="46"/>
      <c r="D327" s="46"/>
      <c r="E327" s="46"/>
      <c r="F327" s="47"/>
      <c r="G327" s="47"/>
      <c r="H327" s="48"/>
      <c r="I327" s="48"/>
    </row>
    <row r="328" spans="1:9" ht="21" customHeight="1" x14ac:dyDescent="0.2">
      <c r="A328" s="46"/>
      <c r="B328" s="46"/>
      <c r="C328" s="46"/>
      <c r="D328" s="46"/>
      <c r="E328" s="46"/>
      <c r="F328" s="47"/>
      <c r="G328" s="47"/>
      <c r="H328" s="48"/>
      <c r="I328" s="48"/>
    </row>
    <row r="329" spans="1:9" ht="21" customHeight="1" x14ac:dyDescent="0.2">
      <c r="A329" s="46"/>
      <c r="B329" s="46"/>
      <c r="C329" s="46"/>
      <c r="D329" s="46"/>
      <c r="E329" s="46"/>
      <c r="F329" s="47"/>
      <c r="G329" s="47"/>
      <c r="H329" s="48"/>
      <c r="I329" s="48"/>
    </row>
    <row r="330" spans="1:9" ht="21" customHeight="1" x14ac:dyDescent="0.2">
      <c r="A330" s="46"/>
      <c r="B330" s="46"/>
      <c r="C330" s="46"/>
      <c r="D330" s="46"/>
      <c r="E330" s="46"/>
      <c r="F330" s="47"/>
      <c r="G330" s="47"/>
      <c r="H330" s="48"/>
      <c r="I330" s="48"/>
    </row>
    <row r="331" spans="1:9" ht="21" customHeight="1" x14ac:dyDescent="0.2">
      <c r="A331" s="46"/>
      <c r="B331" s="46"/>
      <c r="C331" s="46"/>
      <c r="D331" s="46"/>
      <c r="E331" s="46"/>
      <c r="F331" s="47"/>
      <c r="G331" s="47"/>
      <c r="H331" s="48"/>
      <c r="I331" s="48"/>
    </row>
    <row r="332" spans="1:9" ht="21" customHeight="1" x14ac:dyDescent="0.2">
      <c r="A332" s="46"/>
      <c r="B332" s="46"/>
      <c r="C332" s="46"/>
      <c r="D332" s="46"/>
      <c r="E332" s="46"/>
      <c r="F332" s="47"/>
      <c r="G332" s="47"/>
      <c r="H332" s="48"/>
      <c r="I332" s="48"/>
    </row>
    <row r="333" spans="1:9" ht="21" customHeight="1" x14ac:dyDescent="0.2">
      <c r="A333" s="46"/>
      <c r="B333" s="46"/>
      <c r="C333" s="46"/>
      <c r="D333" s="46"/>
      <c r="E333" s="46"/>
      <c r="F333" s="47"/>
      <c r="G333" s="47"/>
      <c r="H333" s="48"/>
      <c r="I333" s="48"/>
    </row>
    <row r="334" spans="1:9" ht="21" customHeight="1" x14ac:dyDescent="0.2">
      <c r="A334" s="46"/>
      <c r="B334" s="46"/>
      <c r="C334" s="46"/>
      <c r="D334" s="46"/>
      <c r="E334" s="46"/>
      <c r="F334" s="47"/>
      <c r="G334" s="47"/>
      <c r="H334" s="48"/>
      <c r="I334" s="48"/>
    </row>
    <row r="335" spans="1:9" ht="21" customHeight="1" x14ac:dyDescent="0.2">
      <c r="A335" s="46"/>
      <c r="B335" s="46"/>
      <c r="C335" s="46"/>
      <c r="D335" s="46"/>
      <c r="E335" s="46"/>
      <c r="F335" s="47"/>
      <c r="G335" s="47"/>
      <c r="H335" s="48"/>
      <c r="I335" s="48"/>
    </row>
    <row r="336" spans="1:9" ht="21" customHeight="1" x14ac:dyDescent="0.2">
      <c r="A336" s="46"/>
      <c r="B336" s="46"/>
      <c r="C336" s="46"/>
      <c r="D336" s="46"/>
      <c r="E336" s="46"/>
      <c r="F336" s="47"/>
      <c r="G336" s="47"/>
      <c r="H336" s="48"/>
      <c r="I336" s="48"/>
    </row>
    <row r="337" spans="1:9" ht="21" customHeight="1" x14ac:dyDescent="0.2">
      <c r="A337" s="46"/>
      <c r="B337" s="46"/>
      <c r="C337" s="46"/>
      <c r="D337" s="46"/>
      <c r="E337" s="46"/>
      <c r="F337" s="47"/>
      <c r="G337" s="47"/>
      <c r="H337" s="48"/>
      <c r="I337" s="48"/>
    </row>
    <row r="338" spans="1:9" ht="21" customHeight="1" x14ac:dyDescent="0.2">
      <c r="A338" s="46"/>
      <c r="B338" s="46"/>
      <c r="C338" s="46"/>
      <c r="D338" s="46"/>
      <c r="E338" s="46"/>
      <c r="F338" s="47"/>
      <c r="G338" s="47"/>
      <c r="H338" s="48"/>
      <c r="I338" s="48"/>
    </row>
    <row r="339" spans="1:9" ht="21" customHeight="1" x14ac:dyDescent="0.2">
      <c r="A339" s="46"/>
      <c r="B339" s="46"/>
      <c r="C339" s="46"/>
      <c r="D339" s="46"/>
      <c r="E339" s="46"/>
      <c r="F339" s="47"/>
      <c r="G339" s="47"/>
      <c r="H339" s="48"/>
      <c r="I339" s="48"/>
    </row>
    <row r="340" spans="1:9" ht="21" customHeight="1" x14ac:dyDescent="0.2">
      <c r="A340" s="46"/>
      <c r="B340" s="46"/>
      <c r="C340" s="46"/>
      <c r="D340" s="46"/>
      <c r="E340" s="46"/>
      <c r="F340" s="47"/>
      <c r="G340" s="47"/>
      <c r="H340" s="48"/>
      <c r="I340" s="48"/>
    </row>
    <row r="341" spans="1:9" ht="21" customHeight="1" x14ac:dyDescent="0.2">
      <c r="A341" s="46"/>
      <c r="B341" s="46"/>
      <c r="C341" s="46"/>
      <c r="D341" s="46"/>
      <c r="E341" s="46"/>
      <c r="F341" s="47"/>
      <c r="G341" s="47"/>
      <c r="H341" s="48"/>
      <c r="I341" s="48"/>
    </row>
    <row r="342" spans="1:9" ht="21" customHeight="1" x14ac:dyDescent="0.2">
      <c r="A342" s="46"/>
      <c r="B342" s="46"/>
      <c r="C342" s="46"/>
      <c r="D342" s="46"/>
      <c r="E342" s="46"/>
      <c r="F342" s="47"/>
      <c r="G342" s="47"/>
      <c r="H342" s="48"/>
      <c r="I342" s="48"/>
    </row>
    <row r="343" spans="1:9" ht="21" customHeight="1" x14ac:dyDescent="0.2">
      <c r="A343" s="46"/>
      <c r="B343" s="46"/>
      <c r="C343" s="46"/>
      <c r="D343" s="46"/>
      <c r="E343" s="46"/>
      <c r="F343" s="47"/>
      <c r="G343" s="47"/>
      <c r="H343" s="48"/>
      <c r="I343" s="48"/>
    </row>
    <row r="344" spans="1:9" ht="21" customHeight="1" x14ac:dyDescent="0.2">
      <c r="A344" s="46"/>
      <c r="B344" s="46"/>
      <c r="C344" s="46"/>
      <c r="D344" s="46"/>
      <c r="E344" s="46"/>
      <c r="F344" s="47"/>
      <c r="G344" s="47"/>
      <c r="H344" s="48"/>
      <c r="I344" s="48"/>
    </row>
    <row r="345" spans="1:9" ht="21" customHeight="1" x14ac:dyDescent="0.2">
      <c r="A345" s="46"/>
      <c r="B345" s="46"/>
      <c r="C345" s="46"/>
      <c r="D345" s="46"/>
      <c r="E345" s="46"/>
      <c r="F345" s="47"/>
      <c r="G345" s="47"/>
      <c r="H345" s="48"/>
      <c r="I345" s="48"/>
    </row>
    <row r="346" spans="1:9" ht="21" customHeight="1" x14ac:dyDescent="0.2">
      <c r="A346" s="46"/>
      <c r="B346" s="46"/>
      <c r="C346" s="46"/>
      <c r="D346" s="46"/>
      <c r="E346" s="46"/>
      <c r="F346" s="47"/>
      <c r="G346" s="47"/>
      <c r="H346" s="48"/>
      <c r="I346" s="48"/>
    </row>
    <row r="347" spans="1:9" ht="21" customHeight="1" x14ac:dyDescent="0.2">
      <c r="A347" s="46"/>
      <c r="B347" s="46"/>
      <c r="C347" s="46"/>
      <c r="D347" s="46"/>
      <c r="E347" s="46"/>
      <c r="F347" s="47"/>
      <c r="G347" s="47"/>
      <c r="H347" s="48"/>
      <c r="I347" s="48"/>
    </row>
    <row r="348" spans="1:9" ht="21" customHeight="1" x14ac:dyDescent="0.2">
      <c r="A348" s="46"/>
      <c r="B348" s="46"/>
      <c r="C348" s="46"/>
      <c r="D348" s="46"/>
      <c r="E348" s="46"/>
      <c r="F348" s="47"/>
      <c r="G348" s="47"/>
      <c r="H348" s="48"/>
      <c r="I348" s="48"/>
    </row>
    <row r="349" spans="1:9" ht="21" customHeight="1" x14ac:dyDescent="0.2">
      <c r="A349" s="46"/>
      <c r="B349" s="46"/>
      <c r="C349" s="46"/>
      <c r="D349" s="46"/>
      <c r="E349" s="46"/>
      <c r="F349" s="47"/>
      <c r="G349" s="47"/>
      <c r="H349" s="48"/>
      <c r="I349" s="48"/>
    </row>
    <row r="350" spans="1:9" ht="21" customHeight="1" x14ac:dyDescent="0.2">
      <c r="A350" s="46"/>
      <c r="B350" s="46"/>
      <c r="C350" s="46"/>
      <c r="D350" s="46"/>
      <c r="E350" s="46"/>
      <c r="F350" s="47"/>
      <c r="G350" s="47"/>
      <c r="H350" s="48"/>
      <c r="I350" s="48"/>
    </row>
    <row r="351" spans="1:9" ht="21" customHeight="1" x14ac:dyDescent="0.2">
      <c r="A351" s="46"/>
      <c r="B351" s="46"/>
      <c r="C351" s="46"/>
      <c r="D351" s="46"/>
      <c r="E351" s="46"/>
      <c r="F351" s="47"/>
      <c r="G351" s="47"/>
      <c r="H351" s="48"/>
      <c r="I351" s="48"/>
    </row>
    <row r="352" spans="1:9" ht="21" customHeight="1" x14ac:dyDescent="0.2">
      <c r="A352" s="46"/>
      <c r="B352" s="46"/>
      <c r="C352" s="46"/>
      <c r="D352" s="46"/>
      <c r="E352" s="46"/>
      <c r="F352" s="47"/>
      <c r="G352" s="47"/>
      <c r="H352" s="48"/>
      <c r="I352" s="48"/>
    </row>
    <row r="353" spans="1:9" ht="21" customHeight="1" x14ac:dyDescent="0.2">
      <c r="A353" s="46"/>
      <c r="B353" s="46"/>
      <c r="C353" s="46"/>
      <c r="D353" s="46"/>
      <c r="E353" s="46"/>
      <c r="F353" s="47"/>
      <c r="G353" s="47"/>
      <c r="H353" s="48"/>
      <c r="I353" s="48"/>
    </row>
    <row r="354" spans="1:9" ht="21" customHeight="1" x14ac:dyDescent="0.2">
      <c r="A354" s="46"/>
      <c r="B354" s="46"/>
      <c r="C354" s="46"/>
      <c r="D354" s="46"/>
      <c r="E354" s="46"/>
      <c r="F354" s="47"/>
      <c r="G354" s="47"/>
      <c r="H354" s="48"/>
      <c r="I354" s="48"/>
    </row>
    <row r="355" spans="1:9" ht="21" customHeight="1" x14ac:dyDescent="0.2">
      <c r="A355" s="46"/>
      <c r="B355" s="46"/>
      <c r="C355" s="46"/>
      <c r="D355" s="46"/>
      <c r="E355" s="46"/>
      <c r="F355" s="47"/>
      <c r="G355" s="47"/>
      <c r="H355" s="48"/>
      <c r="I355" s="48"/>
    </row>
    <row r="356" spans="1:9" ht="21" customHeight="1" x14ac:dyDescent="0.2">
      <c r="A356" s="46"/>
      <c r="B356" s="46"/>
      <c r="C356" s="46"/>
      <c r="D356" s="46"/>
      <c r="E356" s="46"/>
      <c r="F356" s="47"/>
      <c r="G356" s="47"/>
      <c r="H356" s="48"/>
      <c r="I356" s="48"/>
    </row>
    <row r="357" spans="1:9" ht="21" customHeight="1" x14ac:dyDescent="0.2">
      <c r="A357" s="46"/>
      <c r="B357" s="46"/>
      <c r="C357" s="46"/>
      <c r="D357" s="46"/>
      <c r="E357" s="46"/>
      <c r="F357" s="47"/>
      <c r="G357" s="47"/>
      <c r="H357" s="48"/>
      <c r="I357" s="48"/>
    </row>
    <row r="358" spans="1:9" ht="21" customHeight="1" x14ac:dyDescent="0.2">
      <c r="A358" s="46"/>
      <c r="B358" s="46"/>
      <c r="C358" s="46"/>
      <c r="D358" s="46"/>
      <c r="E358" s="46"/>
      <c r="F358" s="47"/>
      <c r="G358" s="47"/>
      <c r="H358" s="48"/>
      <c r="I358" s="48"/>
    </row>
    <row r="359" spans="1:9" ht="21" customHeight="1" x14ac:dyDescent="0.2">
      <c r="A359" s="46"/>
      <c r="B359" s="46"/>
      <c r="C359" s="46"/>
      <c r="D359" s="46"/>
      <c r="E359" s="46"/>
      <c r="F359" s="47"/>
      <c r="G359" s="47"/>
      <c r="H359" s="48"/>
      <c r="I359" s="48"/>
    </row>
    <row r="360" spans="1:9" ht="21" customHeight="1" x14ac:dyDescent="0.2">
      <c r="A360" s="46"/>
      <c r="B360" s="46"/>
      <c r="C360" s="46"/>
      <c r="D360" s="46"/>
      <c r="E360" s="46"/>
      <c r="F360" s="47"/>
      <c r="G360" s="47"/>
      <c r="H360" s="48"/>
      <c r="I360" s="48"/>
    </row>
    <row r="361" spans="1:9" ht="21" customHeight="1" x14ac:dyDescent="0.2">
      <c r="A361" s="46"/>
      <c r="B361" s="46"/>
      <c r="C361" s="46"/>
      <c r="D361" s="46"/>
      <c r="E361" s="46"/>
      <c r="F361" s="47"/>
      <c r="G361" s="47"/>
      <c r="H361" s="48"/>
      <c r="I361" s="48"/>
    </row>
    <row r="362" spans="1:9" ht="21" customHeight="1" x14ac:dyDescent="0.2">
      <c r="A362" s="46"/>
      <c r="B362" s="46"/>
      <c r="C362" s="46"/>
      <c r="D362" s="46"/>
      <c r="E362" s="46"/>
      <c r="F362" s="47"/>
      <c r="G362" s="47"/>
      <c r="H362" s="48"/>
      <c r="I362" s="48"/>
    </row>
    <row r="363" spans="1:9" ht="21" customHeight="1" x14ac:dyDescent="0.2">
      <c r="A363" s="46"/>
      <c r="B363" s="46"/>
      <c r="C363" s="46"/>
      <c r="D363" s="46"/>
      <c r="E363" s="46"/>
      <c r="F363" s="47"/>
      <c r="G363" s="47"/>
      <c r="H363" s="48"/>
      <c r="I363" s="48"/>
    </row>
    <row r="364" spans="1:9" ht="21" customHeight="1" x14ac:dyDescent="0.2">
      <c r="A364" s="46"/>
      <c r="B364" s="46"/>
      <c r="C364" s="46"/>
      <c r="D364" s="46"/>
      <c r="E364" s="46"/>
      <c r="F364" s="47"/>
      <c r="G364" s="47"/>
      <c r="H364" s="48"/>
      <c r="I364" s="48"/>
    </row>
    <row r="365" spans="1:9" ht="21" customHeight="1" x14ac:dyDescent="0.2">
      <c r="A365" s="46"/>
      <c r="B365" s="46"/>
      <c r="C365" s="46"/>
      <c r="D365" s="46"/>
      <c r="E365" s="46"/>
      <c r="F365" s="47"/>
      <c r="G365" s="47"/>
      <c r="H365" s="48"/>
      <c r="I365" s="48"/>
    </row>
    <row r="366" spans="1:9" ht="21" customHeight="1" x14ac:dyDescent="0.2">
      <c r="A366" s="46"/>
      <c r="B366" s="46"/>
      <c r="C366" s="46"/>
      <c r="D366" s="46"/>
      <c r="E366" s="46"/>
      <c r="F366" s="47"/>
      <c r="G366" s="47"/>
      <c r="H366" s="48"/>
      <c r="I366" s="48"/>
    </row>
    <row r="367" spans="1:9" ht="21" customHeight="1" x14ac:dyDescent="0.2">
      <c r="A367" s="46"/>
      <c r="B367" s="46"/>
      <c r="C367" s="46"/>
      <c r="D367" s="46"/>
      <c r="E367" s="46"/>
      <c r="F367" s="47"/>
      <c r="G367" s="47"/>
      <c r="H367" s="48"/>
      <c r="I367" s="48"/>
    </row>
    <row r="368" spans="1:9" ht="21" customHeight="1" x14ac:dyDescent="0.2">
      <c r="A368" s="46"/>
      <c r="B368" s="46"/>
      <c r="C368" s="46"/>
      <c r="D368" s="46"/>
      <c r="E368" s="46"/>
      <c r="F368" s="47"/>
      <c r="G368" s="47"/>
      <c r="H368" s="48"/>
      <c r="I368" s="48"/>
    </row>
    <row r="369" spans="1:9" ht="21" customHeight="1" x14ac:dyDescent="0.2">
      <c r="A369" s="46"/>
      <c r="B369" s="46"/>
      <c r="C369" s="46"/>
      <c r="D369" s="46"/>
      <c r="E369" s="46"/>
      <c r="F369" s="47"/>
      <c r="G369" s="47"/>
      <c r="H369" s="48"/>
      <c r="I369" s="48"/>
    </row>
    <row r="370" spans="1:9" ht="21" customHeight="1" x14ac:dyDescent="0.2">
      <c r="A370" s="46"/>
      <c r="B370" s="46"/>
      <c r="C370" s="46"/>
      <c r="D370" s="46"/>
      <c r="E370" s="46"/>
      <c r="F370" s="47"/>
      <c r="G370" s="47"/>
      <c r="H370" s="48"/>
      <c r="I370" s="48"/>
    </row>
    <row r="371" spans="1:9" ht="21" customHeight="1" x14ac:dyDescent="0.2">
      <c r="A371" s="46"/>
      <c r="B371" s="46"/>
      <c r="C371" s="46"/>
      <c r="D371" s="46"/>
      <c r="E371" s="46"/>
      <c r="F371" s="47"/>
      <c r="G371" s="47"/>
      <c r="H371" s="48"/>
      <c r="I371" s="48"/>
    </row>
    <row r="372" spans="1:9" ht="21" customHeight="1" x14ac:dyDescent="0.2">
      <c r="A372" s="46"/>
      <c r="B372" s="46"/>
      <c r="C372" s="46"/>
      <c r="D372" s="46"/>
      <c r="E372" s="46"/>
      <c r="F372" s="47"/>
      <c r="G372" s="47"/>
      <c r="H372" s="48"/>
      <c r="I372" s="48"/>
    </row>
    <row r="373" spans="1:9" ht="21" customHeight="1" x14ac:dyDescent="0.2">
      <c r="A373" s="46"/>
      <c r="B373" s="46"/>
      <c r="C373" s="46"/>
      <c r="D373" s="46"/>
      <c r="E373" s="46"/>
      <c r="F373" s="47"/>
      <c r="G373" s="47"/>
      <c r="H373" s="48"/>
      <c r="I373" s="48"/>
    </row>
    <row r="374" spans="1:9" ht="21" customHeight="1" x14ac:dyDescent="0.2">
      <c r="A374" s="46"/>
      <c r="B374" s="46"/>
      <c r="C374" s="46"/>
      <c r="D374" s="46"/>
      <c r="E374" s="46"/>
      <c r="F374" s="47"/>
      <c r="G374" s="47"/>
      <c r="H374" s="48"/>
      <c r="I374" s="48"/>
    </row>
    <row r="375" spans="1:9" ht="21" customHeight="1" x14ac:dyDescent="0.2">
      <c r="A375" s="46"/>
      <c r="B375" s="46"/>
      <c r="C375" s="46"/>
      <c r="D375" s="46"/>
      <c r="E375" s="46"/>
      <c r="F375" s="47"/>
      <c r="G375" s="47"/>
      <c r="H375" s="48"/>
      <c r="I375" s="48"/>
    </row>
    <row r="376" spans="1:9" ht="21" customHeight="1" x14ac:dyDescent="0.2">
      <c r="A376" s="46"/>
      <c r="B376" s="46"/>
      <c r="C376" s="46"/>
      <c r="D376" s="46"/>
      <c r="E376" s="46"/>
      <c r="F376" s="47"/>
      <c r="G376" s="47"/>
      <c r="H376" s="48"/>
      <c r="I376" s="48"/>
    </row>
    <row r="377" spans="1:9" ht="21" customHeight="1" x14ac:dyDescent="0.2">
      <c r="A377" s="46"/>
      <c r="B377" s="46"/>
      <c r="C377" s="46"/>
      <c r="D377" s="46"/>
      <c r="E377" s="46"/>
      <c r="F377" s="47"/>
      <c r="G377" s="47"/>
      <c r="H377" s="48"/>
      <c r="I377" s="48"/>
    </row>
    <row r="378" spans="1:9" ht="21" customHeight="1" x14ac:dyDescent="0.2">
      <c r="A378" s="46"/>
      <c r="B378" s="46"/>
      <c r="C378" s="46"/>
      <c r="D378" s="46"/>
      <c r="E378" s="46"/>
      <c r="F378" s="47"/>
      <c r="G378" s="47"/>
      <c r="H378" s="48"/>
      <c r="I378" s="48"/>
    </row>
    <row r="379" spans="1:9" ht="21" customHeight="1" x14ac:dyDescent="0.2">
      <c r="A379" s="46"/>
      <c r="B379" s="46"/>
      <c r="C379" s="46"/>
      <c r="D379" s="46"/>
      <c r="E379" s="46"/>
      <c r="F379" s="47"/>
      <c r="G379" s="47"/>
      <c r="H379" s="48"/>
      <c r="I379" s="48"/>
    </row>
    <row r="380" spans="1:9" ht="21" customHeight="1" x14ac:dyDescent="0.2">
      <c r="A380" s="46"/>
      <c r="B380" s="46"/>
      <c r="C380" s="46"/>
      <c r="D380" s="46"/>
      <c r="E380" s="46"/>
      <c r="F380" s="47"/>
      <c r="G380" s="47"/>
      <c r="H380" s="48"/>
      <c r="I380" s="48"/>
    </row>
    <row r="381" spans="1:9" ht="21" customHeight="1" x14ac:dyDescent="0.2">
      <c r="A381" s="46"/>
      <c r="B381" s="46"/>
      <c r="C381" s="46"/>
      <c r="D381" s="46"/>
      <c r="E381" s="46"/>
      <c r="F381" s="47"/>
      <c r="G381" s="47"/>
      <c r="H381" s="48"/>
      <c r="I381" s="48"/>
    </row>
    <row r="382" spans="1:9" ht="21" customHeight="1" x14ac:dyDescent="0.2">
      <c r="A382" s="46"/>
      <c r="B382" s="46"/>
      <c r="C382" s="46"/>
      <c r="D382" s="46"/>
      <c r="E382" s="46"/>
      <c r="F382" s="47"/>
      <c r="G382" s="47"/>
      <c r="H382" s="48"/>
      <c r="I382" s="48"/>
    </row>
    <row r="383" spans="1:9" ht="21" customHeight="1" x14ac:dyDescent="0.2">
      <c r="A383" s="46"/>
      <c r="B383" s="46"/>
      <c r="C383" s="46"/>
      <c r="D383" s="46"/>
      <c r="E383" s="46"/>
      <c r="F383" s="47"/>
      <c r="G383" s="47"/>
      <c r="H383" s="48"/>
      <c r="I383" s="48"/>
    </row>
    <row r="384" spans="1:9" ht="21" customHeight="1" x14ac:dyDescent="0.2">
      <c r="A384" s="46"/>
      <c r="B384" s="46"/>
      <c r="C384" s="46"/>
      <c r="D384" s="46"/>
      <c r="E384" s="46"/>
      <c r="F384" s="47"/>
      <c r="G384" s="47"/>
      <c r="H384" s="48"/>
      <c r="I384" s="48"/>
    </row>
    <row r="385" spans="1:9" ht="21" customHeight="1" x14ac:dyDescent="0.2">
      <c r="A385" s="46"/>
      <c r="B385" s="46"/>
      <c r="C385" s="46"/>
      <c r="D385" s="46"/>
      <c r="E385" s="46"/>
      <c r="F385" s="47"/>
      <c r="G385" s="47"/>
      <c r="H385" s="48"/>
      <c r="I385" s="48"/>
    </row>
    <row r="386" spans="1:9" ht="21" customHeight="1" x14ac:dyDescent="0.2">
      <c r="A386" s="46"/>
      <c r="B386" s="46"/>
      <c r="C386" s="46"/>
      <c r="D386" s="46"/>
      <c r="E386" s="46"/>
      <c r="F386" s="47"/>
      <c r="G386" s="47"/>
      <c r="H386" s="48"/>
      <c r="I386" s="48"/>
    </row>
    <row r="387" spans="1:9" ht="21" customHeight="1" x14ac:dyDescent="0.2">
      <c r="A387" s="46"/>
      <c r="B387" s="46"/>
      <c r="C387" s="46"/>
      <c r="D387" s="46"/>
      <c r="E387" s="46"/>
      <c r="F387" s="47"/>
      <c r="G387" s="47"/>
      <c r="H387" s="48"/>
      <c r="I387" s="48"/>
    </row>
    <row r="388" spans="1:9" ht="21" customHeight="1" x14ac:dyDescent="0.2">
      <c r="A388" s="46"/>
      <c r="B388" s="46"/>
      <c r="C388" s="46"/>
      <c r="D388" s="46"/>
      <c r="E388" s="46"/>
      <c r="F388" s="47"/>
      <c r="G388" s="47"/>
      <c r="H388" s="48"/>
      <c r="I388" s="48"/>
    </row>
    <row r="389" spans="1:9" ht="21" customHeight="1" x14ac:dyDescent="0.2">
      <c r="A389" s="46"/>
      <c r="B389" s="46"/>
      <c r="C389" s="46"/>
      <c r="D389" s="46"/>
      <c r="E389" s="46"/>
      <c r="F389" s="47"/>
      <c r="G389" s="47"/>
      <c r="H389" s="48"/>
      <c r="I389" s="48"/>
    </row>
    <row r="390" spans="1:9" ht="21" customHeight="1" x14ac:dyDescent="0.2">
      <c r="A390" s="46"/>
      <c r="B390" s="46"/>
      <c r="C390" s="46"/>
      <c r="D390" s="46"/>
      <c r="E390" s="46"/>
      <c r="F390" s="47"/>
      <c r="G390" s="47"/>
      <c r="H390" s="48"/>
      <c r="I390" s="48"/>
    </row>
    <row r="391" spans="1:9" ht="21" customHeight="1" x14ac:dyDescent="0.2">
      <c r="A391" s="46"/>
      <c r="B391" s="46"/>
      <c r="C391" s="46"/>
      <c r="D391" s="46"/>
      <c r="E391" s="46"/>
      <c r="F391" s="47"/>
      <c r="G391" s="47"/>
      <c r="H391" s="48"/>
      <c r="I391" s="48"/>
    </row>
    <row r="392" spans="1:9" ht="21" customHeight="1" x14ac:dyDescent="0.2">
      <c r="A392" s="46"/>
      <c r="B392" s="46"/>
      <c r="C392" s="46"/>
      <c r="D392" s="46"/>
      <c r="E392" s="46"/>
      <c r="F392" s="47"/>
      <c r="G392" s="47"/>
      <c r="H392" s="48"/>
      <c r="I392" s="48"/>
    </row>
    <row r="393" spans="1:9" ht="21" customHeight="1" x14ac:dyDescent="0.2">
      <c r="A393" s="46"/>
      <c r="B393" s="46"/>
      <c r="C393" s="46"/>
      <c r="D393" s="46"/>
      <c r="E393" s="46"/>
      <c r="F393" s="47"/>
      <c r="G393" s="47"/>
      <c r="H393" s="48"/>
      <c r="I393" s="48"/>
    </row>
    <row r="394" spans="1:9" ht="21" customHeight="1" x14ac:dyDescent="0.2">
      <c r="A394" s="46"/>
      <c r="B394" s="46"/>
      <c r="C394" s="46"/>
      <c r="D394" s="46"/>
      <c r="E394" s="46"/>
      <c r="F394" s="47"/>
      <c r="G394" s="47"/>
      <c r="H394" s="48"/>
      <c r="I394" s="48"/>
    </row>
    <row r="395" spans="1:9" ht="21" customHeight="1" x14ac:dyDescent="0.2">
      <c r="A395" s="46"/>
      <c r="B395" s="46"/>
      <c r="C395" s="46"/>
      <c r="D395" s="46"/>
      <c r="E395" s="46"/>
      <c r="F395" s="47"/>
      <c r="G395" s="47"/>
      <c r="H395" s="48"/>
      <c r="I395" s="48"/>
    </row>
    <row r="396" spans="1:9" ht="21" customHeight="1" x14ac:dyDescent="0.2">
      <c r="A396" s="46"/>
      <c r="B396" s="46"/>
      <c r="C396" s="46"/>
      <c r="D396" s="46"/>
      <c r="E396" s="46"/>
      <c r="F396" s="47"/>
      <c r="G396" s="47"/>
      <c r="H396" s="48"/>
      <c r="I396" s="48"/>
    </row>
    <row r="397" spans="1:9" ht="21" customHeight="1" x14ac:dyDescent="0.2">
      <c r="A397" s="46"/>
      <c r="B397" s="46"/>
      <c r="C397" s="46"/>
      <c r="D397" s="46"/>
      <c r="E397" s="46"/>
      <c r="F397" s="47"/>
      <c r="G397" s="47"/>
      <c r="H397" s="48"/>
      <c r="I397" s="48"/>
    </row>
    <row r="398" spans="1:9" ht="21" customHeight="1" x14ac:dyDescent="0.2">
      <c r="A398" s="46"/>
      <c r="B398" s="46"/>
      <c r="C398" s="46"/>
      <c r="D398" s="46"/>
      <c r="E398" s="46"/>
      <c r="F398" s="47"/>
      <c r="G398" s="47"/>
      <c r="H398" s="48"/>
      <c r="I398" s="48"/>
    </row>
    <row r="399" spans="1:9" ht="21" customHeight="1" x14ac:dyDescent="0.2">
      <c r="A399" s="46"/>
      <c r="B399" s="46"/>
      <c r="C399" s="46"/>
      <c r="D399" s="46"/>
      <c r="E399" s="46"/>
      <c r="F399" s="47"/>
      <c r="G399" s="47"/>
      <c r="H399" s="48"/>
      <c r="I399" s="48"/>
    </row>
    <row r="400" spans="1:9" ht="21" customHeight="1" x14ac:dyDescent="0.2">
      <c r="A400" s="46"/>
      <c r="B400" s="46"/>
      <c r="C400" s="46"/>
      <c r="D400" s="46"/>
      <c r="E400" s="46"/>
      <c r="F400" s="47"/>
      <c r="G400" s="47"/>
      <c r="H400" s="48"/>
      <c r="I400" s="48"/>
    </row>
    <row r="401" spans="1:9" ht="21" customHeight="1" x14ac:dyDescent="0.2">
      <c r="A401" s="46"/>
      <c r="B401" s="46"/>
      <c r="C401" s="46"/>
      <c r="D401" s="46"/>
      <c r="E401" s="46"/>
      <c r="F401" s="47"/>
      <c r="G401" s="47"/>
      <c r="H401" s="48"/>
      <c r="I401" s="48"/>
    </row>
    <row r="402" spans="1:9" ht="21" customHeight="1" x14ac:dyDescent="0.2">
      <c r="A402" s="46"/>
      <c r="B402" s="46"/>
      <c r="C402" s="46"/>
      <c r="D402" s="46"/>
      <c r="E402" s="46"/>
      <c r="F402" s="47"/>
      <c r="G402" s="47"/>
      <c r="H402" s="48"/>
      <c r="I402" s="48"/>
    </row>
    <row r="403" spans="1:9" ht="21" customHeight="1" x14ac:dyDescent="0.2">
      <c r="A403" s="46"/>
      <c r="B403" s="46"/>
      <c r="C403" s="46"/>
      <c r="D403" s="46"/>
      <c r="E403" s="46"/>
      <c r="F403" s="47"/>
      <c r="G403" s="47"/>
      <c r="H403" s="48"/>
      <c r="I403" s="48"/>
    </row>
    <row r="404" spans="1:9" ht="21" customHeight="1" x14ac:dyDescent="0.2">
      <c r="A404" s="46"/>
      <c r="B404" s="46"/>
      <c r="C404" s="46"/>
      <c r="D404" s="46"/>
      <c r="E404" s="46"/>
      <c r="F404" s="47"/>
      <c r="G404" s="47"/>
      <c r="H404" s="48"/>
      <c r="I404" s="48"/>
    </row>
    <row r="405" spans="1:9" ht="21" customHeight="1" x14ac:dyDescent="0.2">
      <c r="A405" s="46"/>
      <c r="B405" s="46"/>
      <c r="C405" s="46"/>
      <c r="D405" s="46"/>
      <c r="E405" s="46"/>
      <c r="F405" s="47"/>
      <c r="G405" s="47"/>
      <c r="H405" s="48"/>
      <c r="I405" s="48"/>
    </row>
    <row r="406" spans="1:9" ht="21" customHeight="1" x14ac:dyDescent="0.2">
      <c r="A406" s="46"/>
      <c r="B406" s="46"/>
      <c r="C406" s="46"/>
      <c r="D406" s="46"/>
      <c r="E406" s="46"/>
      <c r="F406" s="47"/>
      <c r="G406" s="47"/>
      <c r="H406" s="48"/>
      <c r="I406" s="48"/>
    </row>
    <row r="407" spans="1:9" ht="21" customHeight="1" x14ac:dyDescent="0.2">
      <c r="A407" s="46"/>
      <c r="B407" s="46"/>
      <c r="C407" s="46"/>
      <c r="D407" s="46"/>
      <c r="E407" s="46"/>
      <c r="F407" s="47"/>
      <c r="G407" s="47"/>
      <c r="H407" s="48"/>
      <c r="I407" s="48"/>
    </row>
    <row r="408" spans="1:9" ht="21" customHeight="1" x14ac:dyDescent="0.2">
      <c r="A408" s="46"/>
      <c r="B408" s="46"/>
      <c r="C408" s="46"/>
      <c r="D408" s="46"/>
      <c r="E408" s="46"/>
      <c r="F408" s="47"/>
      <c r="G408" s="47"/>
      <c r="H408" s="48"/>
      <c r="I408" s="48"/>
    </row>
    <row r="409" spans="1:9" ht="21" customHeight="1" x14ac:dyDescent="0.2">
      <c r="A409" s="46"/>
      <c r="B409" s="46"/>
      <c r="C409" s="46"/>
      <c r="D409" s="46"/>
      <c r="E409" s="46"/>
      <c r="F409" s="47"/>
      <c r="G409" s="47"/>
      <c r="H409" s="48"/>
      <c r="I409" s="48"/>
    </row>
    <row r="410" spans="1:9" ht="21" customHeight="1" x14ac:dyDescent="0.2">
      <c r="A410" s="46"/>
      <c r="B410" s="46"/>
      <c r="C410" s="46"/>
      <c r="D410" s="46"/>
      <c r="E410" s="46"/>
      <c r="F410" s="47"/>
      <c r="G410" s="47"/>
      <c r="H410" s="48"/>
      <c r="I410" s="48"/>
    </row>
    <row r="411" spans="1:9" ht="21" customHeight="1" x14ac:dyDescent="0.2">
      <c r="A411" s="46"/>
      <c r="B411" s="46"/>
      <c r="C411" s="46"/>
      <c r="D411" s="46"/>
      <c r="E411" s="46"/>
      <c r="F411" s="47"/>
      <c r="G411" s="47"/>
      <c r="H411" s="48"/>
      <c r="I411" s="48"/>
    </row>
    <row r="412" spans="1:9" ht="21" customHeight="1" x14ac:dyDescent="0.2">
      <c r="A412" s="46"/>
      <c r="B412" s="46"/>
      <c r="C412" s="46"/>
      <c r="D412" s="46"/>
      <c r="E412" s="46"/>
      <c r="F412" s="47"/>
      <c r="G412" s="47"/>
      <c r="H412" s="48"/>
      <c r="I412" s="48"/>
    </row>
    <row r="413" spans="1:9" ht="21" customHeight="1" x14ac:dyDescent="0.2">
      <c r="A413" s="46"/>
      <c r="B413" s="46"/>
      <c r="C413" s="46"/>
      <c r="D413" s="46"/>
      <c r="E413" s="46"/>
      <c r="F413" s="47"/>
      <c r="G413" s="47"/>
      <c r="H413" s="48"/>
      <c r="I413" s="48"/>
    </row>
    <row r="414" spans="1:9" ht="21" customHeight="1" x14ac:dyDescent="0.2">
      <c r="A414" s="46"/>
      <c r="B414" s="46"/>
      <c r="C414" s="46"/>
      <c r="D414" s="46"/>
      <c r="E414" s="46"/>
      <c r="F414" s="47"/>
      <c r="G414" s="47"/>
      <c r="H414" s="48"/>
      <c r="I414" s="48"/>
    </row>
    <row r="415" spans="1:9" ht="21" customHeight="1" x14ac:dyDescent="0.2">
      <c r="A415" s="46"/>
      <c r="B415" s="46"/>
      <c r="C415" s="46"/>
      <c r="D415" s="46"/>
      <c r="E415" s="46"/>
      <c r="F415" s="47"/>
      <c r="G415" s="47"/>
      <c r="H415" s="48"/>
      <c r="I415" s="48"/>
    </row>
    <row r="416" spans="1:9" ht="21" customHeight="1" x14ac:dyDescent="0.2">
      <c r="A416" s="46"/>
      <c r="B416" s="46"/>
      <c r="C416" s="46"/>
      <c r="D416" s="46"/>
      <c r="E416" s="46"/>
      <c r="F416" s="47"/>
      <c r="G416" s="47"/>
      <c r="H416" s="48"/>
      <c r="I416" s="48"/>
    </row>
    <row r="417" spans="1:9" ht="21" customHeight="1" x14ac:dyDescent="0.2">
      <c r="A417" s="46"/>
      <c r="B417" s="46"/>
      <c r="C417" s="46"/>
      <c r="D417" s="46"/>
      <c r="E417" s="46"/>
      <c r="F417" s="47"/>
      <c r="G417" s="47"/>
      <c r="H417" s="48"/>
      <c r="I417" s="48"/>
    </row>
    <row r="418" spans="1:9" ht="21" customHeight="1" x14ac:dyDescent="0.2">
      <c r="A418" s="46"/>
      <c r="B418" s="46"/>
      <c r="C418" s="46"/>
      <c r="D418" s="46"/>
      <c r="E418" s="46"/>
      <c r="F418" s="47"/>
      <c r="G418" s="47"/>
      <c r="H418" s="48"/>
      <c r="I418" s="48"/>
    </row>
    <row r="419" spans="1:9" ht="21" customHeight="1" x14ac:dyDescent="0.2">
      <c r="A419" s="46"/>
      <c r="B419" s="46"/>
      <c r="C419" s="46"/>
      <c r="D419" s="46"/>
      <c r="E419" s="46"/>
      <c r="F419" s="47"/>
      <c r="G419" s="47"/>
      <c r="H419" s="48"/>
      <c r="I419" s="48"/>
    </row>
    <row r="420" spans="1:9" ht="21" customHeight="1" x14ac:dyDescent="0.2">
      <c r="A420" s="46"/>
      <c r="B420" s="46"/>
      <c r="C420" s="46"/>
      <c r="D420" s="46"/>
      <c r="E420" s="46"/>
      <c r="F420" s="47"/>
      <c r="G420" s="47"/>
      <c r="H420" s="48"/>
      <c r="I420" s="48"/>
    </row>
    <row r="421" spans="1:9" ht="21" customHeight="1" x14ac:dyDescent="0.2">
      <c r="A421" s="46"/>
      <c r="B421" s="46"/>
      <c r="C421" s="46"/>
      <c r="D421" s="46"/>
      <c r="E421" s="46"/>
      <c r="F421" s="47"/>
      <c r="G421" s="47"/>
      <c r="H421" s="48"/>
      <c r="I421" s="48"/>
    </row>
    <row r="422" spans="1:9" ht="21" customHeight="1" x14ac:dyDescent="0.2">
      <c r="A422" s="46"/>
      <c r="B422" s="46"/>
      <c r="C422" s="46"/>
      <c r="D422" s="46"/>
      <c r="E422" s="46"/>
      <c r="F422" s="47"/>
      <c r="G422" s="47"/>
      <c r="H422" s="48"/>
      <c r="I422" s="48"/>
    </row>
    <row r="423" spans="1:9" ht="21" customHeight="1" x14ac:dyDescent="0.2">
      <c r="A423" s="46"/>
      <c r="B423" s="46"/>
      <c r="C423" s="46"/>
      <c r="D423" s="46"/>
      <c r="E423" s="46"/>
      <c r="F423" s="47"/>
      <c r="G423" s="47"/>
      <c r="H423" s="48"/>
      <c r="I423" s="48"/>
    </row>
    <row r="424" spans="1:9" ht="21" customHeight="1" x14ac:dyDescent="0.2">
      <c r="A424" s="46"/>
      <c r="B424" s="46"/>
      <c r="C424" s="46"/>
      <c r="D424" s="46"/>
      <c r="E424" s="46"/>
      <c r="F424" s="47"/>
      <c r="G424" s="47"/>
      <c r="H424" s="48"/>
      <c r="I424" s="48"/>
    </row>
    <row r="425" spans="1:9" ht="21" customHeight="1" x14ac:dyDescent="0.2">
      <c r="A425" s="46"/>
      <c r="B425" s="46"/>
      <c r="C425" s="46"/>
      <c r="D425" s="46"/>
      <c r="E425" s="46"/>
      <c r="F425" s="47"/>
      <c r="G425" s="47"/>
      <c r="H425" s="48"/>
      <c r="I425" s="48"/>
    </row>
    <row r="426" spans="1:9" ht="21" customHeight="1" x14ac:dyDescent="0.2">
      <c r="A426" s="46"/>
      <c r="B426" s="46"/>
      <c r="C426" s="46"/>
      <c r="D426" s="46"/>
      <c r="E426" s="46"/>
      <c r="F426" s="47"/>
      <c r="G426" s="47"/>
      <c r="H426" s="48"/>
      <c r="I426" s="48"/>
    </row>
    <row r="427" spans="1:9" ht="21" customHeight="1" x14ac:dyDescent="0.2">
      <c r="A427" s="46"/>
      <c r="B427" s="46"/>
      <c r="C427" s="46"/>
      <c r="D427" s="46"/>
      <c r="E427" s="46"/>
      <c r="F427" s="47"/>
      <c r="G427" s="47"/>
      <c r="H427" s="48"/>
      <c r="I427" s="48"/>
    </row>
    <row r="428" spans="1:9" ht="21" customHeight="1" x14ac:dyDescent="0.2">
      <c r="A428" s="46"/>
      <c r="B428" s="46"/>
      <c r="C428" s="46"/>
      <c r="D428" s="46"/>
      <c r="E428" s="46"/>
      <c r="F428" s="47"/>
      <c r="G428" s="47"/>
      <c r="H428" s="48"/>
      <c r="I428" s="48"/>
    </row>
    <row r="429" spans="1:9" ht="21" customHeight="1" x14ac:dyDescent="0.2">
      <c r="A429" s="46"/>
      <c r="B429" s="46"/>
      <c r="C429" s="46"/>
      <c r="D429" s="46"/>
      <c r="E429" s="46"/>
      <c r="F429" s="47"/>
      <c r="G429" s="47"/>
      <c r="H429" s="48"/>
      <c r="I429" s="48"/>
    </row>
    <row r="430" spans="1:9" ht="21" customHeight="1" x14ac:dyDescent="0.2">
      <c r="A430" s="46"/>
      <c r="B430" s="46"/>
      <c r="C430" s="46"/>
      <c r="D430" s="46"/>
      <c r="E430" s="46"/>
      <c r="F430" s="47"/>
      <c r="G430" s="47"/>
      <c r="H430" s="48"/>
      <c r="I430" s="48"/>
    </row>
    <row r="431" spans="1:9" ht="21" customHeight="1" x14ac:dyDescent="0.2">
      <c r="A431" s="46"/>
      <c r="B431" s="46"/>
      <c r="C431" s="46"/>
      <c r="D431" s="46"/>
      <c r="E431" s="46"/>
      <c r="F431" s="47"/>
      <c r="G431" s="47"/>
      <c r="H431" s="48"/>
      <c r="I431" s="48"/>
    </row>
    <row r="432" spans="1:9" ht="21" customHeight="1" x14ac:dyDescent="0.2">
      <c r="A432" s="46"/>
      <c r="B432" s="46"/>
      <c r="C432" s="46"/>
      <c r="D432" s="46"/>
      <c r="E432" s="46"/>
      <c r="F432" s="47"/>
      <c r="G432" s="47"/>
      <c r="H432" s="48"/>
      <c r="I432" s="48"/>
    </row>
    <row r="433" spans="1:9" ht="21" customHeight="1" x14ac:dyDescent="0.2">
      <c r="A433" s="46"/>
      <c r="B433" s="46"/>
      <c r="C433" s="46"/>
      <c r="D433" s="46"/>
      <c r="E433" s="46"/>
      <c r="F433" s="47"/>
      <c r="G433" s="47"/>
      <c r="H433" s="48"/>
      <c r="I433" s="48"/>
    </row>
    <row r="434" spans="1:9" ht="21" customHeight="1" x14ac:dyDescent="0.2">
      <c r="A434" s="46"/>
      <c r="B434" s="46"/>
      <c r="C434" s="46"/>
      <c r="D434" s="46"/>
      <c r="E434" s="46"/>
      <c r="F434" s="47"/>
      <c r="G434" s="47"/>
      <c r="H434" s="48"/>
      <c r="I434" s="48"/>
    </row>
    <row r="435" spans="1:9" ht="21" customHeight="1" x14ac:dyDescent="0.2">
      <c r="A435" s="46"/>
      <c r="B435" s="46"/>
      <c r="C435" s="46"/>
      <c r="D435" s="46"/>
      <c r="E435" s="46"/>
      <c r="F435" s="47"/>
      <c r="G435" s="47"/>
      <c r="H435" s="48"/>
      <c r="I435" s="48"/>
    </row>
    <row r="436" spans="1:9" ht="21" customHeight="1" x14ac:dyDescent="0.2">
      <c r="A436" s="46"/>
      <c r="B436" s="46"/>
      <c r="C436" s="46"/>
      <c r="D436" s="46"/>
      <c r="E436" s="46"/>
      <c r="F436" s="47"/>
      <c r="G436" s="47"/>
      <c r="H436" s="48"/>
      <c r="I436" s="48"/>
    </row>
    <row r="437" spans="1:9" ht="21" customHeight="1" x14ac:dyDescent="0.2">
      <c r="A437" s="46"/>
      <c r="B437" s="46"/>
      <c r="C437" s="46"/>
      <c r="D437" s="46"/>
      <c r="E437" s="46"/>
      <c r="F437" s="47"/>
      <c r="G437" s="47"/>
      <c r="H437" s="48"/>
      <c r="I437" s="48"/>
    </row>
    <row r="438" spans="1:9" ht="21" customHeight="1" x14ac:dyDescent="0.2">
      <c r="A438" s="46"/>
      <c r="B438" s="46"/>
      <c r="C438" s="46"/>
      <c r="D438" s="46"/>
      <c r="E438" s="46"/>
      <c r="F438" s="47"/>
      <c r="G438" s="47"/>
      <c r="H438" s="48"/>
      <c r="I438" s="48"/>
    </row>
    <row r="439" spans="1:9" ht="21" customHeight="1" x14ac:dyDescent="0.2">
      <c r="A439" s="46"/>
      <c r="B439" s="46"/>
      <c r="C439" s="46"/>
      <c r="D439" s="46"/>
      <c r="E439" s="46"/>
      <c r="F439" s="47"/>
      <c r="G439" s="47"/>
      <c r="H439" s="48"/>
      <c r="I439" s="48"/>
    </row>
    <row r="440" spans="1:9" ht="21" customHeight="1" x14ac:dyDescent="0.2">
      <c r="A440" s="46"/>
      <c r="B440" s="46"/>
      <c r="C440" s="46"/>
      <c r="D440" s="46"/>
      <c r="E440" s="46"/>
      <c r="F440" s="47"/>
      <c r="G440" s="47"/>
      <c r="H440" s="48"/>
      <c r="I440" s="48"/>
    </row>
    <row r="441" spans="1:9" ht="21" customHeight="1" x14ac:dyDescent="0.2">
      <c r="A441" s="46"/>
      <c r="B441" s="46"/>
      <c r="C441" s="46"/>
      <c r="D441" s="46"/>
      <c r="E441" s="46"/>
      <c r="F441" s="47"/>
      <c r="G441" s="47"/>
      <c r="H441" s="48"/>
      <c r="I441" s="48"/>
    </row>
    <row r="442" spans="1:9" ht="21" customHeight="1" x14ac:dyDescent="0.2">
      <c r="A442" s="46"/>
      <c r="B442" s="46"/>
      <c r="C442" s="46"/>
      <c r="D442" s="46"/>
      <c r="E442" s="46"/>
      <c r="F442" s="47"/>
      <c r="G442" s="47"/>
      <c r="H442" s="48"/>
      <c r="I442" s="48"/>
    </row>
    <row r="443" spans="1:9" ht="21" customHeight="1" x14ac:dyDescent="0.2">
      <c r="A443" s="46"/>
      <c r="B443" s="46"/>
      <c r="C443" s="46"/>
      <c r="D443" s="46"/>
      <c r="E443" s="46"/>
      <c r="F443" s="47"/>
      <c r="G443" s="47"/>
      <c r="H443" s="48"/>
      <c r="I443" s="48"/>
    </row>
    <row r="444" spans="1:9" ht="21" customHeight="1" x14ac:dyDescent="0.2">
      <c r="A444" s="46"/>
      <c r="B444" s="46"/>
      <c r="C444" s="46"/>
      <c r="D444" s="46"/>
      <c r="E444" s="46"/>
      <c r="F444" s="47"/>
      <c r="G444" s="47"/>
      <c r="H444" s="48"/>
      <c r="I444" s="48"/>
    </row>
    <row r="445" spans="1:9" ht="21" customHeight="1" x14ac:dyDescent="0.2">
      <c r="A445" s="46"/>
      <c r="B445" s="46"/>
      <c r="C445" s="46"/>
      <c r="D445" s="46"/>
      <c r="E445" s="46"/>
      <c r="F445" s="47"/>
      <c r="G445" s="47"/>
      <c r="H445" s="48"/>
      <c r="I445" s="48"/>
    </row>
    <row r="446" spans="1:9" ht="21" customHeight="1" x14ac:dyDescent="0.2">
      <c r="A446" s="46"/>
      <c r="B446" s="46"/>
      <c r="C446" s="46"/>
      <c r="D446" s="46"/>
      <c r="E446" s="46"/>
      <c r="F446" s="47"/>
      <c r="G446" s="47"/>
      <c r="H446" s="48"/>
      <c r="I446" s="48"/>
    </row>
    <row r="447" spans="1:9" ht="21" customHeight="1" x14ac:dyDescent="0.2">
      <c r="A447" s="46"/>
      <c r="B447" s="46"/>
      <c r="C447" s="46"/>
      <c r="D447" s="46"/>
      <c r="E447" s="46"/>
      <c r="F447" s="47"/>
      <c r="G447" s="47"/>
      <c r="H447" s="48"/>
      <c r="I447" s="48"/>
    </row>
    <row r="448" spans="1:9" ht="21" customHeight="1" x14ac:dyDescent="0.2">
      <c r="A448" s="46"/>
      <c r="B448" s="46"/>
      <c r="C448" s="46"/>
      <c r="D448" s="46"/>
      <c r="E448" s="46"/>
      <c r="F448" s="47"/>
      <c r="G448" s="47"/>
      <c r="H448" s="48"/>
      <c r="I448" s="48"/>
    </row>
    <row r="449" spans="1:9" ht="21" customHeight="1" x14ac:dyDescent="0.2">
      <c r="A449" s="46"/>
      <c r="B449" s="46"/>
      <c r="C449" s="46"/>
      <c r="D449" s="46"/>
      <c r="E449" s="46"/>
      <c r="F449" s="47"/>
      <c r="G449" s="47"/>
      <c r="H449" s="48"/>
      <c r="I449" s="48"/>
    </row>
    <row r="450" spans="1:9" ht="21" customHeight="1" x14ac:dyDescent="0.2">
      <c r="A450" s="46"/>
      <c r="B450" s="46"/>
      <c r="C450" s="46"/>
      <c r="D450" s="46"/>
      <c r="E450" s="46"/>
      <c r="F450" s="47"/>
      <c r="G450" s="47"/>
      <c r="H450" s="48"/>
      <c r="I450" s="48"/>
    </row>
    <row r="451" spans="1:9" ht="21" customHeight="1" x14ac:dyDescent="0.2">
      <c r="A451" s="46"/>
      <c r="B451" s="46"/>
      <c r="C451" s="46"/>
      <c r="D451" s="46"/>
      <c r="E451" s="46"/>
      <c r="F451" s="47"/>
      <c r="G451" s="47"/>
      <c r="H451" s="48"/>
      <c r="I451" s="48"/>
    </row>
    <row r="452" spans="1:9" ht="21" customHeight="1" x14ac:dyDescent="0.2">
      <c r="A452" s="46"/>
      <c r="B452" s="46"/>
      <c r="C452" s="46"/>
      <c r="D452" s="46"/>
      <c r="E452" s="46"/>
      <c r="F452" s="47"/>
      <c r="G452" s="47"/>
      <c r="H452" s="48"/>
      <c r="I452" s="48"/>
    </row>
    <row r="453" spans="1:9" ht="21" customHeight="1" x14ac:dyDescent="0.2">
      <c r="A453" s="46"/>
      <c r="B453" s="46"/>
      <c r="C453" s="46"/>
      <c r="D453" s="46"/>
      <c r="E453" s="46"/>
      <c r="F453" s="47"/>
      <c r="G453" s="47"/>
      <c r="H453" s="48"/>
      <c r="I453" s="48"/>
    </row>
    <row r="454" spans="1:9" ht="21" customHeight="1" x14ac:dyDescent="0.2">
      <c r="A454" s="46"/>
      <c r="B454" s="46"/>
      <c r="C454" s="46"/>
      <c r="D454" s="46"/>
      <c r="E454" s="46"/>
      <c r="F454" s="47"/>
      <c r="G454" s="47"/>
      <c r="H454" s="48"/>
      <c r="I454" s="48"/>
    </row>
    <row r="455" spans="1:9" ht="21" customHeight="1" x14ac:dyDescent="0.2">
      <c r="A455" s="46"/>
      <c r="B455" s="46"/>
      <c r="C455" s="46"/>
      <c r="D455" s="46"/>
      <c r="E455" s="46"/>
      <c r="F455" s="47"/>
      <c r="G455" s="47"/>
      <c r="H455" s="48"/>
      <c r="I455" s="48"/>
    </row>
    <row r="456" spans="1:9" ht="21" customHeight="1" x14ac:dyDescent="0.2">
      <c r="A456" s="46"/>
      <c r="B456" s="46"/>
      <c r="C456" s="46"/>
      <c r="D456" s="46"/>
      <c r="E456" s="46"/>
      <c r="F456" s="47"/>
      <c r="G456" s="47"/>
      <c r="H456" s="48"/>
      <c r="I456" s="48"/>
    </row>
    <row r="457" spans="1:9" ht="21" customHeight="1" x14ac:dyDescent="0.2">
      <c r="A457" s="46"/>
      <c r="B457" s="46"/>
      <c r="C457" s="46"/>
      <c r="D457" s="46"/>
      <c r="E457" s="46"/>
      <c r="F457" s="47"/>
      <c r="G457" s="47"/>
      <c r="H457" s="48"/>
      <c r="I457" s="48"/>
    </row>
    <row r="458" spans="1:9" ht="21" customHeight="1" x14ac:dyDescent="0.2">
      <c r="A458" s="46"/>
      <c r="B458" s="46"/>
      <c r="C458" s="46"/>
      <c r="D458" s="46"/>
      <c r="E458" s="46"/>
      <c r="F458" s="47"/>
      <c r="G458" s="47"/>
      <c r="H458" s="48"/>
      <c r="I458" s="48"/>
    </row>
    <row r="459" spans="1:9" ht="21" customHeight="1" x14ac:dyDescent="0.2">
      <c r="A459" s="46"/>
      <c r="B459" s="46"/>
      <c r="C459" s="46"/>
      <c r="D459" s="46"/>
      <c r="E459" s="46"/>
      <c r="F459" s="47"/>
      <c r="G459" s="47"/>
      <c r="H459" s="48"/>
      <c r="I459" s="48"/>
    </row>
    <row r="460" spans="1:9" ht="21" customHeight="1" x14ac:dyDescent="0.2">
      <c r="A460" s="46"/>
      <c r="B460" s="46"/>
      <c r="C460" s="46"/>
      <c r="D460" s="46"/>
      <c r="E460" s="46"/>
      <c r="F460" s="47"/>
      <c r="G460" s="47"/>
      <c r="H460" s="48"/>
      <c r="I460" s="48"/>
    </row>
    <row r="461" spans="1:9" ht="21" customHeight="1" x14ac:dyDescent="0.2">
      <c r="A461" s="46"/>
      <c r="B461" s="46"/>
      <c r="C461" s="46"/>
      <c r="D461" s="46"/>
      <c r="E461" s="46"/>
      <c r="F461" s="47"/>
      <c r="G461" s="47"/>
      <c r="H461" s="48"/>
      <c r="I461" s="48"/>
    </row>
    <row r="462" spans="1:9" ht="21" customHeight="1" x14ac:dyDescent="0.2">
      <c r="A462" s="46"/>
      <c r="B462" s="46"/>
      <c r="C462" s="46"/>
      <c r="D462" s="46"/>
      <c r="E462" s="46"/>
      <c r="F462" s="47"/>
      <c r="G462" s="47"/>
      <c r="H462" s="48"/>
      <c r="I462" s="48"/>
    </row>
    <row r="463" spans="1:9" ht="21" customHeight="1" x14ac:dyDescent="0.2">
      <c r="A463" s="46"/>
      <c r="B463" s="46"/>
      <c r="C463" s="46"/>
      <c r="D463" s="46"/>
      <c r="E463" s="46"/>
      <c r="F463" s="47"/>
      <c r="G463" s="47"/>
      <c r="H463" s="48"/>
      <c r="I463" s="48"/>
    </row>
    <row r="464" spans="1:9" ht="21" customHeight="1" x14ac:dyDescent="0.2">
      <c r="A464" s="46"/>
      <c r="B464" s="46"/>
      <c r="C464" s="46"/>
      <c r="D464" s="46"/>
      <c r="E464" s="46"/>
      <c r="F464" s="47"/>
      <c r="G464" s="47"/>
      <c r="H464" s="48"/>
      <c r="I464" s="48"/>
    </row>
    <row r="465" spans="1:9" ht="21" customHeight="1" x14ac:dyDescent="0.2">
      <c r="A465" s="46"/>
      <c r="B465" s="46"/>
      <c r="C465" s="46"/>
      <c r="D465" s="46"/>
      <c r="E465" s="46"/>
      <c r="F465" s="47"/>
      <c r="G465" s="47"/>
      <c r="H465" s="48"/>
      <c r="I465" s="48"/>
    </row>
    <row r="466" spans="1:9" ht="21" customHeight="1" x14ac:dyDescent="0.2">
      <c r="A466" s="46"/>
      <c r="B466" s="46"/>
      <c r="C466" s="46"/>
      <c r="D466" s="46"/>
      <c r="E466" s="46"/>
      <c r="F466" s="47"/>
      <c r="G466" s="47"/>
      <c r="H466" s="48"/>
      <c r="I466" s="48"/>
    </row>
    <row r="467" spans="1:9" ht="21" customHeight="1" x14ac:dyDescent="0.2">
      <c r="A467" s="46"/>
      <c r="B467" s="46"/>
      <c r="C467" s="46"/>
      <c r="D467" s="46"/>
      <c r="E467" s="46"/>
      <c r="F467" s="47"/>
      <c r="G467" s="47"/>
      <c r="H467" s="48"/>
      <c r="I467" s="48"/>
    </row>
    <row r="468" spans="1:9" ht="21" customHeight="1" x14ac:dyDescent="0.2">
      <c r="A468" s="46"/>
      <c r="B468" s="46"/>
      <c r="C468" s="46"/>
      <c r="D468" s="46"/>
      <c r="E468" s="46"/>
      <c r="F468" s="47"/>
      <c r="G468" s="47"/>
      <c r="H468" s="48"/>
      <c r="I468" s="48"/>
    </row>
    <row r="469" spans="1:9" ht="21" customHeight="1" x14ac:dyDescent="0.2">
      <c r="A469" s="46"/>
      <c r="B469" s="46"/>
      <c r="C469" s="46"/>
      <c r="D469" s="46"/>
      <c r="E469" s="46"/>
      <c r="F469" s="47"/>
      <c r="G469" s="47"/>
      <c r="H469" s="48"/>
      <c r="I469" s="48"/>
    </row>
    <row r="470" spans="1:9" ht="21" customHeight="1" x14ac:dyDescent="0.2">
      <c r="A470" s="46"/>
      <c r="B470" s="46"/>
      <c r="C470" s="46"/>
      <c r="D470" s="46"/>
      <c r="E470" s="46"/>
      <c r="F470" s="47"/>
      <c r="G470" s="47"/>
      <c r="H470" s="48"/>
      <c r="I470" s="48"/>
    </row>
    <row r="471" spans="1:9" ht="21" customHeight="1" x14ac:dyDescent="0.2">
      <c r="A471" s="46"/>
      <c r="B471" s="46"/>
      <c r="C471" s="46"/>
      <c r="D471" s="46"/>
      <c r="E471" s="46"/>
      <c r="F471" s="47"/>
      <c r="G471" s="47"/>
      <c r="H471" s="48"/>
      <c r="I471" s="48"/>
    </row>
    <row r="472" spans="1:9" ht="21" customHeight="1" x14ac:dyDescent="0.2">
      <c r="A472" s="46"/>
      <c r="B472" s="46"/>
      <c r="C472" s="46"/>
      <c r="D472" s="46"/>
      <c r="E472" s="46"/>
      <c r="F472" s="47"/>
      <c r="G472" s="47"/>
      <c r="H472" s="48"/>
      <c r="I472" s="48"/>
    </row>
    <row r="473" spans="1:9" ht="21" customHeight="1" x14ac:dyDescent="0.2">
      <c r="A473" s="46"/>
      <c r="B473" s="46"/>
      <c r="C473" s="46"/>
      <c r="D473" s="46"/>
      <c r="E473" s="46"/>
      <c r="F473" s="47"/>
      <c r="G473" s="47"/>
      <c r="H473" s="48"/>
      <c r="I473" s="48"/>
    </row>
    <row r="474" spans="1:9" ht="21" customHeight="1" x14ac:dyDescent="0.2">
      <c r="A474" s="46"/>
      <c r="B474" s="46"/>
      <c r="C474" s="46"/>
      <c r="D474" s="46"/>
      <c r="E474" s="46"/>
      <c r="F474" s="47"/>
      <c r="G474" s="47"/>
      <c r="H474" s="48"/>
      <c r="I474" s="48"/>
    </row>
    <row r="475" spans="1:9" ht="21" customHeight="1" x14ac:dyDescent="0.2">
      <c r="A475" s="46"/>
      <c r="B475" s="46"/>
      <c r="C475" s="46"/>
      <c r="D475" s="46"/>
      <c r="E475" s="46"/>
      <c r="F475" s="47"/>
      <c r="G475" s="47"/>
      <c r="H475" s="48"/>
      <c r="I475" s="48"/>
    </row>
    <row r="476" spans="1:9" ht="21" customHeight="1" x14ac:dyDescent="0.2">
      <c r="A476" s="46"/>
      <c r="B476" s="46"/>
      <c r="C476" s="46"/>
      <c r="D476" s="46"/>
      <c r="E476" s="46"/>
      <c r="F476" s="47"/>
      <c r="G476" s="47"/>
      <c r="H476" s="48"/>
      <c r="I476" s="48"/>
    </row>
    <row r="477" spans="1:9" ht="21" customHeight="1" x14ac:dyDescent="0.2">
      <c r="A477" s="46"/>
      <c r="B477" s="46"/>
      <c r="C477" s="46"/>
      <c r="D477" s="46"/>
      <c r="E477" s="46"/>
      <c r="F477" s="47"/>
      <c r="G477" s="47"/>
      <c r="H477" s="48"/>
      <c r="I477" s="48"/>
    </row>
    <row r="478" spans="1:9" ht="21" customHeight="1" x14ac:dyDescent="0.2">
      <c r="A478" s="46"/>
      <c r="B478" s="46"/>
      <c r="C478" s="46"/>
      <c r="D478" s="46"/>
      <c r="E478" s="46"/>
      <c r="F478" s="47"/>
      <c r="G478" s="47"/>
      <c r="H478" s="48"/>
      <c r="I478" s="48"/>
    </row>
    <row r="479" spans="1:9" ht="21" customHeight="1" x14ac:dyDescent="0.2">
      <c r="A479" s="46"/>
      <c r="B479" s="46"/>
      <c r="C479" s="46"/>
      <c r="D479" s="46"/>
      <c r="E479" s="46"/>
      <c r="F479" s="47"/>
      <c r="G479" s="47"/>
      <c r="H479" s="48"/>
      <c r="I479" s="48"/>
    </row>
    <row r="480" spans="1:9" ht="21" customHeight="1" x14ac:dyDescent="0.2">
      <c r="A480" s="46"/>
      <c r="B480" s="46"/>
      <c r="C480" s="46"/>
      <c r="D480" s="46"/>
      <c r="E480" s="46"/>
      <c r="F480" s="47"/>
      <c r="G480" s="47"/>
      <c r="H480" s="48"/>
      <c r="I480" s="48"/>
    </row>
    <row r="481" spans="1:9" ht="21" customHeight="1" x14ac:dyDescent="0.2">
      <c r="A481" s="46"/>
      <c r="B481" s="46"/>
      <c r="C481" s="46"/>
      <c r="D481" s="46"/>
      <c r="E481" s="46"/>
      <c r="F481" s="47"/>
      <c r="G481" s="47"/>
      <c r="H481" s="48"/>
      <c r="I481" s="48"/>
    </row>
    <row r="482" spans="1:9" ht="21" customHeight="1" x14ac:dyDescent="0.2">
      <c r="A482" s="46"/>
      <c r="B482" s="46"/>
      <c r="C482" s="46"/>
      <c r="D482" s="46"/>
      <c r="E482" s="46"/>
      <c r="F482" s="47"/>
      <c r="G482" s="47"/>
      <c r="H482" s="48"/>
      <c r="I482" s="48"/>
    </row>
    <row r="483" spans="1:9" ht="21" customHeight="1" x14ac:dyDescent="0.2">
      <c r="A483" s="46"/>
      <c r="B483" s="46"/>
      <c r="C483" s="46"/>
      <c r="D483" s="46"/>
      <c r="E483" s="46"/>
      <c r="F483" s="47"/>
      <c r="G483" s="47"/>
      <c r="H483" s="48"/>
      <c r="I483" s="48"/>
    </row>
    <row r="484" spans="1:9" ht="21" customHeight="1" x14ac:dyDescent="0.2">
      <c r="A484" s="46"/>
      <c r="B484" s="46"/>
      <c r="C484" s="46"/>
      <c r="D484" s="46"/>
      <c r="E484" s="46"/>
      <c r="F484" s="47"/>
      <c r="G484" s="47"/>
      <c r="H484" s="48"/>
      <c r="I484" s="48"/>
    </row>
    <row r="485" spans="1:9" ht="21" customHeight="1" x14ac:dyDescent="0.2">
      <c r="A485" s="46"/>
      <c r="B485" s="46"/>
      <c r="C485" s="46"/>
      <c r="D485" s="46"/>
      <c r="E485" s="46"/>
      <c r="F485" s="47"/>
      <c r="G485" s="47"/>
      <c r="H485" s="48"/>
      <c r="I485" s="48"/>
    </row>
    <row r="486" spans="1:9" ht="21" customHeight="1" x14ac:dyDescent="0.2">
      <c r="A486" s="46"/>
      <c r="B486" s="46"/>
      <c r="C486" s="46"/>
      <c r="D486" s="46"/>
      <c r="E486" s="46"/>
      <c r="F486" s="47"/>
      <c r="G486" s="47"/>
      <c r="H486" s="48"/>
      <c r="I486" s="48"/>
    </row>
    <row r="487" spans="1:9" ht="21" customHeight="1" x14ac:dyDescent="0.2">
      <c r="A487" s="46"/>
      <c r="B487" s="46"/>
      <c r="C487" s="46"/>
      <c r="D487" s="46"/>
      <c r="E487" s="46"/>
      <c r="F487" s="47"/>
      <c r="G487" s="47"/>
      <c r="H487" s="48"/>
      <c r="I487" s="48"/>
    </row>
    <row r="488" spans="1:9" ht="21" customHeight="1" x14ac:dyDescent="0.2">
      <c r="A488" s="46"/>
      <c r="B488" s="46"/>
      <c r="C488" s="46"/>
      <c r="D488" s="46"/>
      <c r="E488" s="46"/>
      <c r="F488" s="47"/>
      <c r="G488" s="47"/>
      <c r="H488" s="48"/>
      <c r="I488" s="48"/>
    </row>
    <row r="489" spans="1:9" ht="21" customHeight="1" x14ac:dyDescent="0.2">
      <c r="A489" s="46"/>
      <c r="B489" s="46"/>
      <c r="C489" s="46"/>
      <c r="D489" s="46"/>
      <c r="E489" s="46"/>
      <c r="F489" s="47"/>
      <c r="G489" s="47"/>
      <c r="H489" s="48"/>
      <c r="I489" s="48"/>
    </row>
    <row r="490" spans="1:9" ht="21" customHeight="1" x14ac:dyDescent="0.2">
      <c r="A490" s="46"/>
      <c r="B490" s="46"/>
      <c r="C490" s="46"/>
      <c r="D490" s="46"/>
      <c r="E490" s="46"/>
      <c r="F490" s="47"/>
      <c r="G490" s="47"/>
      <c r="H490" s="48"/>
      <c r="I490" s="48"/>
    </row>
    <row r="491" spans="1:9" ht="21" customHeight="1" x14ac:dyDescent="0.2">
      <c r="A491" s="46"/>
      <c r="B491" s="46"/>
      <c r="C491" s="46"/>
      <c r="D491" s="46"/>
      <c r="E491" s="46"/>
      <c r="F491" s="47"/>
      <c r="G491" s="47"/>
      <c r="H491" s="48"/>
      <c r="I491" s="48"/>
    </row>
    <row r="492" spans="1:9" ht="21" customHeight="1" x14ac:dyDescent="0.2">
      <c r="A492" s="46"/>
      <c r="B492" s="46"/>
      <c r="C492" s="46"/>
      <c r="D492" s="46"/>
      <c r="E492" s="46"/>
      <c r="F492" s="47"/>
      <c r="G492" s="47"/>
      <c r="H492" s="48"/>
      <c r="I492" s="48"/>
    </row>
    <row r="493" spans="1:9" ht="21" customHeight="1" x14ac:dyDescent="0.2">
      <c r="A493" s="46"/>
      <c r="B493" s="46"/>
      <c r="C493" s="46"/>
      <c r="D493" s="46"/>
      <c r="E493" s="46"/>
      <c r="F493" s="47"/>
      <c r="G493" s="47"/>
      <c r="H493" s="48"/>
      <c r="I493" s="48"/>
    </row>
    <row r="494" spans="1:9" ht="21" customHeight="1" x14ac:dyDescent="0.2">
      <c r="A494" s="46"/>
      <c r="B494" s="46"/>
      <c r="C494" s="46"/>
      <c r="D494" s="46"/>
      <c r="E494" s="46"/>
      <c r="F494" s="47"/>
      <c r="G494" s="47"/>
      <c r="H494" s="48"/>
      <c r="I494" s="48"/>
    </row>
    <row r="495" spans="1:9" ht="21" customHeight="1" x14ac:dyDescent="0.2">
      <c r="A495" s="46"/>
      <c r="B495" s="46"/>
      <c r="C495" s="46"/>
      <c r="D495" s="46"/>
      <c r="E495" s="46"/>
      <c r="F495" s="47"/>
      <c r="G495" s="47"/>
      <c r="H495" s="48"/>
      <c r="I495" s="48"/>
    </row>
    <row r="496" spans="1:9" ht="21" customHeight="1" x14ac:dyDescent="0.2">
      <c r="A496" s="46"/>
      <c r="B496" s="46"/>
      <c r="C496" s="46"/>
      <c r="D496" s="46"/>
      <c r="E496" s="46"/>
      <c r="F496" s="47"/>
      <c r="G496" s="47"/>
      <c r="H496" s="48"/>
      <c r="I496" s="48"/>
    </row>
    <row r="497" spans="1:9" ht="21" customHeight="1" x14ac:dyDescent="0.2">
      <c r="A497" s="46"/>
      <c r="B497" s="46"/>
      <c r="C497" s="46"/>
      <c r="D497" s="46"/>
      <c r="E497" s="46"/>
      <c r="F497" s="47"/>
      <c r="G497" s="47"/>
      <c r="H497" s="48"/>
      <c r="I497" s="48"/>
    </row>
    <row r="498" spans="1:9" ht="21" customHeight="1" x14ac:dyDescent="0.2">
      <c r="A498" s="46"/>
      <c r="B498" s="46"/>
      <c r="C498" s="46"/>
      <c r="D498" s="46"/>
      <c r="E498" s="46"/>
      <c r="F498" s="47"/>
      <c r="G498" s="47"/>
      <c r="H498" s="48"/>
      <c r="I498" s="48"/>
    </row>
    <row r="499" spans="1:9" ht="21" customHeight="1" x14ac:dyDescent="0.2">
      <c r="A499" s="46"/>
      <c r="B499" s="46"/>
      <c r="C499" s="46"/>
      <c r="D499" s="46"/>
      <c r="E499" s="46"/>
      <c r="F499" s="47"/>
      <c r="G499" s="47"/>
      <c r="H499" s="48"/>
      <c r="I499" s="48"/>
    </row>
    <row r="500" spans="1:9" ht="21" customHeight="1" x14ac:dyDescent="0.2">
      <c r="A500" s="46"/>
      <c r="B500" s="46"/>
      <c r="C500" s="46"/>
      <c r="D500" s="46"/>
      <c r="E500" s="46"/>
      <c r="F500" s="47"/>
      <c r="G500" s="47"/>
      <c r="H500" s="48"/>
      <c r="I500" s="48"/>
    </row>
    <row r="501" spans="1:9" ht="21" customHeight="1" x14ac:dyDescent="0.2">
      <c r="A501" s="46"/>
      <c r="B501" s="46"/>
      <c r="C501" s="46"/>
      <c r="D501" s="46"/>
      <c r="E501" s="46"/>
      <c r="F501" s="47"/>
      <c r="G501" s="47"/>
      <c r="H501" s="48"/>
      <c r="I501" s="48"/>
    </row>
    <row r="502" spans="1:9" ht="21" customHeight="1" x14ac:dyDescent="0.2">
      <c r="A502" s="46"/>
      <c r="B502" s="46"/>
      <c r="C502" s="46"/>
      <c r="D502" s="46"/>
      <c r="E502" s="46"/>
      <c r="F502" s="47"/>
      <c r="G502" s="47"/>
      <c r="H502" s="48"/>
      <c r="I502" s="48"/>
    </row>
    <row r="503" spans="1:9" ht="21" customHeight="1" x14ac:dyDescent="0.2">
      <c r="A503" s="46"/>
      <c r="B503" s="46"/>
      <c r="C503" s="46"/>
      <c r="D503" s="46"/>
      <c r="E503" s="46"/>
      <c r="F503" s="47"/>
      <c r="G503" s="47"/>
      <c r="H503" s="48"/>
      <c r="I503" s="48"/>
    </row>
    <row r="504" spans="1:9" ht="21" customHeight="1" x14ac:dyDescent="0.2">
      <c r="A504" s="46"/>
      <c r="B504" s="46"/>
      <c r="C504" s="46"/>
      <c r="D504" s="46"/>
      <c r="E504" s="46"/>
      <c r="F504" s="47"/>
      <c r="G504" s="47"/>
      <c r="H504" s="48"/>
      <c r="I504" s="48"/>
    </row>
    <row r="505" spans="1:9" ht="21" customHeight="1" x14ac:dyDescent="0.2">
      <c r="A505" s="46"/>
      <c r="B505" s="46"/>
      <c r="C505" s="46"/>
      <c r="D505" s="46"/>
      <c r="E505" s="46"/>
      <c r="F505" s="47"/>
      <c r="G505" s="47"/>
      <c r="H505" s="48"/>
      <c r="I505" s="48"/>
    </row>
    <row r="506" spans="1:9" ht="21" customHeight="1" x14ac:dyDescent="0.2">
      <c r="A506" s="46"/>
      <c r="B506" s="46"/>
      <c r="C506" s="46"/>
      <c r="D506" s="46"/>
      <c r="E506" s="46"/>
      <c r="F506" s="47"/>
      <c r="G506" s="47"/>
      <c r="H506" s="48"/>
      <c r="I506" s="48"/>
    </row>
    <row r="507" spans="1:9" ht="21" customHeight="1" x14ac:dyDescent="0.2">
      <c r="A507" s="46"/>
      <c r="B507" s="46"/>
      <c r="C507" s="46"/>
      <c r="D507" s="46"/>
      <c r="E507" s="46"/>
      <c r="F507" s="47"/>
      <c r="G507" s="47"/>
      <c r="H507" s="48"/>
      <c r="I507" s="48"/>
    </row>
    <row r="508" spans="1:9" ht="21" customHeight="1" x14ac:dyDescent="0.2">
      <c r="A508" s="46"/>
      <c r="B508" s="46"/>
      <c r="C508" s="46"/>
      <c r="D508" s="46"/>
      <c r="E508" s="46"/>
      <c r="F508" s="47"/>
      <c r="G508" s="47"/>
      <c r="H508" s="48"/>
      <c r="I508" s="48"/>
    </row>
    <row r="509" spans="1:9" ht="21" customHeight="1" x14ac:dyDescent="0.2">
      <c r="A509" s="49"/>
      <c r="B509" s="49"/>
      <c r="C509" s="49"/>
      <c r="D509" s="49"/>
      <c r="E509" s="49"/>
      <c r="F509" s="50"/>
      <c r="G509" s="50"/>
      <c r="H509" s="51"/>
      <c r="I509" s="51"/>
    </row>
  </sheetData>
  <mergeCells count="4">
    <mergeCell ref="A1:I1"/>
    <mergeCell ref="A2:I2"/>
    <mergeCell ref="B5:I6"/>
    <mergeCell ref="A8:I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9"/>
  <sheetViews>
    <sheetView showGridLines="0" workbookViewId="0">
      <pane ySplit="9" topLeftCell="A10" activePane="bottomLeft" state="frozen"/>
      <selection pane="bottomLeft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48" customWidth="1"/>
    <col min="4" max="4" width="30" customWidth="1"/>
    <col min="5" max="5" width="18" customWidth="1"/>
    <col min="6" max="7" width="15" customWidth="1"/>
    <col min="8" max="8" width="18" customWidth="1"/>
    <col min="9" max="9" width="22" customWidth="1"/>
  </cols>
  <sheetData>
    <row r="1" spans="1:10" ht="32" customHeight="1" x14ac:dyDescent="0.15">
      <c r="A1" s="58" t="s">
        <v>50</v>
      </c>
      <c r="B1" s="58"/>
      <c r="C1" s="58"/>
      <c r="D1" s="58"/>
      <c r="E1" s="58"/>
      <c r="F1" s="58"/>
      <c r="G1" s="58"/>
      <c r="H1" s="58"/>
      <c r="I1" s="58"/>
    </row>
    <row r="2" spans="1:10" ht="27" customHeight="1" x14ac:dyDescent="0.15">
      <c r="A2" s="59" t="s">
        <v>51</v>
      </c>
      <c r="B2" s="59"/>
      <c r="C2" s="59"/>
      <c r="D2" s="59"/>
      <c r="E2" s="59"/>
      <c r="F2" s="59"/>
      <c r="G2" s="59"/>
      <c r="H2" s="59"/>
      <c r="I2" s="59"/>
    </row>
    <row r="4" spans="1:10" ht="14" x14ac:dyDescent="0.15">
      <c r="A4" s="42" t="s">
        <v>2</v>
      </c>
      <c r="B4" s="42">
        <v>5</v>
      </c>
      <c r="C4" s="42"/>
      <c r="D4" s="42" t="s">
        <v>22</v>
      </c>
      <c r="E4" s="43">
        <v>46330</v>
      </c>
      <c r="F4" s="42"/>
      <c r="G4" s="42" t="s">
        <v>23</v>
      </c>
      <c r="H4" s="43">
        <v>46339</v>
      </c>
    </row>
    <row r="5" spans="1:10" ht="24" customHeight="1" x14ac:dyDescent="0.15">
      <c r="A5" s="42" t="s">
        <v>36</v>
      </c>
      <c r="B5" s="62" t="s">
        <v>47</v>
      </c>
      <c r="C5" s="62"/>
      <c r="D5" s="62"/>
      <c r="E5" s="62"/>
      <c r="F5" s="62"/>
      <c r="G5" s="62"/>
      <c r="H5" s="62"/>
      <c r="I5" s="62"/>
    </row>
    <row r="6" spans="1:10" ht="24" customHeight="1" x14ac:dyDescent="0.15">
      <c r="A6" s="42"/>
      <c r="B6" s="62"/>
      <c r="C6" s="62"/>
      <c r="D6" s="62"/>
      <c r="E6" s="62"/>
      <c r="F6" s="62"/>
      <c r="G6" s="62"/>
      <c r="H6" s="62"/>
      <c r="I6" s="62"/>
    </row>
    <row r="7" spans="1:10" ht="14" x14ac:dyDescent="0.15">
      <c r="A7" s="44" t="s">
        <v>38</v>
      </c>
      <c r="B7" s="44">
        <f>COUNTIFS('Product Backlog'!$B$5:$B$504,5,'Product Backlog'!$C$5:$C$504,"&lt;&gt;")</f>
        <v>0</v>
      </c>
      <c r="C7" s="44" t="s">
        <v>17</v>
      </c>
      <c r="D7" s="44">
        <f>COUNTIFS('Product Backlog'!$B$5:$B$504,5,'Product Backlog'!$D$5:$D$504,"Done")+COUNTIFS('Product Backlog'!$B$5:$B$504,5,'Product Backlog'!$D$5:$D$504,"Completed")</f>
        <v>0</v>
      </c>
      <c r="E7" s="44" t="s">
        <v>39</v>
      </c>
      <c r="F7" s="44">
        <f>SUMIFS('Product Backlog'!$H$5:$H$504,'Product Backlog'!$B$5:$B$504,5)</f>
        <v>0</v>
      </c>
      <c r="G7" s="44" t="s">
        <v>40</v>
      </c>
      <c r="H7" s="44">
        <f>SUMIFS('Product Backlog'!$I$5:$I$504,'Product Backlog'!$B$5:$B$504,5)</f>
        <v>0</v>
      </c>
    </row>
    <row r="8" spans="1:10" ht="14" customHeight="1" x14ac:dyDescent="0.2">
      <c r="A8" s="63" t="s">
        <v>41</v>
      </c>
      <c r="B8" s="63"/>
      <c r="C8" s="63"/>
      <c r="D8" s="63"/>
      <c r="E8" s="63"/>
      <c r="F8" s="63"/>
      <c r="G8" s="63"/>
      <c r="H8" s="63"/>
      <c r="I8" s="63"/>
    </row>
    <row r="9" spans="1:10" ht="30" customHeight="1" x14ac:dyDescent="0.15">
      <c r="A9" s="45" t="s">
        <v>1</v>
      </c>
      <c r="B9" s="45" t="s">
        <v>2</v>
      </c>
      <c r="C9" s="45" t="s">
        <v>3</v>
      </c>
      <c r="D9" s="45" t="s">
        <v>4</v>
      </c>
      <c r="E9" s="45" t="s">
        <v>5</v>
      </c>
      <c r="F9" s="45" t="s">
        <v>6</v>
      </c>
      <c r="G9" s="45" t="s">
        <v>7</v>
      </c>
      <c r="H9" s="45" t="s">
        <v>8</v>
      </c>
      <c r="I9" s="45" t="s">
        <v>9</v>
      </c>
    </row>
    <row r="10" spans="1:10" ht="21" customHeight="1" x14ac:dyDescent="0.2">
      <c r="A10" s="46" t="str">
        <f>IF($J10="","",IF(ISBLANK(INDEX('Product Backlog'!$A$5:$A$504,$J10)),"",INDEX('Product Backlog'!$A$5:$A$504,$J10)))</f>
        <v/>
      </c>
      <c r="B10" s="46" t="str">
        <f>IF($J10="","",IF(ISBLANK(INDEX('Product Backlog'!$B$5:$B$504,$J10)),"",INDEX('Product Backlog'!$B$5:$B$504,$J10)))</f>
        <v/>
      </c>
      <c r="C10" s="46" t="str">
        <f>IF($J10="","",IF(ISBLANK(INDEX('Product Backlog'!$C$5:$C$504,$J10)),"",INDEX('Product Backlog'!$C$5:$C$504,$J10)))</f>
        <v/>
      </c>
      <c r="D10" s="46" t="str">
        <f>IF($J10="","",IF(ISBLANK(INDEX('Product Backlog'!$D$5:$D$504,$J10)),"",INDEX('Product Backlog'!$D$5:$D$504,$J10)))</f>
        <v/>
      </c>
      <c r="E10" s="46" t="str">
        <f>IF($J10="","",IF(ISBLANK(INDEX('Product Backlog'!$E$5:$E$504,$J10)),"",INDEX('Product Backlog'!$E$5:$E$504,$J10)))</f>
        <v/>
      </c>
      <c r="F10" s="47" t="str">
        <f>IF($J10="","",IF(ISBLANK(INDEX('Product Backlog'!$F$5:$F$504,$J10)),"",INDEX('Product Backlog'!$F$5:$F$504,$J10)))</f>
        <v/>
      </c>
      <c r="G10" s="47" t="str">
        <f>IF($J10="","",IF(ISBLANK(INDEX('Product Backlog'!$G$5:$G$504,$J10)),"",INDEX('Product Backlog'!$G$5:$G$504,$J10)))</f>
        <v/>
      </c>
      <c r="H10" s="48" t="str">
        <f>IF($J10="","",IF(ISBLANK(INDEX('Product Backlog'!$H$5:$H$504,$J10)),"",INDEX('Product Backlog'!$H$5:$H$504,$J10)))</f>
        <v/>
      </c>
      <c r="I10" s="48" t="str">
        <f>IF($J10="","",IF(ISBLANK(INDEX('Product Backlog'!$I$5:$I$504,$J10)),"",INDEX('Product Backlog'!$I$5:$I$504,$J10)))</f>
        <v/>
      </c>
      <c r="J10" t="str">
        <f>IFERROR(MATCH($B$4&amp;"-"&amp;ROWS($A$10:A10),'Product Backlog'!$J$5:$J$504,0),"")</f>
        <v/>
      </c>
    </row>
    <row r="11" spans="1:10" ht="21" customHeight="1" x14ac:dyDescent="0.2">
      <c r="A11" s="46" t="str">
        <f>IF($J11="","",IF(ISBLANK(INDEX('Product Backlog'!$A$5:$A$504,$J11)),"",INDEX('Product Backlog'!$A$5:$A$504,$J11)))</f>
        <v/>
      </c>
      <c r="B11" s="46" t="str">
        <f>IF($J11="","",IF(ISBLANK(INDEX('Product Backlog'!$B$5:$B$504,$J11)),"",INDEX('Product Backlog'!$B$5:$B$504,$J11)))</f>
        <v/>
      </c>
      <c r="C11" s="46" t="str">
        <f>IF($J11="","",IF(ISBLANK(INDEX('Product Backlog'!$C$5:$C$504,$J11)),"",INDEX('Product Backlog'!$C$5:$C$504,$J11)))</f>
        <v/>
      </c>
      <c r="D11" s="46" t="str">
        <f>IF($J11="","",IF(ISBLANK(INDEX('Product Backlog'!$D$5:$D$504,$J11)),"",INDEX('Product Backlog'!$D$5:$D$504,$J11)))</f>
        <v/>
      </c>
      <c r="E11" s="46" t="str">
        <f>IF($J11="","",IF(ISBLANK(INDEX('Product Backlog'!$E$5:$E$504,$J11)),"",INDEX('Product Backlog'!$E$5:$E$504,$J11)))</f>
        <v/>
      </c>
      <c r="F11" s="47" t="str">
        <f>IF($J11="","",IF(ISBLANK(INDEX('Product Backlog'!$F$5:$F$504,$J11)),"",INDEX('Product Backlog'!$F$5:$F$504,$J11)))</f>
        <v/>
      </c>
      <c r="G11" s="47" t="str">
        <f>IF($J11="","",IF(ISBLANK(INDEX('Product Backlog'!$G$5:$G$504,$J11)),"",INDEX('Product Backlog'!$G$5:$G$504,$J11)))</f>
        <v/>
      </c>
      <c r="H11" s="48" t="str">
        <f>IF($J11="","",IF(ISBLANK(INDEX('Product Backlog'!$H$5:$H$504,$J11)),"",INDEX('Product Backlog'!$H$5:$H$504,$J11)))</f>
        <v/>
      </c>
      <c r="I11" s="48" t="str">
        <f>IF($J11="","",IF(ISBLANK(INDEX('Product Backlog'!$I$5:$I$504,$J11)),"",INDEX('Product Backlog'!$I$5:$I$504,$J11)))</f>
        <v/>
      </c>
      <c r="J11" t="str">
        <f>IFERROR(MATCH($B$4&amp;"-"&amp;ROWS($A$10:A11),'Product Backlog'!$J$5:$J$504,0),"")</f>
        <v/>
      </c>
    </row>
    <row r="12" spans="1:10" ht="21" customHeight="1" x14ac:dyDescent="0.2">
      <c r="A12" s="46" t="str">
        <f>IF($J12="","",IF(ISBLANK(INDEX('Product Backlog'!$A$5:$A$504,$J12)),"",INDEX('Product Backlog'!$A$5:$A$504,$J12)))</f>
        <v/>
      </c>
      <c r="B12" s="46" t="str">
        <f>IF($J12="","",IF(ISBLANK(INDEX('Product Backlog'!$B$5:$B$504,$J12)),"",INDEX('Product Backlog'!$B$5:$B$504,$J12)))</f>
        <v/>
      </c>
      <c r="C12" s="46" t="str">
        <f>IF($J12="","",IF(ISBLANK(INDEX('Product Backlog'!$C$5:$C$504,$J12)),"",INDEX('Product Backlog'!$C$5:$C$504,$J12)))</f>
        <v/>
      </c>
      <c r="D12" s="46" t="str">
        <f>IF($J12="","",IF(ISBLANK(INDEX('Product Backlog'!$D$5:$D$504,$J12)),"",INDEX('Product Backlog'!$D$5:$D$504,$J12)))</f>
        <v/>
      </c>
      <c r="E12" s="46" t="str">
        <f>IF($J12="","",IF(ISBLANK(INDEX('Product Backlog'!$E$5:$E$504,$J12)),"",INDEX('Product Backlog'!$E$5:$E$504,$J12)))</f>
        <v/>
      </c>
      <c r="F12" s="47" t="str">
        <f>IF($J12="","",IF(ISBLANK(INDEX('Product Backlog'!$F$5:$F$504,$J12)),"",INDEX('Product Backlog'!$F$5:$F$504,$J12)))</f>
        <v/>
      </c>
      <c r="G12" s="47" t="str">
        <f>IF($J12="","",IF(ISBLANK(INDEX('Product Backlog'!$G$5:$G$504,$J12)),"",INDEX('Product Backlog'!$G$5:$G$504,$J12)))</f>
        <v/>
      </c>
      <c r="H12" s="48" t="str">
        <f>IF($J12="","",IF(ISBLANK(INDEX('Product Backlog'!$H$5:$H$504,$J12)),"",INDEX('Product Backlog'!$H$5:$H$504,$J12)))</f>
        <v/>
      </c>
      <c r="I12" s="48" t="str">
        <f>IF($J12="","",IF(ISBLANK(INDEX('Product Backlog'!$I$5:$I$504,$J12)),"",INDEX('Product Backlog'!$I$5:$I$504,$J12)))</f>
        <v/>
      </c>
      <c r="J12" t="str">
        <f>IFERROR(MATCH($B$4&amp;"-"&amp;ROWS($A$10:A12),'Product Backlog'!$J$5:$J$504,0),"")</f>
        <v/>
      </c>
    </row>
    <row r="13" spans="1:10" ht="21" customHeight="1" x14ac:dyDescent="0.2">
      <c r="A13" s="46" t="str">
        <f>IF($J13="","",IF(ISBLANK(INDEX('Product Backlog'!$A$5:$A$504,$J13)),"",INDEX('Product Backlog'!$A$5:$A$504,$J13)))</f>
        <v/>
      </c>
      <c r="B13" s="46" t="str">
        <f>IF($J13="","",IF(ISBLANK(INDEX('Product Backlog'!$B$5:$B$504,$J13)),"",INDEX('Product Backlog'!$B$5:$B$504,$J13)))</f>
        <v/>
      </c>
      <c r="C13" s="46" t="str">
        <f>IF($J13="","",IF(ISBLANK(INDEX('Product Backlog'!$C$5:$C$504,$J13)),"",INDEX('Product Backlog'!$C$5:$C$504,$J13)))</f>
        <v/>
      </c>
      <c r="D13" s="46" t="str">
        <f>IF($J13="","",IF(ISBLANK(INDEX('Product Backlog'!$D$5:$D$504,$J13)),"",INDEX('Product Backlog'!$D$5:$D$504,$J13)))</f>
        <v/>
      </c>
      <c r="E13" s="46" t="str">
        <f>IF($J13="","",IF(ISBLANK(INDEX('Product Backlog'!$E$5:$E$504,$J13)),"",INDEX('Product Backlog'!$E$5:$E$504,$J13)))</f>
        <v/>
      </c>
      <c r="F13" s="47" t="str">
        <f>IF($J13="","",IF(ISBLANK(INDEX('Product Backlog'!$F$5:$F$504,$J13)),"",INDEX('Product Backlog'!$F$5:$F$504,$J13)))</f>
        <v/>
      </c>
      <c r="G13" s="47" t="str">
        <f>IF($J13="","",IF(ISBLANK(INDEX('Product Backlog'!$G$5:$G$504,$J13)),"",INDEX('Product Backlog'!$G$5:$G$504,$J13)))</f>
        <v/>
      </c>
      <c r="H13" s="48" t="str">
        <f>IF($J13="","",IF(ISBLANK(INDEX('Product Backlog'!$H$5:$H$504,$J13)),"",INDEX('Product Backlog'!$H$5:$H$504,$J13)))</f>
        <v/>
      </c>
      <c r="I13" s="48" t="str">
        <f>IF($J13="","",IF(ISBLANK(INDEX('Product Backlog'!$I$5:$I$504,$J13)),"",INDEX('Product Backlog'!$I$5:$I$504,$J13)))</f>
        <v/>
      </c>
      <c r="J13" t="str">
        <f>IFERROR(MATCH($B$4&amp;"-"&amp;ROWS($A$10:A13),'Product Backlog'!$J$5:$J$504,0),"")</f>
        <v/>
      </c>
    </row>
    <row r="14" spans="1:10" ht="21" customHeight="1" x14ac:dyDescent="0.2">
      <c r="A14" s="46" t="str">
        <f>IF($J14="","",IF(ISBLANK(INDEX('Product Backlog'!$A$5:$A$504,$J14)),"",INDEX('Product Backlog'!$A$5:$A$504,$J14)))</f>
        <v/>
      </c>
      <c r="B14" s="46" t="str">
        <f>IF($J14="","",IF(ISBLANK(INDEX('Product Backlog'!$B$5:$B$504,$J14)),"",INDEX('Product Backlog'!$B$5:$B$504,$J14)))</f>
        <v/>
      </c>
      <c r="C14" s="46" t="str">
        <f>IF($J14="","",IF(ISBLANK(INDEX('Product Backlog'!$C$5:$C$504,$J14)),"",INDEX('Product Backlog'!$C$5:$C$504,$J14)))</f>
        <v/>
      </c>
      <c r="D14" s="46" t="str">
        <f>IF($J14="","",IF(ISBLANK(INDEX('Product Backlog'!$D$5:$D$504,$J14)),"",INDEX('Product Backlog'!$D$5:$D$504,$J14)))</f>
        <v/>
      </c>
      <c r="E14" s="46" t="str">
        <f>IF($J14="","",IF(ISBLANK(INDEX('Product Backlog'!$E$5:$E$504,$J14)),"",INDEX('Product Backlog'!$E$5:$E$504,$J14)))</f>
        <v/>
      </c>
      <c r="F14" s="47" t="str">
        <f>IF($J14="","",IF(ISBLANK(INDEX('Product Backlog'!$F$5:$F$504,$J14)),"",INDEX('Product Backlog'!$F$5:$F$504,$J14)))</f>
        <v/>
      </c>
      <c r="G14" s="47" t="str">
        <f>IF($J14="","",IF(ISBLANK(INDEX('Product Backlog'!$G$5:$G$504,$J14)),"",INDEX('Product Backlog'!$G$5:$G$504,$J14)))</f>
        <v/>
      </c>
      <c r="H14" s="48" t="str">
        <f>IF($J14="","",IF(ISBLANK(INDEX('Product Backlog'!$H$5:$H$504,$J14)),"",INDEX('Product Backlog'!$H$5:$H$504,$J14)))</f>
        <v/>
      </c>
      <c r="I14" s="48" t="str">
        <f>IF($J14="","",IF(ISBLANK(INDEX('Product Backlog'!$I$5:$I$504,$J14)),"",INDEX('Product Backlog'!$I$5:$I$504,$J14)))</f>
        <v/>
      </c>
      <c r="J14" t="str">
        <f>IFERROR(MATCH($B$4&amp;"-"&amp;ROWS($A$10:A14),'Product Backlog'!$J$5:$J$504,0),"")</f>
        <v/>
      </c>
    </row>
    <row r="15" spans="1:10" ht="21" customHeight="1" x14ac:dyDescent="0.2">
      <c r="A15" s="46" t="str">
        <f>IF($J15="","",IF(ISBLANK(INDEX('Product Backlog'!$A$5:$A$504,$J15)),"",INDEX('Product Backlog'!$A$5:$A$504,$J15)))</f>
        <v/>
      </c>
      <c r="B15" s="46" t="str">
        <f>IF($J15="","",IF(ISBLANK(INDEX('Product Backlog'!$B$5:$B$504,$J15)),"",INDEX('Product Backlog'!$B$5:$B$504,$J15)))</f>
        <v/>
      </c>
      <c r="C15" s="46" t="str">
        <f>IF($J15="","",IF(ISBLANK(INDEX('Product Backlog'!$C$5:$C$504,$J15)),"",INDEX('Product Backlog'!$C$5:$C$504,$J15)))</f>
        <v/>
      </c>
      <c r="D15" s="46" t="str">
        <f>IF($J15="","",IF(ISBLANK(INDEX('Product Backlog'!$D$5:$D$504,$J15)),"",INDEX('Product Backlog'!$D$5:$D$504,$J15)))</f>
        <v/>
      </c>
      <c r="E15" s="46" t="str">
        <f>IF($J15="","",IF(ISBLANK(INDEX('Product Backlog'!$E$5:$E$504,$J15)),"",INDEX('Product Backlog'!$E$5:$E$504,$J15)))</f>
        <v/>
      </c>
      <c r="F15" s="47" t="str">
        <f>IF($J15="","",IF(ISBLANK(INDEX('Product Backlog'!$F$5:$F$504,$J15)),"",INDEX('Product Backlog'!$F$5:$F$504,$J15)))</f>
        <v/>
      </c>
      <c r="G15" s="47" t="str">
        <f>IF($J15="","",IF(ISBLANK(INDEX('Product Backlog'!$G$5:$G$504,$J15)),"",INDEX('Product Backlog'!$G$5:$G$504,$J15)))</f>
        <v/>
      </c>
      <c r="H15" s="48" t="str">
        <f>IF($J15="","",IF(ISBLANK(INDEX('Product Backlog'!$H$5:$H$504,$J15)),"",INDEX('Product Backlog'!$H$5:$H$504,$J15)))</f>
        <v/>
      </c>
      <c r="I15" s="48" t="str">
        <f>IF($J15="","",IF(ISBLANK(INDEX('Product Backlog'!$I$5:$I$504,$J15)),"",INDEX('Product Backlog'!$I$5:$I$504,$J15)))</f>
        <v/>
      </c>
      <c r="J15" t="str">
        <f>IFERROR(MATCH($B$4&amp;"-"&amp;ROWS($A$10:A15),'Product Backlog'!$J$5:$J$504,0),"")</f>
        <v/>
      </c>
    </row>
    <row r="16" spans="1:10" ht="21" customHeight="1" x14ac:dyDescent="0.2">
      <c r="A16" s="46" t="str">
        <f>IF($J16="","",IF(ISBLANK(INDEX('Product Backlog'!$A$5:$A$504,$J16)),"",INDEX('Product Backlog'!$A$5:$A$504,$J16)))</f>
        <v/>
      </c>
      <c r="B16" s="46" t="str">
        <f>IF($J16="","",IF(ISBLANK(INDEX('Product Backlog'!$B$5:$B$504,$J16)),"",INDEX('Product Backlog'!$B$5:$B$504,$J16)))</f>
        <v/>
      </c>
      <c r="C16" s="46" t="str">
        <f>IF($J16="","",IF(ISBLANK(INDEX('Product Backlog'!$C$5:$C$504,$J16)),"",INDEX('Product Backlog'!$C$5:$C$504,$J16)))</f>
        <v/>
      </c>
      <c r="D16" s="46" t="str">
        <f>IF($J16="","",IF(ISBLANK(INDEX('Product Backlog'!$D$5:$D$504,$J16)),"",INDEX('Product Backlog'!$D$5:$D$504,$J16)))</f>
        <v/>
      </c>
      <c r="E16" s="46" t="str">
        <f>IF($J16="","",IF(ISBLANK(INDEX('Product Backlog'!$E$5:$E$504,$J16)),"",INDEX('Product Backlog'!$E$5:$E$504,$J16)))</f>
        <v/>
      </c>
      <c r="F16" s="47" t="str">
        <f>IF($J16="","",IF(ISBLANK(INDEX('Product Backlog'!$F$5:$F$504,$J16)),"",INDEX('Product Backlog'!$F$5:$F$504,$J16)))</f>
        <v/>
      </c>
      <c r="G16" s="47" t="str">
        <f>IF($J16="","",IF(ISBLANK(INDEX('Product Backlog'!$G$5:$G$504,$J16)),"",INDEX('Product Backlog'!$G$5:$G$504,$J16)))</f>
        <v/>
      </c>
      <c r="H16" s="48" t="str">
        <f>IF($J16="","",IF(ISBLANK(INDEX('Product Backlog'!$H$5:$H$504,$J16)),"",INDEX('Product Backlog'!$H$5:$H$504,$J16)))</f>
        <v/>
      </c>
      <c r="I16" s="48" t="str">
        <f>IF($J16="","",IF(ISBLANK(INDEX('Product Backlog'!$I$5:$I$504,$J16)),"",INDEX('Product Backlog'!$I$5:$I$504,$J16)))</f>
        <v/>
      </c>
      <c r="J16" t="str">
        <f>IFERROR(MATCH($B$4&amp;"-"&amp;ROWS($A$10:A16),'Product Backlog'!$J$5:$J$504,0),"")</f>
        <v/>
      </c>
    </row>
    <row r="17" spans="1:10" ht="21" customHeight="1" x14ac:dyDescent="0.2">
      <c r="A17" s="46" t="str">
        <f>IF($J17="","",IF(ISBLANK(INDEX('Product Backlog'!$A$5:$A$504,$J17)),"",INDEX('Product Backlog'!$A$5:$A$504,$J17)))</f>
        <v/>
      </c>
      <c r="B17" s="46" t="str">
        <f>IF($J17="","",IF(ISBLANK(INDEX('Product Backlog'!$B$5:$B$504,$J17)),"",INDEX('Product Backlog'!$B$5:$B$504,$J17)))</f>
        <v/>
      </c>
      <c r="C17" s="46" t="str">
        <f>IF($J17="","",IF(ISBLANK(INDEX('Product Backlog'!$C$5:$C$504,$J17)),"",INDEX('Product Backlog'!$C$5:$C$504,$J17)))</f>
        <v/>
      </c>
      <c r="D17" s="46" t="str">
        <f>IF($J17="","",IF(ISBLANK(INDEX('Product Backlog'!$D$5:$D$504,$J17)),"",INDEX('Product Backlog'!$D$5:$D$504,$J17)))</f>
        <v/>
      </c>
      <c r="E17" s="46" t="str">
        <f>IF($J17="","",IF(ISBLANK(INDEX('Product Backlog'!$E$5:$E$504,$J17)),"",INDEX('Product Backlog'!$E$5:$E$504,$J17)))</f>
        <v/>
      </c>
      <c r="F17" s="47" t="str">
        <f>IF($J17="","",IF(ISBLANK(INDEX('Product Backlog'!$F$5:$F$504,$J17)),"",INDEX('Product Backlog'!$F$5:$F$504,$J17)))</f>
        <v/>
      </c>
      <c r="G17" s="47" t="str">
        <f>IF($J17="","",IF(ISBLANK(INDEX('Product Backlog'!$G$5:$G$504,$J17)),"",INDEX('Product Backlog'!$G$5:$G$504,$J17)))</f>
        <v/>
      </c>
      <c r="H17" s="48" t="str">
        <f>IF($J17="","",IF(ISBLANK(INDEX('Product Backlog'!$H$5:$H$504,$J17)),"",INDEX('Product Backlog'!$H$5:$H$504,$J17)))</f>
        <v/>
      </c>
      <c r="I17" s="48" t="str">
        <f>IF($J17="","",IF(ISBLANK(INDEX('Product Backlog'!$I$5:$I$504,$J17)),"",INDEX('Product Backlog'!$I$5:$I$504,$J17)))</f>
        <v/>
      </c>
      <c r="J17" t="str">
        <f>IFERROR(MATCH($B$4&amp;"-"&amp;ROWS($A$10:A17),'Product Backlog'!$J$5:$J$504,0),"")</f>
        <v/>
      </c>
    </row>
    <row r="18" spans="1:10" ht="21" customHeight="1" x14ac:dyDescent="0.2">
      <c r="A18" s="46" t="str">
        <f>IF($J18="","",IF(ISBLANK(INDEX('Product Backlog'!$A$5:$A$504,$J18)),"",INDEX('Product Backlog'!$A$5:$A$504,$J18)))</f>
        <v/>
      </c>
      <c r="B18" s="46" t="str">
        <f>IF($J18="","",IF(ISBLANK(INDEX('Product Backlog'!$B$5:$B$504,$J18)),"",INDEX('Product Backlog'!$B$5:$B$504,$J18)))</f>
        <v/>
      </c>
      <c r="C18" s="46" t="str">
        <f>IF($J18="","",IF(ISBLANK(INDEX('Product Backlog'!$C$5:$C$504,$J18)),"",INDEX('Product Backlog'!$C$5:$C$504,$J18)))</f>
        <v/>
      </c>
      <c r="D18" s="46" t="str">
        <f>IF($J18="","",IF(ISBLANK(INDEX('Product Backlog'!$D$5:$D$504,$J18)),"",INDEX('Product Backlog'!$D$5:$D$504,$J18)))</f>
        <v/>
      </c>
      <c r="E18" s="46" t="str">
        <f>IF($J18="","",IF(ISBLANK(INDEX('Product Backlog'!$E$5:$E$504,$J18)),"",INDEX('Product Backlog'!$E$5:$E$504,$J18)))</f>
        <v/>
      </c>
      <c r="F18" s="47" t="str">
        <f>IF($J18="","",IF(ISBLANK(INDEX('Product Backlog'!$F$5:$F$504,$J18)),"",INDEX('Product Backlog'!$F$5:$F$504,$J18)))</f>
        <v/>
      </c>
      <c r="G18" s="47" t="str">
        <f>IF($J18="","",IF(ISBLANK(INDEX('Product Backlog'!$G$5:$G$504,$J18)),"",INDEX('Product Backlog'!$G$5:$G$504,$J18)))</f>
        <v/>
      </c>
      <c r="H18" s="48" t="str">
        <f>IF($J18="","",IF(ISBLANK(INDEX('Product Backlog'!$H$5:$H$504,$J18)),"",INDEX('Product Backlog'!$H$5:$H$504,$J18)))</f>
        <v/>
      </c>
      <c r="I18" s="48" t="str">
        <f>IF($J18="","",IF(ISBLANK(INDEX('Product Backlog'!$I$5:$I$504,$J18)),"",INDEX('Product Backlog'!$I$5:$I$504,$J18)))</f>
        <v/>
      </c>
      <c r="J18" t="str">
        <f>IFERROR(MATCH($B$4&amp;"-"&amp;ROWS($A$10:A18),'Product Backlog'!$J$5:$J$504,0),"")</f>
        <v/>
      </c>
    </row>
    <row r="19" spans="1:10" ht="21" customHeight="1" x14ac:dyDescent="0.2">
      <c r="A19" s="46" t="str">
        <f>IF($J19="","",IF(ISBLANK(INDEX('Product Backlog'!$A$5:$A$504,$J19)),"",INDEX('Product Backlog'!$A$5:$A$504,$J19)))</f>
        <v/>
      </c>
      <c r="B19" s="46" t="str">
        <f>IF($J19="","",IF(ISBLANK(INDEX('Product Backlog'!$B$5:$B$504,$J19)),"",INDEX('Product Backlog'!$B$5:$B$504,$J19)))</f>
        <v/>
      </c>
      <c r="C19" s="46" t="str">
        <f>IF($J19="","",IF(ISBLANK(INDEX('Product Backlog'!$C$5:$C$504,$J19)),"",INDEX('Product Backlog'!$C$5:$C$504,$J19)))</f>
        <v/>
      </c>
      <c r="D19" s="46" t="str">
        <f>IF($J19="","",IF(ISBLANK(INDEX('Product Backlog'!$D$5:$D$504,$J19)),"",INDEX('Product Backlog'!$D$5:$D$504,$J19)))</f>
        <v/>
      </c>
      <c r="E19" s="46" t="str">
        <f>IF($J19="","",IF(ISBLANK(INDEX('Product Backlog'!$E$5:$E$504,$J19)),"",INDEX('Product Backlog'!$E$5:$E$504,$J19)))</f>
        <v/>
      </c>
      <c r="F19" s="47" t="str">
        <f>IF($J19="","",IF(ISBLANK(INDEX('Product Backlog'!$F$5:$F$504,$J19)),"",INDEX('Product Backlog'!$F$5:$F$504,$J19)))</f>
        <v/>
      </c>
      <c r="G19" s="47" t="str">
        <f>IF($J19="","",IF(ISBLANK(INDEX('Product Backlog'!$G$5:$G$504,$J19)),"",INDEX('Product Backlog'!$G$5:$G$504,$J19)))</f>
        <v/>
      </c>
      <c r="H19" s="48" t="str">
        <f>IF($J19="","",IF(ISBLANK(INDEX('Product Backlog'!$H$5:$H$504,$J19)),"",INDEX('Product Backlog'!$H$5:$H$504,$J19)))</f>
        <v/>
      </c>
      <c r="I19" s="48" t="str">
        <f>IF($J19="","",IF(ISBLANK(INDEX('Product Backlog'!$I$5:$I$504,$J19)),"",INDEX('Product Backlog'!$I$5:$I$504,$J19)))</f>
        <v/>
      </c>
      <c r="J19" t="str">
        <f>IFERROR(MATCH($B$4&amp;"-"&amp;ROWS($A$10:A19),'Product Backlog'!$J$5:$J$504,0),"")</f>
        <v/>
      </c>
    </row>
    <row r="20" spans="1:10" ht="21" customHeight="1" x14ac:dyDescent="0.2">
      <c r="A20" s="46" t="str">
        <f>IF($J20="","",IF(ISBLANK(INDEX('Product Backlog'!$A$5:$A$504,$J20)),"",INDEX('Product Backlog'!$A$5:$A$504,$J20)))</f>
        <v/>
      </c>
      <c r="B20" s="46" t="str">
        <f>IF($J20="","",IF(ISBLANK(INDEX('Product Backlog'!$B$5:$B$504,$J20)),"",INDEX('Product Backlog'!$B$5:$B$504,$J20)))</f>
        <v/>
      </c>
      <c r="C20" s="46" t="str">
        <f>IF($J20="","",IF(ISBLANK(INDEX('Product Backlog'!$C$5:$C$504,$J20)),"",INDEX('Product Backlog'!$C$5:$C$504,$J20)))</f>
        <v/>
      </c>
      <c r="D20" s="46" t="str">
        <f>IF($J20="","",IF(ISBLANK(INDEX('Product Backlog'!$D$5:$D$504,$J20)),"",INDEX('Product Backlog'!$D$5:$D$504,$J20)))</f>
        <v/>
      </c>
      <c r="E20" s="46" t="str">
        <f>IF($J20="","",IF(ISBLANK(INDEX('Product Backlog'!$E$5:$E$504,$J20)),"",INDEX('Product Backlog'!$E$5:$E$504,$J20)))</f>
        <v/>
      </c>
      <c r="F20" s="47" t="str">
        <f>IF($J20="","",IF(ISBLANK(INDEX('Product Backlog'!$F$5:$F$504,$J20)),"",INDEX('Product Backlog'!$F$5:$F$504,$J20)))</f>
        <v/>
      </c>
      <c r="G20" s="47" t="str">
        <f>IF($J20="","",IF(ISBLANK(INDEX('Product Backlog'!$G$5:$G$504,$J20)),"",INDEX('Product Backlog'!$G$5:$G$504,$J20)))</f>
        <v/>
      </c>
      <c r="H20" s="48" t="str">
        <f>IF($J20="","",IF(ISBLANK(INDEX('Product Backlog'!$H$5:$H$504,$J20)),"",INDEX('Product Backlog'!$H$5:$H$504,$J20)))</f>
        <v/>
      </c>
      <c r="I20" s="48" t="str">
        <f>IF($J20="","",IF(ISBLANK(INDEX('Product Backlog'!$I$5:$I$504,$J20)),"",INDEX('Product Backlog'!$I$5:$I$504,$J20)))</f>
        <v/>
      </c>
      <c r="J20" t="str">
        <f>IFERROR(MATCH($B$4&amp;"-"&amp;ROWS($A$10:A20),'Product Backlog'!$J$5:$J$504,0),"")</f>
        <v/>
      </c>
    </row>
    <row r="21" spans="1:10" ht="21" customHeight="1" x14ac:dyDescent="0.2">
      <c r="A21" s="46" t="str">
        <f>IF($J21="","",IF(ISBLANK(INDEX('Product Backlog'!$A$5:$A$504,$J21)),"",INDEX('Product Backlog'!$A$5:$A$504,$J21)))</f>
        <v/>
      </c>
      <c r="B21" s="46" t="str">
        <f>IF($J21="","",IF(ISBLANK(INDEX('Product Backlog'!$B$5:$B$504,$J21)),"",INDEX('Product Backlog'!$B$5:$B$504,$J21)))</f>
        <v/>
      </c>
      <c r="C21" s="46" t="str">
        <f>IF($J21="","",IF(ISBLANK(INDEX('Product Backlog'!$C$5:$C$504,$J21)),"",INDEX('Product Backlog'!$C$5:$C$504,$J21)))</f>
        <v/>
      </c>
      <c r="D21" s="46" t="str">
        <f>IF($J21="","",IF(ISBLANK(INDEX('Product Backlog'!$D$5:$D$504,$J21)),"",INDEX('Product Backlog'!$D$5:$D$504,$J21)))</f>
        <v/>
      </c>
      <c r="E21" s="46" t="str">
        <f>IF($J21="","",IF(ISBLANK(INDEX('Product Backlog'!$E$5:$E$504,$J21)),"",INDEX('Product Backlog'!$E$5:$E$504,$J21)))</f>
        <v/>
      </c>
      <c r="F21" s="47" t="str">
        <f>IF($J21="","",IF(ISBLANK(INDEX('Product Backlog'!$F$5:$F$504,$J21)),"",INDEX('Product Backlog'!$F$5:$F$504,$J21)))</f>
        <v/>
      </c>
      <c r="G21" s="47" t="str">
        <f>IF($J21="","",IF(ISBLANK(INDEX('Product Backlog'!$G$5:$G$504,$J21)),"",INDEX('Product Backlog'!$G$5:$G$504,$J21)))</f>
        <v/>
      </c>
      <c r="H21" s="48" t="str">
        <f>IF($J21="","",IF(ISBLANK(INDEX('Product Backlog'!$H$5:$H$504,$J21)),"",INDEX('Product Backlog'!$H$5:$H$504,$J21)))</f>
        <v/>
      </c>
      <c r="I21" s="48" t="str">
        <f>IF($J21="","",IF(ISBLANK(INDEX('Product Backlog'!$I$5:$I$504,$J21)),"",INDEX('Product Backlog'!$I$5:$I$504,$J21)))</f>
        <v/>
      </c>
      <c r="J21" t="str">
        <f>IFERROR(MATCH($B$4&amp;"-"&amp;ROWS($A$10:A21),'Product Backlog'!$J$5:$J$504,0),"")</f>
        <v/>
      </c>
    </row>
    <row r="22" spans="1:10" ht="21" customHeight="1" x14ac:dyDescent="0.2">
      <c r="A22" s="46" t="str">
        <f>IF($J22="","",IF(ISBLANK(INDEX('Product Backlog'!$A$5:$A$504,$J22)),"",INDEX('Product Backlog'!$A$5:$A$504,$J22)))</f>
        <v/>
      </c>
      <c r="B22" s="46" t="str">
        <f>IF($J22="","",IF(ISBLANK(INDEX('Product Backlog'!$B$5:$B$504,$J22)),"",INDEX('Product Backlog'!$B$5:$B$504,$J22)))</f>
        <v/>
      </c>
      <c r="C22" s="46" t="str">
        <f>IF($J22="","",IF(ISBLANK(INDEX('Product Backlog'!$C$5:$C$504,$J22)),"",INDEX('Product Backlog'!$C$5:$C$504,$J22)))</f>
        <v/>
      </c>
      <c r="D22" s="46" t="str">
        <f>IF($J22="","",IF(ISBLANK(INDEX('Product Backlog'!$D$5:$D$504,$J22)),"",INDEX('Product Backlog'!$D$5:$D$504,$J22)))</f>
        <v/>
      </c>
      <c r="E22" s="46" t="str">
        <f>IF($J22="","",IF(ISBLANK(INDEX('Product Backlog'!$E$5:$E$504,$J22)),"",INDEX('Product Backlog'!$E$5:$E$504,$J22)))</f>
        <v/>
      </c>
      <c r="F22" s="47" t="str">
        <f>IF($J22="","",IF(ISBLANK(INDEX('Product Backlog'!$F$5:$F$504,$J22)),"",INDEX('Product Backlog'!$F$5:$F$504,$J22)))</f>
        <v/>
      </c>
      <c r="G22" s="47" t="str">
        <f>IF($J22="","",IF(ISBLANK(INDEX('Product Backlog'!$G$5:$G$504,$J22)),"",INDEX('Product Backlog'!$G$5:$G$504,$J22)))</f>
        <v/>
      </c>
      <c r="H22" s="48" t="str">
        <f>IF($J22="","",IF(ISBLANK(INDEX('Product Backlog'!$H$5:$H$504,$J22)),"",INDEX('Product Backlog'!$H$5:$H$504,$J22)))</f>
        <v/>
      </c>
      <c r="I22" s="48" t="str">
        <f>IF($J22="","",IF(ISBLANK(INDEX('Product Backlog'!$I$5:$I$504,$J22)),"",INDEX('Product Backlog'!$I$5:$I$504,$J22)))</f>
        <v/>
      </c>
      <c r="J22" t="str">
        <f>IFERROR(MATCH($B$4&amp;"-"&amp;ROWS($A$10:A22),'Product Backlog'!$J$5:$J$504,0),"")</f>
        <v/>
      </c>
    </row>
    <row r="23" spans="1:10" ht="21" customHeight="1" x14ac:dyDescent="0.2">
      <c r="A23" s="46" t="str">
        <f>IF($J23="","",IF(ISBLANK(INDEX('Product Backlog'!$A$5:$A$504,$J23)),"",INDEX('Product Backlog'!$A$5:$A$504,$J23)))</f>
        <v/>
      </c>
      <c r="B23" s="46" t="str">
        <f>IF($J23="","",IF(ISBLANK(INDEX('Product Backlog'!$B$5:$B$504,$J23)),"",INDEX('Product Backlog'!$B$5:$B$504,$J23)))</f>
        <v/>
      </c>
      <c r="C23" s="46" t="str">
        <f>IF($J23="","",IF(ISBLANK(INDEX('Product Backlog'!$C$5:$C$504,$J23)),"",INDEX('Product Backlog'!$C$5:$C$504,$J23)))</f>
        <v/>
      </c>
      <c r="D23" s="46" t="str">
        <f>IF($J23="","",IF(ISBLANK(INDEX('Product Backlog'!$D$5:$D$504,$J23)),"",INDEX('Product Backlog'!$D$5:$D$504,$J23)))</f>
        <v/>
      </c>
      <c r="E23" s="46" t="str">
        <f>IF($J23="","",IF(ISBLANK(INDEX('Product Backlog'!$E$5:$E$504,$J23)),"",INDEX('Product Backlog'!$E$5:$E$504,$J23)))</f>
        <v/>
      </c>
      <c r="F23" s="47" t="str">
        <f>IF($J23="","",IF(ISBLANK(INDEX('Product Backlog'!$F$5:$F$504,$J23)),"",INDEX('Product Backlog'!$F$5:$F$504,$J23)))</f>
        <v/>
      </c>
      <c r="G23" s="47" t="str">
        <f>IF($J23="","",IF(ISBLANK(INDEX('Product Backlog'!$G$5:$G$504,$J23)),"",INDEX('Product Backlog'!$G$5:$G$504,$J23)))</f>
        <v/>
      </c>
      <c r="H23" s="48" t="str">
        <f>IF($J23="","",IF(ISBLANK(INDEX('Product Backlog'!$H$5:$H$504,$J23)),"",INDEX('Product Backlog'!$H$5:$H$504,$J23)))</f>
        <v/>
      </c>
      <c r="I23" s="48" t="str">
        <f>IF($J23="","",IF(ISBLANK(INDEX('Product Backlog'!$I$5:$I$504,$J23)),"",INDEX('Product Backlog'!$I$5:$I$504,$J23)))</f>
        <v/>
      </c>
      <c r="J23" t="str">
        <f>IFERROR(MATCH($B$4&amp;"-"&amp;ROWS($A$10:A23),'Product Backlog'!$J$5:$J$504,0),"")</f>
        <v/>
      </c>
    </row>
    <row r="24" spans="1:10" ht="21" customHeight="1" x14ac:dyDescent="0.2">
      <c r="A24" s="46" t="str">
        <f>IF($J24="","",IF(ISBLANK(INDEX('Product Backlog'!$A$5:$A$504,$J24)),"",INDEX('Product Backlog'!$A$5:$A$504,$J24)))</f>
        <v/>
      </c>
      <c r="B24" s="46" t="str">
        <f>IF($J24="","",IF(ISBLANK(INDEX('Product Backlog'!$B$5:$B$504,$J24)),"",INDEX('Product Backlog'!$B$5:$B$504,$J24)))</f>
        <v/>
      </c>
      <c r="C24" s="46" t="str">
        <f>IF($J24="","",IF(ISBLANK(INDEX('Product Backlog'!$C$5:$C$504,$J24)),"",INDEX('Product Backlog'!$C$5:$C$504,$J24)))</f>
        <v/>
      </c>
      <c r="D24" s="46" t="str">
        <f>IF($J24="","",IF(ISBLANK(INDEX('Product Backlog'!$D$5:$D$504,$J24)),"",INDEX('Product Backlog'!$D$5:$D$504,$J24)))</f>
        <v/>
      </c>
      <c r="E24" s="46" t="str">
        <f>IF($J24="","",IF(ISBLANK(INDEX('Product Backlog'!$E$5:$E$504,$J24)),"",INDEX('Product Backlog'!$E$5:$E$504,$J24)))</f>
        <v/>
      </c>
      <c r="F24" s="47" t="str">
        <f>IF($J24="","",IF(ISBLANK(INDEX('Product Backlog'!$F$5:$F$504,$J24)),"",INDEX('Product Backlog'!$F$5:$F$504,$J24)))</f>
        <v/>
      </c>
      <c r="G24" s="47" t="str">
        <f>IF($J24="","",IF(ISBLANK(INDEX('Product Backlog'!$G$5:$G$504,$J24)),"",INDEX('Product Backlog'!$G$5:$G$504,$J24)))</f>
        <v/>
      </c>
      <c r="H24" s="48" t="str">
        <f>IF($J24="","",IF(ISBLANK(INDEX('Product Backlog'!$H$5:$H$504,$J24)),"",INDEX('Product Backlog'!$H$5:$H$504,$J24)))</f>
        <v/>
      </c>
      <c r="I24" s="48" t="str">
        <f>IF($J24="","",IF(ISBLANK(INDEX('Product Backlog'!$I$5:$I$504,$J24)),"",INDEX('Product Backlog'!$I$5:$I$504,$J24)))</f>
        <v/>
      </c>
      <c r="J24" t="str">
        <f>IFERROR(MATCH($B$4&amp;"-"&amp;ROWS($A$10:A24),'Product Backlog'!$J$5:$J$504,0),"")</f>
        <v/>
      </c>
    </row>
    <row r="25" spans="1:10" ht="21" customHeight="1" x14ac:dyDescent="0.2">
      <c r="A25" s="46" t="str">
        <f>IF($J25="","",IF(ISBLANK(INDEX('Product Backlog'!$A$5:$A$504,$J25)),"",INDEX('Product Backlog'!$A$5:$A$504,$J25)))</f>
        <v/>
      </c>
      <c r="B25" s="46" t="str">
        <f>IF($J25="","",IF(ISBLANK(INDEX('Product Backlog'!$B$5:$B$504,$J25)),"",INDEX('Product Backlog'!$B$5:$B$504,$J25)))</f>
        <v/>
      </c>
      <c r="C25" s="46" t="str">
        <f>IF($J25="","",IF(ISBLANK(INDEX('Product Backlog'!$C$5:$C$504,$J25)),"",INDEX('Product Backlog'!$C$5:$C$504,$J25)))</f>
        <v/>
      </c>
      <c r="D25" s="46" t="str">
        <f>IF($J25="","",IF(ISBLANK(INDEX('Product Backlog'!$D$5:$D$504,$J25)),"",INDEX('Product Backlog'!$D$5:$D$504,$J25)))</f>
        <v/>
      </c>
      <c r="E25" s="46" t="str">
        <f>IF($J25="","",IF(ISBLANK(INDEX('Product Backlog'!$E$5:$E$504,$J25)),"",INDEX('Product Backlog'!$E$5:$E$504,$J25)))</f>
        <v/>
      </c>
      <c r="F25" s="47" t="str">
        <f>IF($J25="","",IF(ISBLANK(INDEX('Product Backlog'!$F$5:$F$504,$J25)),"",INDEX('Product Backlog'!$F$5:$F$504,$J25)))</f>
        <v/>
      </c>
      <c r="G25" s="47" t="str">
        <f>IF($J25="","",IF(ISBLANK(INDEX('Product Backlog'!$G$5:$G$504,$J25)),"",INDEX('Product Backlog'!$G$5:$G$504,$J25)))</f>
        <v/>
      </c>
      <c r="H25" s="48" t="str">
        <f>IF($J25="","",IF(ISBLANK(INDEX('Product Backlog'!$H$5:$H$504,$J25)),"",INDEX('Product Backlog'!$H$5:$H$504,$J25)))</f>
        <v/>
      </c>
      <c r="I25" s="48" t="str">
        <f>IF($J25="","",IF(ISBLANK(INDEX('Product Backlog'!$I$5:$I$504,$J25)),"",INDEX('Product Backlog'!$I$5:$I$504,$J25)))</f>
        <v/>
      </c>
      <c r="J25" t="str">
        <f>IFERROR(MATCH($B$4&amp;"-"&amp;ROWS($A$10:A25),'Product Backlog'!$J$5:$J$504,0),"")</f>
        <v/>
      </c>
    </row>
    <row r="26" spans="1:10" ht="21" customHeight="1" x14ac:dyDescent="0.2">
      <c r="A26" s="46" t="str">
        <f>IF($J26="","",IF(ISBLANK(INDEX('Product Backlog'!$A$5:$A$504,$J26)),"",INDEX('Product Backlog'!$A$5:$A$504,$J26)))</f>
        <v/>
      </c>
      <c r="B26" s="46" t="str">
        <f>IF($J26="","",IF(ISBLANK(INDEX('Product Backlog'!$B$5:$B$504,$J26)),"",INDEX('Product Backlog'!$B$5:$B$504,$J26)))</f>
        <v/>
      </c>
      <c r="C26" s="46" t="str">
        <f>IF($J26="","",IF(ISBLANK(INDEX('Product Backlog'!$C$5:$C$504,$J26)),"",INDEX('Product Backlog'!$C$5:$C$504,$J26)))</f>
        <v/>
      </c>
      <c r="D26" s="46" t="str">
        <f>IF($J26="","",IF(ISBLANK(INDEX('Product Backlog'!$D$5:$D$504,$J26)),"",INDEX('Product Backlog'!$D$5:$D$504,$J26)))</f>
        <v/>
      </c>
      <c r="E26" s="46" t="str">
        <f>IF($J26="","",IF(ISBLANK(INDEX('Product Backlog'!$E$5:$E$504,$J26)),"",INDEX('Product Backlog'!$E$5:$E$504,$J26)))</f>
        <v/>
      </c>
      <c r="F26" s="47" t="str">
        <f>IF($J26="","",IF(ISBLANK(INDEX('Product Backlog'!$F$5:$F$504,$J26)),"",INDEX('Product Backlog'!$F$5:$F$504,$J26)))</f>
        <v/>
      </c>
      <c r="G26" s="47" t="str">
        <f>IF($J26="","",IF(ISBLANK(INDEX('Product Backlog'!$G$5:$G$504,$J26)),"",INDEX('Product Backlog'!$G$5:$G$504,$J26)))</f>
        <v/>
      </c>
      <c r="H26" s="48" t="str">
        <f>IF($J26="","",IF(ISBLANK(INDEX('Product Backlog'!$H$5:$H$504,$J26)),"",INDEX('Product Backlog'!$H$5:$H$504,$J26)))</f>
        <v/>
      </c>
      <c r="I26" s="48" t="str">
        <f>IF($J26="","",IF(ISBLANK(INDEX('Product Backlog'!$I$5:$I$504,$J26)),"",INDEX('Product Backlog'!$I$5:$I$504,$J26)))</f>
        <v/>
      </c>
      <c r="J26" t="str">
        <f>IFERROR(MATCH($B$4&amp;"-"&amp;ROWS($A$10:A26),'Product Backlog'!$J$5:$J$504,0),"")</f>
        <v/>
      </c>
    </row>
    <row r="27" spans="1:10" ht="21" customHeight="1" x14ac:dyDescent="0.2">
      <c r="A27" s="46" t="str">
        <f>IF($J27="","",IF(ISBLANK(INDEX('Product Backlog'!$A$5:$A$504,$J27)),"",INDEX('Product Backlog'!$A$5:$A$504,$J27)))</f>
        <v/>
      </c>
      <c r="B27" s="46" t="str">
        <f>IF($J27="","",IF(ISBLANK(INDEX('Product Backlog'!$B$5:$B$504,$J27)),"",INDEX('Product Backlog'!$B$5:$B$504,$J27)))</f>
        <v/>
      </c>
      <c r="C27" s="46" t="str">
        <f>IF($J27="","",IF(ISBLANK(INDEX('Product Backlog'!$C$5:$C$504,$J27)),"",INDEX('Product Backlog'!$C$5:$C$504,$J27)))</f>
        <v/>
      </c>
      <c r="D27" s="46" t="str">
        <f>IF($J27="","",IF(ISBLANK(INDEX('Product Backlog'!$D$5:$D$504,$J27)),"",INDEX('Product Backlog'!$D$5:$D$504,$J27)))</f>
        <v/>
      </c>
      <c r="E27" s="46" t="str">
        <f>IF($J27="","",IF(ISBLANK(INDEX('Product Backlog'!$E$5:$E$504,$J27)),"",INDEX('Product Backlog'!$E$5:$E$504,$J27)))</f>
        <v/>
      </c>
      <c r="F27" s="47" t="str">
        <f>IF($J27="","",IF(ISBLANK(INDEX('Product Backlog'!$F$5:$F$504,$J27)),"",INDEX('Product Backlog'!$F$5:$F$504,$J27)))</f>
        <v/>
      </c>
      <c r="G27" s="47" t="str">
        <f>IF($J27="","",IF(ISBLANK(INDEX('Product Backlog'!$G$5:$G$504,$J27)),"",INDEX('Product Backlog'!$G$5:$G$504,$J27)))</f>
        <v/>
      </c>
      <c r="H27" s="48" t="str">
        <f>IF($J27="","",IF(ISBLANK(INDEX('Product Backlog'!$H$5:$H$504,$J27)),"",INDEX('Product Backlog'!$H$5:$H$504,$J27)))</f>
        <v/>
      </c>
      <c r="I27" s="48" t="str">
        <f>IF($J27="","",IF(ISBLANK(INDEX('Product Backlog'!$I$5:$I$504,$J27)),"",INDEX('Product Backlog'!$I$5:$I$504,$J27)))</f>
        <v/>
      </c>
      <c r="J27" t="str">
        <f>IFERROR(MATCH($B$4&amp;"-"&amp;ROWS($A$10:A27),'Product Backlog'!$J$5:$J$504,0),"")</f>
        <v/>
      </c>
    </row>
    <row r="28" spans="1:10" ht="21" customHeight="1" x14ac:dyDescent="0.2">
      <c r="A28" s="46" t="str">
        <f>IF($J28="","",IF(ISBLANK(INDEX('Product Backlog'!$A$5:$A$504,$J28)),"",INDEX('Product Backlog'!$A$5:$A$504,$J28)))</f>
        <v/>
      </c>
      <c r="B28" s="46" t="str">
        <f>IF($J28="","",IF(ISBLANK(INDEX('Product Backlog'!$B$5:$B$504,$J28)),"",INDEX('Product Backlog'!$B$5:$B$504,$J28)))</f>
        <v/>
      </c>
      <c r="C28" s="46" t="str">
        <f>IF($J28="","",IF(ISBLANK(INDEX('Product Backlog'!$C$5:$C$504,$J28)),"",INDEX('Product Backlog'!$C$5:$C$504,$J28)))</f>
        <v/>
      </c>
      <c r="D28" s="46" t="str">
        <f>IF($J28="","",IF(ISBLANK(INDEX('Product Backlog'!$D$5:$D$504,$J28)),"",INDEX('Product Backlog'!$D$5:$D$504,$J28)))</f>
        <v/>
      </c>
      <c r="E28" s="46" t="str">
        <f>IF($J28="","",IF(ISBLANK(INDEX('Product Backlog'!$E$5:$E$504,$J28)),"",INDEX('Product Backlog'!$E$5:$E$504,$J28)))</f>
        <v/>
      </c>
      <c r="F28" s="47" t="str">
        <f>IF($J28="","",IF(ISBLANK(INDEX('Product Backlog'!$F$5:$F$504,$J28)),"",INDEX('Product Backlog'!$F$5:$F$504,$J28)))</f>
        <v/>
      </c>
      <c r="G28" s="47" t="str">
        <f>IF($J28="","",IF(ISBLANK(INDEX('Product Backlog'!$G$5:$G$504,$J28)),"",INDEX('Product Backlog'!$G$5:$G$504,$J28)))</f>
        <v/>
      </c>
      <c r="H28" s="48" t="str">
        <f>IF($J28="","",IF(ISBLANK(INDEX('Product Backlog'!$H$5:$H$504,$J28)),"",INDEX('Product Backlog'!$H$5:$H$504,$J28)))</f>
        <v/>
      </c>
      <c r="I28" s="48" t="str">
        <f>IF($J28="","",IF(ISBLANK(INDEX('Product Backlog'!$I$5:$I$504,$J28)),"",INDEX('Product Backlog'!$I$5:$I$504,$J28)))</f>
        <v/>
      </c>
      <c r="J28" t="str">
        <f>IFERROR(MATCH($B$4&amp;"-"&amp;ROWS($A$10:A28),'Product Backlog'!$J$5:$J$504,0),"")</f>
        <v/>
      </c>
    </row>
    <row r="29" spans="1:10" ht="21" customHeight="1" x14ac:dyDescent="0.2">
      <c r="A29" s="46" t="str">
        <f>IF($J29="","",IF(ISBLANK(INDEX('Product Backlog'!$A$5:$A$504,$J29)),"",INDEX('Product Backlog'!$A$5:$A$504,$J29)))</f>
        <v/>
      </c>
      <c r="B29" s="46" t="str">
        <f>IF($J29="","",IF(ISBLANK(INDEX('Product Backlog'!$B$5:$B$504,$J29)),"",INDEX('Product Backlog'!$B$5:$B$504,$J29)))</f>
        <v/>
      </c>
      <c r="C29" s="46" t="str">
        <f>IF($J29="","",IF(ISBLANK(INDEX('Product Backlog'!$C$5:$C$504,$J29)),"",INDEX('Product Backlog'!$C$5:$C$504,$J29)))</f>
        <v/>
      </c>
      <c r="D29" s="46" t="str">
        <f>IF($J29="","",IF(ISBLANK(INDEX('Product Backlog'!$D$5:$D$504,$J29)),"",INDEX('Product Backlog'!$D$5:$D$504,$J29)))</f>
        <v/>
      </c>
      <c r="E29" s="46" t="str">
        <f>IF($J29="","",IF(ISBLANK(INDEX('Product Backlog'!$E$5:$E$504,$J29)),"",INDEX('Product Backlog'!$E$5:$E$504,$J29)))</f>
        <v/>
      </c>
      <c r="F29" s="47" t="str">
        <f>IF($J29="","",IF(ISBLANK(INDEX('Product Backlog'!$F$5:$F$504,$J29)),"",INDEX('Product Backlog'!$F$5:$F$504,$J29)))</f>
        <v/>
      </c>
      <c r="G29" s="47" t="str">
        <f>IF($J29="","",IF(ISBLANK(INDEX('Product Backlog'!$G$5:$G$504,$J29)),"",INDEX('Product Backlog'!$G$5:$G$504,$J29)))</f>
        <v/>
      </c>
      <c r="H29" s="48" t="str">
        <f>IF($J29="","",IF(ISBLANK(INDEX('Product Backlog'!$H$5:$H$504,$J29)),"",INDEX('Product Backlog'!$H$5:$H$504,$J29)))</f>
        <v/>
      </c>
      <c r="I29" s="48" t="str">
        <f>IF($J29="","",IF(ISBLANK(INDEX('Product Backlog'!$I$5:$I$504,$J29)),"",INDEX('Product Backlog'!$I$5:$I$504,$J29)))</f>
        <v/>
      </c>
      <c r="J29" t="str">
        <f>IFERROR(MATCH($B$4&amp;"-"&amp;ROWS($A$10:A29),'Product Backlog'!$J$5:$J$504,0),"")</f>
        <v/>
      </c>
    </row>
    <row r="30" spans="1:10" ht="21" customHeight="1" x14ac:dyDescent="0.2">
      <c r="A30" s="46" t="str">
        <f>IF($J30="","",IF(ISBLANK(INDEX('Product Backlog'!$A$5:$A$504,$J30)),"",INDEX('Product Backlog'!$A$5:$A$504,$J30)))</f>
        <v/>
      </c>
      <c r="B30" s="46" t="str">
        <f>IF($J30="","",IF(ISBLANK(INDEX('Product Backlog'!$B$5:$B$504,$J30)),"",INDEX('Product Backlog'!$B$5:$B$504,$J30)))</f>
        <v/>
      </c>
      <c r="C30" s="46" t="str">
        <f>IF($J30="","",IF(ISBLANK(INDEX('Product Backlog'!$C$5:$C$504,$J30)),"",INDEX('Product Backlog'!$C$5:$C$504,$J30)))</f>
        <v/>
      </c>
      <c r="D30" s="46" t="str">
        <f>IF($J30="","",IF(ISBLANK(INDEX('Product Backlog'!$D$5:$D$504,$J30)),"",INDEX('Product Backlog'!$D$5:$D$504,$J30)))</f>
        <v/>
      </c>
      <c r="E30" s="46" t="str">
        <f>IF($J30="","",IF(ISBLANK(INDEX('Product Backlog'!$E$5:$E$504,$J30)),"",INDEX('Product Backlog'!$E$5:$E$504,$J30)))</f>
        <v/>
      </c>
      <c r="F30" s="47" t="str">
        <f>IF($J30="","",IF(ISBLANK(INDEX('Product Backlog'!$F$5:$F$504,$J30)),"",INDEX('Product Backlog'!$F$5:$F$504,$J30)))</f>
        <v/>
      </c>
      <c r="G30" s="47" t="str">
        <f>IF($J30="","",IF(ISBLANK(INDEX('Product Backlog'!$G$5:$G$504,$J30)),"",INDEX('Product Backlog'!$G$5:$G$504,$J30)))</f>
        <v/>
      </c>
      <c r="H30" s="48" t="str">
        <f>IF($J30="","",IF(ISBLANK(INDEX('Product Backlog'!$H$5:$H$504,$J30)),"",INDEX('Product Backlog'!$H$5:$H$504,$J30)))</f>
        <v/>
      </c>
      <c r="I30" s="48" t="str">
        <f>IF($J30="","",IF(ISBLANK(INDEX('Product Backlog'!$I$5:$I$504,$J30)),"",INDEX('Product Backlog'!$I$5:$I$504,$J30)))</f>
        <v/>
      </c>
      <c r="J30" t="str">
        <f>IFERROR(MATCH($B$4&amp;"-"&amp;ROWS($A$10:A30),'Product Backlog'!$J$5:$J$504,0),"")</f>
        <v/>
      </c>
    </row>
    <row r="31" spans="1:10" ht="21" customHeight="1" x14ac:dyDescent="0.2">
      <c r="A31" s="46" t="str">
        <f>IF($J31="","",IF(ISBLANK(INDEX('Product Backlog'!$A$5:$A$504,$J31)),"",INDEX('Product Backlog'!$A$5:$A$504,$J31)))</f>
        <v/>
      </c>
      <c r="B31" s="46" t="str">
        <f>IF($J31="","",IF(ISBLANK(INDEX('Product Backlog'!$B$5:$B$504,$J31)),"",INDEX('Product Backlog'!$B$5:$B$504,$J31)))</f>
        <v/>
      </c>
      <c r="C31" s="46" t="str">
        <f>IF($J31="","",IF(ISBLANK(INDEX('Product Backlog'!$C$5:$C$504,$J31)),"",INDEX('Product Backlog'!$C$5:$C$504,$J31)))</f>
        <v/>
      </c>
      <c r="D31" s="46" t="str">
        <f>IF($J31="","",IF(ISBLANK(INDEX('Product Backlog'!$D$5:$D$504,$J31)),"",INDEX('Product Backlog'!$D$5:$D$504,$J31)))</f>
        <v/>
      </c>
      <c r="E31" s="46" t="str">
        <f>IF($J31="","",IF(ISBLANK(INDEX('Product Backlog'!$E$5:$E$504,$J31)),"",INDEX('Product Backlog'!$E$5:$E$504,$J31)))</f>
        <v/>
      </c>
      <c r="F31" s="47" t="str">
        <f>IF($J31="","",IF(ISBLANK(INDEX('Product Backlog'!$F$5:$F$504,$J31)),"",INDEX('Product Backlog'!$F$5:$F$504,$J31)))</f>
        <v/>
      </c>
      <c r="G31" s="47" t="str">
        <f>IF($J31="","",IF(ISBLANK(INDEX('Product Backlog'!$G$5:$G$504,$J31)),"",INDEX('Product Backlog'!$G$5:$G$504,$J31)))</f>
        <v/>
      </c>
      <c r="H31" s="48" t="str">
        <f>IF($J31="","",IF(ISBLANK(INDEX('Product Backlog'!$H$5:$H$504,$J31)),"",INDEX('Product Backlog'!$H$5:$H$504,$J31)))</f>
        <v/>
      </c>
      <c r="I31" s="48" t="str">
        <f>IF($J31="","",IF(ISBLANK(INDEX('Product Backlog'!$I$5:$I$504,$J31)),"",INDEX('Product Backlog'!$I$5:$I$504,$J31)))</f>
        <v/>
      </c>
      <c r="J31" t="str">
        <f>IFERROR(MATCH($B$4&amp;"-"&amp;ROWS($A$10:A31),'Product Backlog'!$J$5:$J$504,0),"")</f>
        <v/>
      </c>
    </row>
    <row r="32" spans="1:10" ht="21" customHeight="1" x14ac:dyDescent="0.2">
      <c r="A32" s="46" t="str">
        <f>IF($J32="","",IF(ISBLANK(INDEX('Product Backlog'!$A$5:$A$504,$J32)),"",INDEX('Product Backlog'!$A$5:$A$504,$J32)))</f>
        <v/>
      </c>
      <c r="B32" s="46" t="str">
        <f>IF($J32="","",IF(ISBLANK(INDEX('Product Backlog'!$B$5:$B$504,$J32)),"",INDEX('Product Backlog'!$B$5:$B$504,$J32)))</f>
        <v/>
      </c>
      <c r="C32" s="46" t="str">
        <f>IF($J32="","",IF(ISBLANK(INDEX('Product Backlog'!$C$5:$C$504,$J32)),"",INDEX('Product Backlog'!$C$5:$C$504,$J32)))</f>
        <v/>
      </c>
      <c r="D32" s="46" t="str">
        <f>IF($J32="","",IF(ISBLANK(INDEX('Product Backlog'!$D$5:$D$504,$J32)),"",INDEX('Product Backlog'!$D$5:$D$504,$J32)))</f>
        <v/>
      </c>
      <c r="E32" s="46" t="str">
        <f>IF($J32="","",IF(ISBLANK(INDEX('Product Backlog'!$E$5:$E$504,$J32)),"",INDEX('Product Backlog'!$E$5:$E$504,$J32)))</f>
        <v/>
      </c>
      <c r="F32" s="47" t="str">
        <f>IF($J32="","",IF(ISBLANK(INDEX('Product Backlog'!$F$5:$F$504,$J32)),"",INDEX('Product Backlog'!$F$5:$F$504,$J32)))</f>
        <v/>
      </c>
      <c r="G32" s="47" t="str">
        <f>IF($J32="","",IF(ISBLANK(INDEX('Product Backlog'!$G$5:$G$504,$J32)),"",INDEX('Product Backlog'!$G$5:$G$504,$J32)))</f>
        <v/>
      </c>
      <c r="H32" s="48" t="str">
        <f>IF($J32="","",IF(ISBLANK(INDEX('Product Backlog'!$H$5:$H$504,$J32)),"",INDEX('Product Backlog'!$H$5:$H$504,$J32)))</f>
        <v/>
      </c>
      <c r="I32" s="48" t="str">
        <f>IF($J32="","",IF(ISBLANK(INDEX('Product Backlog'!$I$5:$I$504,$J32)),"",INDEX('Product Backlog'!$I$5:$I$504,$J32)))</f>
        <v/>
      </c>
      <c r="J32" t="str">
        <f>IFERROR(MATCH($B$4&amp;"-"&amp;ROWS($A$10:A32),'Product Backlog'!$J$5:$J$504,0),"")</f>
        <v/>
      </c>
    </row>
    <row r="33" spans="1:10" ht="21" customHeight="1" x14ac:dyDescent="0.2">
      <c r="A33" s="46" t="str">
        <f>IF($J33="","",IF(ISBLANK(INDEX('Product Backlog'!$A$5:$A$504,$J33)),"",INDEX('Product Backlog'!$A$5:$A$504,$J33)))</f>
        <v/>
      </c>
      <c r="B33" s="46" t="str">
        <f>IF($J33="","",IF(ISBLANK(INDEX('Product Backlog'!$B$5:$B$504,$J33)),"",INDEX('Product Backlog'!$B$5:$B$504,$J33)))</f>
        <v/>
      </c>
      <c r="C33" s="46" t="str">
        <f>IF($J33="","",IF(ISBLANK(INDEX('Product Backlog'!$C$5:$C$504,$J33)),"",INDEX('Product Backlog'!$C$5:$C$504,$J33)))</f>
        <v/>
      </c>
      <c r="D33" s="46" t="str">
        <f>IF($J33="","",IF(ISBLANK(INDEX('Product Backlog'!$D$5:$D$504,$J33)),"",INDEX('Product Backlog'!$D$5:$D$504,$J33)))</f>
        <v/>
      </c>
      <c r="E33" s="46" t="str">
        <f>IF($J33="","",IF(ISBLANK(INDEX('Product Backlog'!$E$5:$E$504,$J33)),"",INDEX('Product Backlog'!$E$5:$E$504,$J33)))</f>
        <v/>
      </c>
      <c r="F33" s="47" t="str">
        <f>IF($J33="","",IF(ISBLANK(INDEX('Product Backlog'!$F$5:$F$504,$J33)),"",INDEX('Product Backlog'!$F$5:$F$504,$J33)))</f>
        <v/>
      </c>
      <c r="G33" s="47" t="str">
        <f>IF($J33="","",IF(ISBLANK(INDEX('Product Backlog'!$G$5:$G$504,$J33)),"",INDEX('Product Backlog'!$G$5:$G$504,$J33)))</f>
        <v/>
      </c>
      <c r="H33" s="48" t="str">
        <f>IF($J33="","",IF(ISBLANK(INDEX('Product Backlog'!$H$5:$H$504,$J33)),"",INDEX('Product Backlog'!$H$5:$H$504,$J33)))</f>
        <v/>
      </c>
      <c r="I33" s="48" t="str">
        <f>IF($J33="","",IF(ISBLANK(INDEX('Product Backlog'!$I$5:$I$504,$J33)),"",INDEX('Product Backlog'!$I$5:$I$504,$J33)))</f>
        <v/>
      </c>
      <c r="J33" t="str">
        <f>IFERROR(MATCH($B$4&amp;"-"&amp;ROWS($A$10:A33),'Product Backlog'!$J$5:$J$504,0),"")</f>
        <v/>
      </c>
    </row>
    <row r="34" spans="1:10" ht="21" customHeight="1" x14ac:dyDescent="0.2">
      <c r="A34" s="46" t="str">
        <f>IF($J34="","",IF(ISBLANK(INDEX('Product Backlog'!$A$5:$A$504,$J34)),"",INDEX('Product Backlog'!$A$5:$A$504,$J34)))</f>
        <v/>
      </c>
      <c r="B34" s="46" t="str">
        <f>IF($J34="","",IF(ISBLANK(INDEX('Product Backlog'!$B$5:$B$504,$J34)),"",INDEX('Product Backlog'!$B$5:$B$504,$J34)))</f>
        <v/>
      </c>
      <c r="C34" s="46" t="str">
        <f>IF($J34="","",IF(ISBLANK(INDEX('Product Backlog'!$C$5:$C$504,$J34)),"",INDEX('Product Backlog'!$C$5:$C$504,$J34)))</f>
        <v/>
      </c>
      <c r="D34" s="46" t="str">
        <f>IF($J34="","",IF(ISBLANK(INDEX('Product Backlog'!$D$5:$D$504,$J34)),"",INDEX('Product Backlog'!$D$5:$D$504,$J34)))</f>
        <v/>
      </c>
      <c r="E34" s="46" t="str">
        <f>IF($J34="","",IF(ISBLANK(INDEX('Product Backlog'!$E$5:$E$504,$J34)),"",INDEX('Product Backlog'!$E$5:$E$504,$J34)))</f>
        <v/>
      </c>
      <c r="F34" s="47" t="str">
        <f>IF($J34="","",IF(ISBLANK(INDEX('Product Backlog'!$F$5:$F$504,$J34)),"",INDEX('Product Backlog'!$F$5:$F$504,$J34)))</f>
        <v/>
      </c>
      <c r="G34" s="47" t="str">
        <f>IF($J34="","",IF(ISBLANK(INDEX('Product Backlog'!$G$5:$G$504,$J34)),"",INDEX('Product Backlog'!$G$5:$G$504,$J34)))</f>
        <v/>
      </c>
      <c r="H34" s="48" t="str">
        <f>IF($J34="","",IF(ISBLANK(INDEX('Product Backlog'!$H$5:$H$504,$J34)),"",INDEX('Product Backlog'!$H$5:$H$504,$J34)))</f>
        <v/>
      </c>
      <c r="I34" s="48" t="str">
        <f>IF($J34="","",IF(ISBLANK(INDEX('Product Backlog'!$I$5:$I$504,$J34)),"",INDEX('Product Backlog'!$I$5:$I$504,$J34)))</f>
        <v/>
      </c>
      <c r="J34" t="str">
        <f>IFERROR(MATCH($B$4&amp;"-"&amp;ROWS($A$10:A34),'Product Backlog'!$J$5:$J$504,0),"")</f>
        <v/>
      </c>
    </row>
    <row r="35" spans="1:10" ht="21" customHeight="1" x14ac:dyDescent="0.2">
      <c r="A35" s="46" t="str">
        <f>IF($J35="","",IF(ISBLANK(INDEX('Product Backlog'!$A$5:$A$504,$J35)),"",INDEX('Product Backlog'!$A$5:$A$504,$J35)))</f>
        <v/>
      </c>
      <c r="B35" s="46" t="str">
        <f>IF($J35="","",IF(ISBLANK(INDEX('Product Backlog'!$B$5:$B$504,$J35)),"",INDEX('Product Backlog'!$B$5:$B$504,$J35)))</f>
        <v/>
      </c>
      <c r="C35" s="46" t="str">
        <f>IF($J35="","",IF(ISBLANK(INDEX('Product Backlog'!$C$5:$C$504,$J35)),"",INDEX('Product Backlog'!$C$5:$C$504,$J35)))</f>
        <v/>
      </c>
      <c r="D35" s="46" t="str">
        <f>IF($J35="","",IF(ISBLANK(INDEX('Product Backlog'!$D$5:$D$504,$J35)),"",INDEX('Product Backlog'!$D$5:$D$504,$J35)))</f>
        <v/>
      </c>
      <c r="E35" s="46" t="str">
        <f>IF($J35="","",IF(ISBLANK(INDEX('Product Backlog'!$E$5:$E$504,$J35)),"",INDEX('Product Backlog'!$E$5:$E$504,$J35)))</f>
        <v/>
      </c>
      <c r="F35" s="47" t="str">
        <f>IF($J35="","",IF(ISBLANK(INDEX('Product Backlog'!$F$5:$F$504,$J35)),"",INDEX('Product Backlog'!$F$5:$F$504,$J35)))</f>
        <v/>
      </c>
      <c r="G35" s="47" t="str">
        <f>IF($J35="","",IF(ISBLANK(INDEX('Product Backlog'!$G$5:$G$504,$J35)),"",INDEX('Product Backlog'!$G$5:$G$504,$J35)))</f>
        <v/>
      </c>
      <c r="H35" s="48" t="str">
        <f>IF($J35="","",IF(ISBLANK(INDEX('Product Backlog'!$H$5:$H$504,$J35)),"",INDEX('Product Backlog'!$H$5:$H$504,$J35)))</f>
        <v/>
      </c>
      <c r="I35" s="48" t="str">
        <f>IF($J35="","",IF(ISBLANK(INDEX('Product Backlog'!$I$5:$I$504,$J35)),"",INDEX('Product Backlog'!$I$5:$I$504,$J35)))</f>
        <v/>
      </c>
      <c r="J35" t="str">
        <f>IFERROR(MATCH($B$4&amp;"-"&amp;ROWS($A$10:A35),'Product Backlog'!$J$5:$J$504,0),"")</f>
        <v/>
      </c>
    </row>
    <row r="36" spans="1:10" ht="21" customHeight="1" x14ac:dyDescent="0.2">
      <c r="A36" s="46" t="str">
        <f>IF($J36="","",IF(ISBLANK(INDEX('Product Backlog'!$A$5:$A$504,$J36)),"",INDEX('Product Backlog'!$A$5:$A$504,$J36)))</f>
        <v/>
      </c>
      <c r="B36" s="46" t="str">
        <f>IF($J36="","",IF(ISBLANK(INDEX('Product Backlog'!$B$5:$B$504,$J36)),"",INDEX('Product Backlog'!$B$5:$B$504,$J36)))</f>
        <v/>
      </c>
      <c r="C36" s="46" t="str">
        <f>IF($J36="","",IF(ISBLANK(INDEX('Product Backlog'!$C$5:$C$504,$J36)),"",INDEX('Product Backlog'!$C$5:$C$504,$J36)))</f>
        <v/>
      </c>
      <c r="D36" s="46" t="str">
        <f>IF($J36="","",IF(ISBLANK(INDEX('Product Backlog'!$D$5:$D$504,$J36)),"",INDEX('Product Backlog'!$D$5:$D$504,$J36)))</f>
        <v/>
      </c>
      <c r="E36" s="46" t="str">
        <f>IF($J36="","",IF(ISBLANK(INDEX('Product Backlog'!$E$5:$E$504,$J36)),"",INDEX('Product Backlog'!$E$5:$E$504,$J36)))</f>
        <v/>
      </c>
      <c r="F36" s="47" t="str">
        <f>IF($J36="","",IF(ISBLANK(INDEX('Product Backlog'!$F$5:$F$504,$J36)),"",INDEX('Product Backlog'!$F$5:$F$504,$J36)))</f>
        <v/>
      </c>
      <c r="G36" s="47" t="str">
        <f>IF($J36="","",IF(ISBLANK(INDEX('Product Backlog'!$G$5:$G$504,$J36)),"",INDEX('Product Backlog'!$G$5:$G$504,$J36)))</f>
        <v/>
      </c>
      <c r="H36" s="48" t="str">
        <f>IF($J36="","",IF(ISBLANK(INDEX('Product Backlog'!$H$5:$H$504,$J36)),"",INDEX('Product Backlog'!$H$5:$H$504,$J36)))</f>
        <v/>
      </c>
      <c r="I36" s="48" t="str">
        <f>IF($J36="","",IF(ISBLANK(INDEX('Product Backlog'!$I$5:$I$504,$J36)),"",INDEX('Product Backlog'!$I$5:$I$504,$J36)))</f>
        <v/>
      </c>
      <c r="J36" t="str">
        <f>IFERROR(MATCH($B$4&amp;"-"&amp;ROWS($A$10:A36),'Product Backlog'!$J$5:$J$504,0),"")</f>
        <v/>
      </c>
    </row>
    <row r="37" spans="1:10" ht="21" customHeight="1" x14ac:dyDescent="0.2">
      <c r="A37" s="46" t="str">
        <f>IF($J37="","",IF(ISBLANK(INDEX('Product Backlog'!$A$5:$A$504,$J37)),"",INDEX('Product Backlog'!$A$5:$A$504,$J37)))</f>
        <v/>
      </c>
      <c r="B37" s="46" t="str">
        <f>IF($J37="","",IF(ISBLANK(INDEX('Product Backlog'!$B$5:$B$504,$J37)),"",INDEX('Product Backlog'!$B$5:$B$504,$J37)))</f>
        <v/>
      </c>
      <c r="C37" s="46" t="str">
        <f>IF($J37="","",IF(ISBLANK(INDEX('Product Backlog'!$C$5:$C$504,$J37)),"",INDEX('Product Backlog'!$C$5:$C$504,$J37)))</f>
        <v/>
      </c>
      <c r="D37" s="46" t="str">
        <f>IF($J37="","",IF(ISBLANK(INDEX('Product Backlog'!$D$5:$D$504,$J37)),"",INDEX('Product Backlog'!$D$5:$D$504,$J37)))</f>
        <v/>
      </c>
      <c r="E37" s="46" t="str">
        <f>IF($J37="","",IF(ISBLANK(INDEX('Product Backlog'!$E$5:$E$504,$J37)),"",INDEX('Product Backlog'!$E$5:$E$504,$J37)))</f>
        <v/>
      </c>
      <c r="F37" s="47" t="str">
        <f>IF($J37="","",IF(ISBLANK(INDEX('Product Backlog'!$F$5:$F$504,$J37)),"",INDEX('Product Backlog'!$F$5:$F$504,$J37)))</f>
        <v/>
      </c>
      <c r="G37" s="47" t="str">
        <f>IF($J37="","",IF(ISBLANK(INDEX('Product Backlog'!$G$5:$G$504,$J37)),"",INDEX('Product Backlog'!$G$5:$G$504,$J37)))</f>
        <v/>
      </c>
      <c r="H37" s="48" t="str">
        <f>IF($J37="","",IF(ISBLANK(INDEX('Product Backlog'!$H$5:$H$504,$J37)),"",INDEX('Product Backlog'!$H$5:$H$504,$J37)))</f>
        <v/>
      </c>
      <c r="I37" s="48" t="str">
        <f>IF($J37="","",IF(ISBLANK(INDEX('Product Backlog'!$I$5:$I$504,$J37)),"",INDEX('Product Backlog'!$I$5:$I$504,$J37)))</f>
        <v/>
      </c>
      <c r="J37" t="str">
        <f>IFERROR(MATCH($B$4&amp;"-"&amp;ROWS($A$10:A37),'Product Backlog'!$J$5:$J$504,0),"")</f>
        <v/>
      </c>
    </row>
    <row r="38" spans="1:10" ht="21" customHeight="1" x14ac:dyDescent="0.2">
      <c r="A38" s="46" t="str">
        <f>IF($J38="","",IF(ISBLANK(INDEX('Product Backlog'!$A$5:$A$504,$J38)),"",INDEX('Product Backlog'!$A$5:$A$504,$J38)))</f>
        <v/>
      </c>
      <c r="B38" s="46" t="str">
        <f>IF($J38="","",IF(ISBLANK(INDEX('Product Backlog'!$B$5:$B$504,$J38)),"",INDEX('Product Backlog'!$B$5:$B$504,$J38)))</f>
        <v/>
      </c>
      <c r="C38" s="46" t="str">
        <f>IF($J38="","",IF(ISBLANK(INDEX('Product Backlog'!$C$5:$C$504,$J38)),"",INDEX('Product Backlog'!$C$5:$C$504,$J38)))</f>
        <v/>
      </c>
      <c r="D38" s="46" t="str">
        <f>IF($J38="","",IF(ISBLANK(INDEX('Product Backlog'!$D$5:$D$504,$J38)),"",INDEX('Product Backlog'!$D$5:$D$504,$J38)))</f>
        <v/>
      </c>
      <c r="E38" s="46" t="str">
        <f>IF($J38="","",IF(ISBLANK(INDEX('Product Backlog'!$E$5:$E$504,$J38)),"",INDEX('Product Backlog'!$E$5:$E$504,$J38)))</f>
        <v/>
      </c>
      <c r="F38" s="47" t="str">
        <f>IF($J38="","",IF(ISBLANK(INDEX('Product Backlog'!$F$5:$F$504,$J38)),"",INDEX('Product Backlog'!$F$5:$F$504,$J38)))</f>
        <v/>
      </c>
      <c r="G38" s="47" t="str">
        <f>IF($J38="","",IF(ISBLANK(INDEX('Product Backlog'!$G$5:$G$504,$J38)),"",INDEX('Product Backlog'!$G$5:$G$504,$J38)))</f>
        <v/>
      </c>
      <c r="H38" s="48" t="str">
        <f>IF($J38="","",IF(ISBLANK(INDEX('Product Backlog'!$H$5:$H$504,$J38)),"",INDEX('Product Backlog'!$H$5:$H$504,$J38)))</f>
        <v/>
      </c>
      <c r="I38" s="48" t="str">
        <f>IF($J38="","",IF(ISBLANK(INDEX('Product Backlog'!$I$5:$I$504,$J38)),"",INDEX('Product Backlog'!$I$5:$I$504,$J38)))</f>
        <v/>
      </c>
      <c r="J38" t="str">
        <f>IFERROR(MATCH($B$4&amp;"-"&amp;ROWS($A$10:A38),'Product Backlog'!$J$5:$J$504,0),"")</f>
        <v/>
      </c>
    </row>
    <row r="39" spans="1:10" ht="21" customHeight="1" x14ac:dyDescent="0.2">
      <c r="A39" s="46" t="str">
        <f>IF($J39="","",IF(ISBLANK(INDEX('Product Backlog'!$A$5:$A$504,$J39)),"",INDEX('Product Backlog'!$A$5:$A$504,$J39)))</f>
        <v/>
      </c>
      <c r="B39" s="46" t="str">
        <f>IF($J39="","",IF(ISBLANK(INDEX('Product Backlog'!$B$5:$B$504,$J39)),"",INDEX('Product Backlog'!$B$5:$B$504,$J39)))</f>
        <v/>
      </c>
      <c r="C39" s="46" t="str">
        <f>IF($J39="","",IF(ISBLANK(INDEX('Product Backlog'!$C$5:$C$504,$J39)),"",INDEX('Product Backlog'!$C$5:$C$504,$J39)))</f>
        <v/>
      </c>
      <c r="D39" s="46" t="str">
        <f>IF($J39="","",IF(ISBLANK(INDEX('Product Backlog'!$D$5:$D$504,$J39)),"",INDEX('Product Backlog'!$D$5:$D$504,$J39)))</f>
        <v/>
      </c>
      <c r="E39" s="46" t="str">
        <f>IF($J39="","",IF(ISBLANK(INDEX('Product Backlog'!$E$5:$E$504,$J39)),"",INDEX('Product Backlog'!$E$5:$E$504,$J39)))</f>
        <v/>
      </c>
      <c r="F39" s="47" t="str">
        <f>IF($J39="","",IF(ISBLANK(INDEX('Product Backlog'!$F$5:$F$504,$J39)),"",INDEX('Product Backlog'!$F$5:$F$504,$J39)))</f>
        <v/>
      </c>
      <c r="G39" s="47" t="str">
        <f>IF($J39="","",IF(ISBLANK(INDEX('Product Backlog'!$G$5:$G$504,$J39)),"",INDEX('Product Backlog'!$G$5:$G$504,$J39)))</f>
        <v/>
      </c>
      <c r="H39" s="48" t="str">
        <f>IF($J39="","",IF(ISBLANK(INDEX('Product Backlog'!$H$5:$H$504,$J39)),"",INDEX('Product Backlog'!$H$5:$H$504,$J39)))</f>
        <v/>
      </c>
      <c r="I39" s="48" t="str">
        <f>IF($J39="","",IF(ISBLANK(INDEX('Product Backlog'!$I$5:$I$504,$J39)),"",INDEX('Product Backlog'!$I$5:$I$504,$J39)))</f>
        <v/>
      </c>
      <c r="J39" t="str">
        <f>IFERROR(MATCH($B$4&amp;"-"&amp;ROWS($A$10:A39),'Product Backlog'!$J$5:$J$504,0),"")</f>
        <v/>
      </c>
    </row>
    <row r="40" spans="1:10" ht="21" customHeight="1" x14ac:dyDescent="0.2">
      <c r="A40" s="46" t="str">
        <f>IF($J40="","",IF(ISBLANK(INDEX('Product Backlog'!$A$5:$A$504,$J40)),"",INDEX('Product Backlog'!$A$5:$A$504,$J40)))</f>
        <v/>
      </c>
      <c r="B40" s="46" t="str">
        <f>IF($J40="","",IF(ISBLANK(INDEX('Product Backlog'!$B$5:$B$504,$J40)),"",INDEX('Product Backlog'!$B$5:$B$504,$J40)))</f>
        <v/>
      </c>
      <c r="C40" s="46" t="str">
        <f>IF($J40="","",IF(ISBLANK(INDEX('Product Backlog'!$C$5:$C$504,$J40)),"",INDEX('Product Backlog'!$C$5:$C$504,$J40)))</f>
        <v/>
      </c>
      <c r="D40" s="46" t="str">
        <f>IF($J40="","",IF(ISBLANK(INDEX('Product Backlog'!$D$5:$D$504,$J40)),"",INDEX('Product Backlog'!$D$5:$D$504,$J40)))</f>
        <v/>
      </c>
      <c r="E40" s="46" t="str">
        <f>IF($J40="","",IF(ISBLANK(INDEX('Product Backlog'!$E$5:$E$504,$J40)),"",INDEX('Product Backlog'!$E$5:$E$504,$J40)))</f>
        <v/>
      </c>
      <c r="F40" s="47" t="str">
        <f>IF($J40="","",IF(ISBLANK(INDEX('Product Backlog'!$F$5:$F$504,$J40)),"",INDEX('Product Backlog'!$F$5:$F$504,$J40)))</f>
        <v/>
      </c>
      <c r="G40" s="47" t="str">
        <f>IF($J40="","",IF(ISBLANK(INDEX('Product Backlog'!$G$5:$G$504,$J40)),"",INDEX('Product Backlog'!$G$5:$G$504,$J40)))</f>
        <v/>
      </c>
      <c r="H40" s="48" t="str">
        <f>IF($J40="","",IF(ISBLANK(INDEX('Product Backlog'!$H$5:$H$504,$J40)),"",INDEX('Product Backlog'!$H$5:$H$504,$J40)))</f>
        <v/>
      </c>
      <c r="I40" s="48" t="str">
        <f>IF($J40="","",IF(ISBLANK(INDEX('Product Backlog'!$I$5:$I$504,$J40)),"",INDEX('Product Backlog'!$I$5:$I$504,$J40)))</f>
        <v/>
      </c>
      <c r="J40" t="str">
        <f>IFERROR(MATCH($B$4&amp;"-"&amp;ROWS($A$10:A40),'Product Backlog'!$J$5:$J$504,0),"")</f>
        <v/>
      </c>
    </row>
    <row r="41" spans="1:10" ht="21" customHeight="1" x14ac:dyDescent="0.2">
      <c r="A41" s="46" t="str">
        <f>IF($J41="","",IF(ISBLANK(INDEX('Product Backlog'!$A$5:$A$504,$J41)),"",INDEX('Product Backlog'!$A$5:$A$504,$J41)))</f>
        <v/>
      </c>
      <c r="B41" s="46" t="str">
        <f>IF($J41="","",IF(ISBLANK(INDEX('Product Backlog'!$B$5:$B$504,$J41)),"",INDEX('Product Backlog'!$B$5:$B$504,$J41)))</f>
        <v/>
      </c>
      <c r="C41" s="46" t="str">
        <f>IF($J41="","",IF(ISBLANK(INDEX('Product Backlog'!$C$5:$C$504,$J41)),"",INDEX('Product Backlog'!$C$5:$C$504,$J41)))</f>
        <v/>
      </c>
      <c r="D41" s="46" t="str">
        <f>IF($J41="","",IF(ISBLANK(INDEX('Product Backlog'!$D$5:$D$504,$J41)),"",INDEX('Product Backlog'!$D$5:$D$504,$J41)))</f>
        <v/>
      </c>
      <c r="E41" s="46" t="str">
        <f>IF($J41="","",IF(ISBLANK(INDEX('Product Backlog'!$E$5:$E$504,$J41)),"",INDEX('Product Backlog'!$E$5:$E$504,$J41)))</f>
        <v/>
      </c>
      <c r="F41" s="47" t="str">
        <f>IF($J41="","",IF(ISBLANK(INDEX('Product Backlog'!$F$5:$F$504,$J41)),"",INDEX('Product Backlog'!$F$5:$F$504,$J41)))</f>
        <v/>
      </c>
      <c r="G41" s="47" t="str">
        <f>IF($J41="","",IF(ISBLANK(INDEX('Product Backlog'!$G$5:$G$504,$J41)),"",INDEX('Product Backlog'!$G$5:$G$504,$J41)))</f>
        <v/>
      </c>
      <c r="H41" s="48" t="str">
        <f>IF($J41="","",IF(ISBLANK(INDEX('Product Backlog'!$H$5:$H$504,$J41)),"",INDEX('Product Backlog'!$H$5:$H$504,$J41)))</f>
        <v/>
      </c>
      <c r="I41" s="48" t="str">
        <f>IF($J41="","",IF(ISBLANK(INDEX('Product Backlog'!$I$5:$I$504,$J41)),"",INDEX('Product Backlog'!$I$5:$I$504,$J41)))</f>
        <v/>
      </c>
      <c r="J41" t="str">
        <f>IFERROR(MATCH($B$4&amp;"-"&amp;ROWS($A$10:A41),'Product Backlog'!$J$5:$J$504,0),"")</f>
        <v/>
      </c>
    </row>
    <row r="42" spans="1:10" ht="21" customHeight="1" x14ac:dyDescent="0.2">
      <c r="A42" s="46" t="str">
        <f>IF($J42="","",IF(ISBLANK(INDEX('Product Backlog'!$A$5:$A$504,$J42)),"",INDEX('Product Backlog'!$A$5:$A$504,$J42)))</f>
        <v/>
      </c>
      <c r="B42" s="46" t="str">
        <f>IF($J42="","",IF(ISBLANK(INDEX('Product Backlog'!$B$5:$B$504,$J42)),"",INDEX('Product Backlog'!$B$5:$B$504,$J42)))</f>
        <v/>
      </c>
      <c r="C42" s="46" t="str">
        <f>IF($J42="","",IF(ISBLANK(INDEX('Product Backlog'!$C$5:$C$504,$J42)),"",INDEX('Product Backlog'!$C$5:$C$504,$J42)))</f>
        <v/>
      </c>
      <c r="D42" s="46" t="str">
        <f>IF($J42="","",IF(ISBLANK(INDEX('Product Backlog'!$D$5:$D$504,$J42)),"",INDEX('Product Backlog'!$D$5:$D$504,$J42)))</f>
        <v/>
      </c>
      <c r="E42" s="46" t="str">
        <f>IF($J42="","",IF(ISBLANK(INDEX('Product Backlog'!$E$5:$E$504,$J42)),"",INDEX('Product Backlog'!$E$5:$E$504,$J42)))</f>
        <v/>
      </c>
      <c r="F42" s="47" t="str">
        <f>IF($J42="","",IF(ISBLANK(INDEX('Product Backlog'!$F$5:$F$504,$J42)),"",INDEX('Product Backlog'!$F$5:$F$504,$J42)))</f>
        <v/>
      </c>
      <c r="G42" s="47" t="str">
        <f>IF($J42="","",IF(ISBLANK(INDEX('Product Backlog'!$G$5:$G$504,$J42)),"",INDEX('Product Backlog'!$G$5:$G$504,$J42)))</f>
        <v/>
      </c>
      <c r="H42" s="48" t="str">
        <f>IF($J42="","",IF(ISBLANK(INDEX('Product Backlog'!$H$5:$H$504,$J42)),"",INDEX('Product Backlog'!$H$5:$H$504,$J42)))</f>
        <v/>
      </c>
      <c r="I42" s="48" t="str">
        <f>IF($J42="","",IF(ISBLANK(INDEX('Product Backlog'!$I$5:$I$504,$J42)),"",INDEX('Product Backlog'!$I$5:$I$504,$J42)))</f>
        <v/>
      </c>
      <c r="J42" t="str">
        <f>IFERROR(MATCH($B$4&amp;"-"&amp;ROWS($A$10:A42),'Product Backlog'!$J$5:$J$504,0),"")</f>
        <v/>
      </c>
    </row>
    <row r="43" spans="1:10" ht="21" customHeight="1" x14ac:dyDescent="0.2">
      <c r="A43" s="46" t="str">
        <f>IF($J43="","",IF(ISBLANK(INDEX('Product Backlog'!$A$5:$A$504,$J43)),"",INDEX('Product Backlog'!$A$5:$A$504,$J43)))</f>
        <v/>
      </c>
      <c r="B43" s="46" t="str">
        <f>IF($J43="","",IF(ISBLANK(INDEX('Product Backlog'!$B$5:$B$504,$J43)),"",INDEX('Product Backlog'!$B$5:$B$504,$J43)))</f>
        <v/>
      </c>
      <c r="C43" s="46" t="str">
        <f>IF($J43="","",IF(ISBLANK(INDEX('Product Backlog'!$C$5:$C$504,$J43)),"",INDEX('Product Backlog'!$C$5:$C$504,$J43)))</f>
        <v/>
      </c>
      <c r="D43" s="46" t="str">
        <f>IF($J43="","",IF(ISBLANK(INDEX('Product Backlog'!$D$5:$D$504,$J43)),"",INDEX('Product Backlog'!$D$5:$D$504,$J43)))</f>
        <v/>
      </c>
      <c r="E43" s="46" t="str">
        <f>IF($J43="","",IF(ISBLANK(INDEX('Product Backlog'!$E$5:$E$504,$J43)),"",INDEX('Product Backlog'!$E$5:$E$504,$J43)))</f>
        <v/>
      </c>
      <c r="F43" s="47" t="str">
        <f>IF($J43="","",IF(ISBLANK(INDEX('Product Backlog'!$F$5:$F$504,$J43)),"",INDEX('Product Backlog'!$F$5:$F$504,$J43)))</f>
        <v/>
      </c>
      <c r="G43" s="47" t="str">
        <f>IF($J43="","",IF(ISBLANK(INDEX('Product Backlog'!$G$5:$G$504,$J43)),"",INDEX('Product Backlog'!$G$5:$G$504,$J43)))</f>
        <v/>
      </c>
      <c r="H43" s="48" t="str">
        <f>IF($J43="","",IF(ISBLANK(INDEX('Product Backlog'!$H$5:$H$504,$J43)),"",INDEX('Product Backlog'!$H$5:$H$504,$J43)))</f>
        <v/>
      </c>
      <c r="I43" s="48" t="str">
        <f>IF($J43="","",IF(ISBLANK(INDEX('Product Backlog'!$I$5:$I$504,$J43)),"",INDEX('Product Backlog'!$I$5:$I$504,$J43)))</f>
        <v/>
      </c>
      <c r="J43" t="str">
        <f>IFERROR(MATCH($B$4&amp;"-"&amp;ROWS($A$10:A43),'Product Backlog'!$J$5:$J$504,0),"")</f>
        <v/>
      </c>
    </row>
    <row r="44" spans="1:10" ht="21" customHeight="1" x14ac:dyDescent="0.2">
      <c r="A44" s="46" t="str">
        <f>IF($J44="","",IF(ISBLANK(INDEX('Product Backlog'!$A$5:$A$504,$J44)),"",INDEX('Product Backlog'!$A$5:$A$504,$J44)))</f>
        <v/>
      </c>
      <c r="B44" s="46" t="str">
        <f>IF($J44="","",IF(ISBLANK(INDEX('Product Backlog'!$B$5:$B$504,$J44)),"",INDEX('Product Backlog'!$B$5:$B$504,$J44)))</f>
        <v/>
      </c>
      <c r="C44" s="46" t="str">
        <f>IF($J44="","",IF(ISBLANK(INDEX('Product Backlog'!$C$5:$C$504,$J44)),"",INDEX('Product Backlog'!$C$5:$C$504,$J44)))</f>
        <v/>
      </c>
      <c r="D44" s="46" t="str">
        <f>IF($J44="","",IF(ISBLANK(INDEX('Product Backlog'!$D$5:$D$504,$J44)),"",INDEX('Product Backlog'!$D$5:$D$504,$J44)))</f>
        <v/>
      </c>
      <c r="E44" s="46" t="str">
        <f>IF($J44="","",IF(ISBLANK(INDEX('Product Backlog'!$E$5:$E$504,$J44)),"",INDEX('Product Backlog'!$E$5:$E$504,$J44)))</f>
        <v/>
      </c>
      <c r="F44" s="47" t="str">
        <f>IF($J44="","",IF(ISBLANK(INDEX('Product Backlog'!$F$5:$F$504,$J44)),"",INDEX('Product Backlog'!$F$5:$F$504,$J44)))</f>
        <v/>
      </c>
      <c r="G44" s="47" t="str">
        <f>IF($J44="","",IF(ISBLANK(INDEX('Product Backlog'!$G$5:$G$504,$J44)),"",INDEX('Product Backlog'!$G$5:$G$504,$J44)))</f>
        <v/>
      </c>
      <c r="H44" s="48" t="str">
        <f>IF($J44="","",IF(ISBLANK(INDEX('Product Backlog'!$H$5:$H$504,$J44)),"",INDEX('Product Backlog'!$H$5:$H$504,$J44)))</f>
        <v/>
      </c>
      <c r="I44" s="48" t="str">
        <f>IF($J44="","",IF(ISBLANK(INDEX('Product Backlog'!$I$5:$I$504,$J44)),"",INDEX('Product Backlog'!$I$5:$I$504,$J44)))</f>
        <v/>
      </c>
      <c r="J44" t="str">
        <f>IFERROR(MATCH($B$4&amp;"-"&amp;ROWS($A$10:A44),'Product Backlog'!$J$5:$J$504,0),"")</f>
        <v/>
      </c>
    </row>
    <row r="45" spans="1:10" ht="21" customHeight="1" x14ac:dyDescent="0.2">
      <c r="A45" s="46" t="str">
        <f>IF($J45="","",IF(ISBLANK(INDEX('Product Backlog'!$A$5:$A$504,$J45)),"",INDEX('Product Backlog'!$A$5:$A$504,$J45)))</f>
        <v/>
      </c>
      <c r="B45" s="46" t="str">
        <f>IF($J45="","",IF(ISBLANK(INDEX('Product Backlog'!$B$5:$B$504,$J45)),"",INDEX('Product Backlog'!$B$5:$B$504,$J45)))</f>
        <v/>
      </c>
      <c r="C45" s="46" t="str">
        <f>IF($J45="","",IF(ISBLANK(INDEX('Product Backlog'!$C$5:$C$504,$J45)),"",INDEX('Product Backlog'!$C$5:$C$504,$J45)))</f>
        <v/>
      </c>
      <c r="D45" s="46" t="str">
        <f>IF($J45="","",IF(ISBLANK(INDEX('Product Backlog'!$D$5:$D$504,$J45)),"",INDEX('Product Backlog'!$D$5:$D$504,$J45)))</f>
        <v/>
      </c>
      <c r="E45" s="46" t="str">
        <f>IF($J45="","",IF(ISBLANK(INDEX('Product Backlog'!$E$5:$E$504,$J45)),"",INDEX('Product Backlog'!$E$5:$E$504,$J45)))</f>
        <v/>
      </c>
      <c r="F45" s="47" t="str">
        <f>IF($J45="","",IF(ISBLANK(INDEX('Product Backlog'!$F$5:$F$504,$J45)),"",INDEX('Product Backlog'!$F$5:$F$504,$J45)))</f>
        <v/>
      </c>
      <c r="G45" s="47" t="str">
        <f>IF($J45="","",IF(ISBLANK(INDEX('Product Backlog'!$G$5:$G$504,$J45)),"",INDEX('Product Backlog'!$G$5:$G$504,$J45)))</f>
        <v/>
      </c>
      <c r="H45" s="48" t="str">
        <f>IF($J45="","",IF(ISBLANK(INDEX('Product Backlog'!$H$5:$H$504,$J45)),"",INDEX('Product Backlog'!$H$5:$H$504,$J45)))</f>
        <v/>
      </c>
      <c r="I45" s="48" t="str">
        <f>IF($J45="","",IF(ISBLANK(INDEX('Product Backlog'!$I$5:$I$504,$J45)),"",INDEX('Product Backlog'!$I$5:$I$504,$J45)))</f>
        <v/>
      </c>
      <c r="J45" t="str">
        <f>IFERROR(MATCH($B$4&amp;"-"&amp;ROWS($A$10:A45),'Product Backlog'!$J$5:$J$504,0),"")</f>
        <v/>
      </c>
    </row>
    <row r="46" spans="1:10" ht="21" customHeight="1" x14ac:dyDescent="0.2">
      <c r="A46" s="46" t="str">
        <f>IF($J46="","",IF(ISBLANK(INDEX('Product Backlog'!$A$5:$A$504,$J46)),"",INDEX('Product Backlog'!$A$5:$A$504,$J46)))</f>
        <v/>
      </c>
      <c r="B46" s="46" t="str">
        <f>IF($J46="","",IF(ISBLANK(INDEX('Product Backlog'!$B$5:$B$504,$J46)),"",INDEX('Product Backlog'!$B$5:$B$504,$J46)))</f>
        <v/>
      </c>
      <c r="C46" s="46" t="str">
        <f>IF($J46="","",IF(ISBLANK(INDEX('Product Backlog'!$C$5:$C$504,$J46)),"",INDEX('Product Backlog'!$C$5:$C$504,$J46)))</f>
        <v/>
      </c>
      <c r="D46" s="46" t="str">
        <f>IF($J46="","",IF(ISBLANK(INDEX('Product Backlog'!$D$5:$D$504,$J46)),"",INDEX('Product Backlog'!$D$5:$D$504,$J46)))</f>
        <v/>
      </c>
      <c r="E46" s="46" t="str">
        <f>IF($J46="","",IF(ISBLANK(INDEX('Product Backlog'!$E$5:$E$504,$J46)),"",INDEX('Product Backlog'!$E$5:$E$504,$J46)))</f>
        <v/>
      </c>
      <c r="F46" s="47" t="str">
        <f>IF($J46="","",IF(ISBLANK(INDEX('Product Backlog'!$F$5:$F$504,$J46)),"",INDEX('Product Backlog'!$F$5:$F$504,$J46)))</f>
        <v/>
      </c>
      <c r="G46" s="47" t="str">
        <f>IF($J46="","",IF(ISBLANK(INDEX('Product Backlog'!$G$5:$G$504,$J46)),"",INDEX('Product Backlog'!$G$5:$G$504,$J46)))</f>
        <v/>
      </c>
      <c r="H46" s="48" t="str">
        <f>IF($J46="","",IF(ISBLANK(INDEX('Product Backlog'!$H$5:$H$504,$J46)),"",INDEX('Product Backlog'!$H$5:$H$504,$J46)))</f>
        <v/>
      </c>
      <c r="I46" s="48" t="str">
        <f>IF($J46="","",IF(ISBLANK(INDEX('Product Backlog'!$I$5:$I$504,$J46)),"",INDEX('Product Backlog'!$I$5:$I$504,$J46)))</f>
        <v/>
      </c>
      <c r="J46" t="str">
        <f>IFERROR(MATCH($B$4&amp;"-"&amp;ROWS($A$10:A46),'Product Backlog'!$J$5:$J$504,0),"")</f>
        <v/>
      </c>
    </row>
    <row r="47" spans="1:10" ht="21" customHeight="1" x14ac:dyDescent="0.2">
      <c r="A47" s="46" t="str">
        <f>IF($J47="","",IF(ISBLANK(INDEX('Product Backlog'!$A$5:$A$504,$J47)),"",INDEX('Product Backlog'!$A$5:$A$504,$J47)))</f>
        <v/>
      </c>
      <c r="B47" s="46" t="str">
        <f>IF($J47="","",IF(ISBLANK(INDEX('Product Backlog'!$B$5:$B$504,$J47)),"",INDEX('Product Backlog'!$B$5:$B$504,$J47)))</f>
        <v/>
      </c>
      <c r="C47" s="46" t="str">
        <f>IF($J47="","",IF(ISBLANK(INDEX('Product Backlog'!$C$5:$C$504,$J47)),"",INDEX('Product Backlog'!$C$5:$C$504,$J47)))</f>
        <v/>
      </c>
      <c r="D47" s="46" t="str">
        <f>IF($J47="","",IF(ISBLANK(INDEX('Product Backlog'!$D$5:$D$504,$J47)),"",INDEX('Product Backlog'!$D$5:$D$504,$J47)))</f>
        <v/>
      </c>
      <c r="E47" s="46" t="str">
        <f>IF($J47="","",IF(ISBLANK(INDEX('Product Backlog'!$E$5:$E$504,$J47)),"",INDEX('Product Backlog'!$E$5:$E$504,$J47)))</f>
        <v/>
      </c>
      <c r="F47" s="47" t="str">
        <f>IF($J47="","",IF(ISBLANK(INDEX('Product Backlog'!$F$5:$F$504,$J47)),"",INDEX('Product Backlog'!$F$5:$F$504,$J47)))</f>
        <v/>
      </c>
      <c r="G47" s="47" t="str">
        <f>IF($J47="","",IF(ISBLANK(INDEX('Product Backlog'!$G$5:$G$504,$J47)),"",INDEX('Product Backlog'!$G$5:$G$504,$J47)))</f>
        <v/>
      </c>
      <c r="H47" s="48" t="str">
        <f>IF($J47="","",IF(ISBLANK(INDEX('Product Backlog'!$H$5:$H$504,$J47)),"",INDEX('Product Backlog'!$H$5:$H$504,$J47)))</f>
        <v/>
      </c>
      <c r="I47" s="48" t="str">
        <f>IF($J47="","",IF(ISBLANK(INDEX('Product Backlog'!$I$5:$I$504,$J47)),"",INDEX('Product Backlog'!$I$5:$I$504,$J47)))</f>
        <v/>
      </c>
      <c r="J47" t="str">
        <f>IFERROR(MATCH($B$4&amp;"-"&amp;ROWS($A$10:A47),'Product Backlog'!$J$5:$J$504,0),"")</f>
        <v/>
      </c>
    </row>
    <row r="48" spans="1:10" ht="21" customHeight="1" x14ac:dyDescent="0.2">
      <c r="A48" s="46" t="str">
        <f>IF($J48="","",IF(ISBLANK(INDEX('Product Backlog'!$A$5:$A$504,$J48)),"",INDEX('Product Backlog'!$A$5:$A$504,$J48)))</f>
        <v/>
      </c>
      <c r="B48" s="46" t="str">
        <f>IF($J48="","",IF(ISBLANK(INDEX('Product Backlog'!$B$5:$B$504,$J48)),"",INDEX('Product Backlog'!$B$5:$B$504,$J48)))</f>
        <v/>
      </c>
      <c r="C48" s="46" t="str">
        <f>IF($J48="","",IF(ISBLANK(INDEX('Product Backlog'!$C$5:$C$504,$J48)),"",INDEX('Product Backlog'!$C$5:$C$504,$J48)))</f>
        <v/>
      </c>
      <c r="D48" s="46" t="str">
        <f>IF($J48="","",IF(ISBLANK(INDEX('Product Backlog'!$D$5:$D$504,$J48)),"",INDEX('Product Backlog'!$D$5:$D$504,$J48)))</f>
        <v/>
      </c>
      <c r="E48" s="46" t="str">
        <f>IF($J48="","",IF(ISBLANK(INDEX('Product Backlog'!$E$5:$E$504,$J48)),"",INDEX('Product Backlog'!$E$5:$E$504,$J48)))</f>
        <v/>
      </c>
      <c r="F48" s="47" t="str">
        <f>IF($J48="","",IF(ISBLANK(INDEX('Product Backlog'!$F$5:$F$504,$J48)),"",INDEX('Product Backlog'!$F$5:$F$504,$J48)))</f>
        <v/>
      </c>
      <c r="G48" s="47" t="str">
        <f>IF($J48="","",IF(ISBLANK(INDEX('Product Backlog'!$G$5:$G$504,$J48)),"",INDEX('Product Backlog'!$G$5:$G$504,$J48)))</f>
        <v/>
      </c>
      <c r="H48" s="48" t="str">
        <f>IF($J48="","",IF(ISBLANK(INDEX('Product Backlog'!$H$5:$H$504,$J48)),"",INDEX('Product Backlog'!$H$5:$H$504,$J48)))</f>
        <v/>
      </c>
      <c r="I48" s="48" t="str">
        <f>IF($J48="","",IF(ISBLANK(INDEX('Product Backlog'!$I$5:$I$504,$J48)),"",INDEX('Product Backlog'!$I$5:$I$504,$J48)))</f>
        <v/>
      </c>
      <c r="J48" t="str">
        <f>IFERROR(MATCH($B$4&amp;"-"&amp;ROWS($A$10:A48),'Product Backlog'!$J$5:$J$504,0),"")</f>
        <v/>
      </c>
    </row>
    <row r="49" spans="1:10" ht="21" customHeight="1" x14ac:dyDescent="0.2">
      <c r="A49" s="46" t="str">
        <f>IF($J49="","",IF(ISBLANK(INDEX('Product Backlog'!$A$5:$A$504,$J49)),"",INDEX('Product Backlog'!$A$5:$A$504,$J49)))</f>
        <v/>
      </c>
      <c r="B49" s="46" t="str">
        <f>IF($J49="","",IF(ISBLANK(INDEX('Product Backlog'!$B$5:$B$504,$J49)),"",INDEX('Product Backlog'!$B$5:$B$504,$J49)))</f>
        <v/>
      </c>
      <c r="C49" s="46" t="str">
        <f>IF($J49="","",IF(ISBLANK(INDEX('Product Backlog'!$C$5:$C$504,$J49)),"",INDEX('Product Backlog'!$C$5:$C$504,$J49)))</f>
        <v/>
      </c>
      <c r="D49" s="46" t="str">
        <f>IF($J49="","",IF(ISBLANK(INDEX('Product Backlog'!$D$5:$D$504,$J49)),"",INDEX('Product Backlog'!$D$5:$D$504,$J49)))</f>
        <v/>
      </c>
      <c r="E49" s="46" t="str">
        <f>IF($J49="","",IF(ISBLANK(INDEX('Product Backlog'!$E$5:$E$504,$J49)),"",INDEX('Product Backlog'!$E$5:$E$504,$J49)))</f>
        <v/>
      </c>
      <c r="F49" s="47" t="str">
        <f>IF($J49="","",IF(ISBLANK(INDEX('Product Backlog'!$F$5:$F$504,$J49)),"",INDEX('Product Backlog'!$F$5:$F$504,$J49)))</f>
        <v/>
      </c>
      <c r="G49" s="47" t="str">
        <f>IF($J49="","",IF(ISBLANK(INDEX('Product Backlog'!$G$5:$G$504,$J49)),"",INDEX('Product Backlog'!$G$5:$G$504,$J49)))</f>
        <v/>
      </c>
      <c r="H49" s="48" t="str">
        <f>IF($J49="","",IF(ISBLANK(INDEX('Product Backlog'!$H$5:$H$504,$J49)),"",INDEX('Product Backlog'!$H$5:$H$504,$J49)))</f>
        <v/>
      </c>
      <c r="I49" s="48" t="str">
        <f>IF($J49="","",IF(ISBLANK(INDEX('Product Backlog'!$I$5:$I$504,$J49)),"",INDEX('Product Backlog'!$I$5:$I$504,$J49)))</f>
        <v/>
      </c>
      <c r="J49" t="str">
        <f>IFERROR(MATCH($B$4&amp;"-"&amp;ROWS($A$10:A49),'Product Backlog'!$J$5:$J$504,0),"")</f>
        <v/>
      </c>
    </row>
    <row r="50" spans="1:10" ht="21" customHeight="1" x14ac:dyDescent="0.2">
      <c r="A50" s="46" t="str">
        <f>IF($J50="","",IF(ISBLANK(INDEX('Product Backlog'!$A$5:$A$504,$J50)),"",INDEX('Product Backlog'!$A$5:$A$504,$J50)))</f>
        <v/>
      </c>
      <c r="B50" s="46" t="str">
        <f>IF($J50="","",IF(ISBLANK(INDEX('Product Backlog'!$B$5:$B$504,$J50)),"",INDEX('Product Backlog'!$B$5:$B$504,$J50)))</f>
        <v/>
      </c>
      <c r="C50" s="46" t="str">
        <f>IF($J50="","",IF(ISBLANK(INDEX('Product Backlog'!$C$5:$C$504,$J50)),"",INDEX('Product Backlog'!$C$5:$C$504,$J50)))</f>
        <v/>
      </c>
      <c r="D50" s="46" t="str">
        <f>IF($J50="","",IF(ISBLANK(INDEX('Product Backlog'!$D$5:$D$504,$J50)),"",INDEX('Product Backlog'!$D$5:$D$504,$J50)))</f>
        <v/>
      </c>
      <c r="E50" s="46" t="str">
        <f>IF($J50="","",IF(ISBLANK(INDEX('Product Backlog'!$E$5:$E$504,$J50)),"",INDEX('Product Backlog'!$E$5:$E$504,$J50)))</f>
        <v/>
      </c>
      <c r="F50" s="47" t="str">
        <f>IF($J50="","",IF(ISBLANK(INDEX('Product Backlog'!$F$5:$F$504,$J50)),"",INDEX('Product Backlog'!$F$5:$F$504,$J50)))</f>
        <v/>
      </c>
      <c r="G50" s="47" t="str">
        <f>IF($J50="","",IF(ISBLANK(INDEX('Product Backlog'!$G$5:$G$504,$J50)),"",INDEX('Product Backlog'!$G$5:$G$504,$J50)))</f>
        <v/>
      </c>
      <c r="H50" s="48" t="str">
        <f>IF($J50="","",IF(ISBLANK(INDEX('Product Backlog'!$H$5:$H$504,$J50)),"",INDEX('Product Backlog'!$H$5:$H$504,$J50)))</f>
        <v/>
      </c>
      <c r="I50" s="48" t="str">
        <f>IF($J50="","",IF(ISBLANK(INDEX('Product Backlog'!$I$5:$I$504,$J50)),"",INDEX('Product Backlog'!$I$5:$I$504,$J50)))</f>
        <v/>
      </c>
      <c r="J50" t="str">
        <f>IFERROR(MATCH($B$4&amp;"-"&amp;ROWS($A$10:A50),'Product Backlog'!$J$5:$J$504,0),"")</f>
        <v/>
      </c>
    </row>
    <row r="51" spans="1:10" ht="21" customHeight="1" x14ac:dyDescent="0.2">
      <c r="A51" s="46" t="str">
        <f>IF($J51="","",IF(ISBLANK(INDEX('Product Backlog'!$A$5:$A$504,$J51)),"",INDEX('Product Backlog'!$A$5:$A$504,$J51)))</f>
        <v/>
      </c>
      <c r="B51" s="46" t="str">
        <f>IF($J51="","",IF(ISBLANK(INDEX('Product Backlog'!$B$5:$B$504,$J51)),"",INDEX('Product Backlog'!$B$5:$B$504,$J51)))</f>
        <v/>
      </c>
      <c r="C51" s="46" t="str">
        <f>IF($J51="","",IF(ISBLANK(INDEX('Product Backlog'!$C$5:$C$504,$J51)),"",INDEX('Product Backlog'!$C$5:$C$504,$J51)))</f>
        <v/>
      </c>
      <c r="D51" s="46" t="str">
        <f>IF($J51="","",IF(ISBLANK(INDEX('Product Backlog'!$D$5:$D$504,$J51)),"",INDEX('Product Backlog'!$D$5:$D$504,$J51)))</f>
        <v/>
      </c>
      <c r="E51" s="46" t="str">
        <f>IF($J51="","",IF(ISBLANK(INDEX('Product Backlog'!$E$5:$E$504,$J51)),"",INDEX('Product Backlog'!$E$5:$E$504,$J51)))</f>
        <v/>
      </c>
      <c r="F51" s="47" t="str">
        <f>IF($J51="","",IF(ISBLANK(INDEX('Product Backlog'!$F$5:$F$504,$J51)),"",INDEX('Product Backlog'!$F$5:$F$504,$J51)))</f>
        <v/>
      </c>
      <c r="G51" s="47" t="str">
        <f>IF($J51="","",IF(ISBLANK(INDEX('Product Backlog'!$G$5:$G$504,$J51)),"",INDEX('Product Backlog'!$G$5:$G$504,$J51)))</f>
        <v/>
      </c>
      <c r="H51" s="48" t="str">
        <f>IF($J51="","",IF(ISBLANK(INDEX('Product Backlog'!$H$5:$H$504,$J51)),"",INDEX('Product Backlog'!$H$5:$H$504,$J51)))</f>
        <v/>
      </c>
      <c r="I51" s="48" t="str">
        <f>IF($J51="","",IF(ISBLANK(INDEX('Product Backlog'!$I$5:$I$504,$J51)),"",INDEX('Product Backlog'!$I$5:$I$504,$J51)))</f>
        <v/>
      </c>
      <c r="J51" t="str">
        <f>IFERROR(MATCH($B$4&amp;"-"&amp;ROWS($A$10:A51),'Product Backlog'!$J$5:$J$504,0),"")</f>
        <v/>
      </c>
    </row>
    <row r="52" spans="1:10" ht="21" customHeight="1" x14ac:dyDescent="0.2">
      <c r="A52" s="46" t="str">
        <f>IF($J52="","",IF(ISBLANK(INDEX('Product Backlog'!$A$5:$A$504,$J52)),"",INDEX('Product Backlog'!$A$5:$A$504,$J52)))</f>
        <v/>
      </c>
      <c r="B52" s="46" t="str">
        <f>IF($J52="","",IF(ISBLANK(INDEX('Product Backlog'!$B$5:$B$504,$J52)),"",INDEX('Product Backlog'!$B$5:$B$504,$J52)))</f>
        <v/>
      </c>
      <c r="C52" s="46" t="str">
        <f>IF($J52="","",IF(ISBLANK(INDEX('Product Backlog'!$C$5:$C$504,$J52)),"",INDEX('Product Backlog'!$C$5:$C$504,$J52)))</f>
        <v/>
      </c>
      <c r="D52" s="46" t="str">
        <f>IF($J52="","",IF(ISBLANK(INDEX('Product Backlog'!$D$5:$D$504,$J52)),"",INDEX('Product Backlog'!$D$5:$D$504,$J52)))</f>
        <v/>
      </c>
      <c r="E52" s="46" t="str">
        <f>IF($J52="","",IF(ISBLANK(INDEX('Product Backlog'!$E$5:$E$504,$J52)),"",INDEX('Product Backlog'!$E$5:$E$504,$J52)))</f>
        <v/>
      </c>
      <c r="F52" s="47" t="str">
        <f>IF($J52="","",IF(ISBLANK(INDEX('Product Backlog'!$F$5:$F$504,$J52)),"",INDEX('Product Backlog'!$F$5:$F$504,$J52)))</f>
        <v/>
      </c>
      <c r="G52" s="47" t="str">
        <f>IF($J52="","",IF(ISBLANK(INDEX('Product Backlog'!$G$5:$G$504,$J52)),"",INDEX('Product Backlog'!$G$5:$G$504,$J52)))</f>
        <v/>
      </c>
      <c r="H52" s="48" t="str">
        <f>IF($J52="","",IF(ISBLANK(INDEX('Product Backlog'!$H$5:$H$504,$J52)),"",INDEX('Product Backlog'!$H$5:$H$504,$J52)))</f>
        <v/>
      </c>
      <c r="I52" s="48" t="str">
        <f>IF($J52="","",IF(ISBLANK(INDEX('Product Backlog'!$I$5:$I$504,$J52)),"",INDEX('Product Backlog'!$I$5:$I$504,$J52)))</f>
        <v/>
      </c>
      <c r="J52" t="str">
        <f>IFERROR(MATCH($B$4&amp;"-"&amp;ROWS($A$10:A52),'Product Backlog'!$J$5:$J$504,0),"")</f>
        <v/>
      </c>
    </row>
    <row r="53" spans="1:10" ht="21" customHeight="1" x14ac:dyDescent="0.2">
      <c r="A53" s="46" t="str">
        <f>IF($J53="","",IF(ISBLANK(INDEX('Product Backlog'!$A$5:$A$504,$J53)),"",INDEX('Product Backlog'!$A$5:$A$504,$J53)))</f>
        <v/>
      </c>
      <c r="B53" s="46" t="str">
        <f>IF($J53="","",IF(ISBLANK(INDEX('Product Backlog'!$B$5:$B$504,$J53)),"",INDEX('Product Backlog'!$B$5:$B$504,$J53)))</f>
        <v/>
      </c>
      <c r="C53" s="46" t="str">
        <f>IF($J53="","",IF(ISBLANK(INDEX('Product Backlog'!$C$5:$C$504,$J53)),"",INDEX('Product Backlog'!$C$5:$C$504,$J53)))</f>
        <v/>
      </c>
      <c r="D53" s="46" t="str">
        <f>IF($J53="","",IF(ISBLANK(INDEX('Product Backlog'!$D$5:$D$504,$J53)),"",INDEX('Product Backlog'!$D$5:$D$504,$J53)))</f>
        <v/>
      </c>
      <c r="E53" s="46" t="str">
        <f>IF($J53="","",IF(ISBLANK(INDEX('Product Backlog'!$E$5:$E$504,$J53)),"",INDEX('Product Backlog'!$E$5:$E$504,$J53)))</f>
        <v/>
      </c>
      <c r="F53" s="47" t="str">
        <f>IF($J53="","",IF(ISBLANK(INDEX('Product Backlog'!$F$5:$F$504,$J53)),"",INDEX('Product Backlog'!$F$5:$F$504,$J53)))</f>
        <v/>
      </c>
      <c r="G53" s="47" t="str">
        <f>IF($J53="","",IF(ISBLANK(INDEX('Product Backlog'!$G$5:$G$504,$J53)),"",INDEX('Product Backlog'!$G$5:$G$504,$J53)))</f>
        <v/>
      </c>
      <c r="H53" s="48" t="str">
        <f>IF($J53="","",IF(ISBLANK(INDEX('Product Backlog'!$H$5:$H$504,$J53)),"",INDEX('Product Backlog'!$H$5:$H$504,$J53)))</f>
        <v/>
      </c>
      <c r="I53" s="48" t="str">
        <f>IF($J53="","",IF(ISBLANK(INDEX('Product Backlog'!$I$5:$I$504,$J53)),"",INDEX('Product Backlog'!$I$5:$I$504,$J53)))</f>
        <v/>
      </c>
      <c r="J53" t="str">
        <f>IFERROR(MATCH($B$4&amp;"-"&amp;ROWS($A$10:A53),'Product Backlog'!$J$5:$J$504,0),"")</f>
        <v/>
      </c>
    </row>
    <row r="54" spans="1:10" ht="21" customHeight="1" x14ac:dyDescent="0.2">
      <c r="A54" s="46" t="str">
        <f>IF($J54="","",IF(ISBLANK(INDEX('Product Backlog'!$A$5:$A$504,$J54)),"",INDEX('Product Backlog'!$A$5:$A$504,$J54)))</f>
        <v/>
      </c>
      <c r="B54" s="46" t="str">
        <f>IF($J54="","",IF(ISBLANK(INDEX('Product Backlog'!$B$5:$B$504,$J54)),"",INDEX('Product Backlog'!$B$5:$B$504,$J54)))</f>
        <v/>
      </c>
      <c r="C54" s="46" t="str">
        <f>IF($J54="","",IF(ISBLANK(INDEX('Product Backlog'!$C$5:$C$504,$J54)),"",INDEX('Product Backlog'!$C$5:$C$504,$J54)))</f>
        <v/>
      </c>
      <c r="D54" s="46" t="str">
        <f>IF($J54="","",IF(ISBLANK(INDEX('Product Backlog'!$D$5:$D$504,$J54)),"",INDEX('Product Backlog'!$D$5:$D$504,$J54)))</f>
        <v/>
      </c>
      <c r="E54" s="46" t="str">
        <f>IF($J54="","",IF(ISBLANK(INDEX('Product Backlog'!$E$5:$E$504,$J54)),"",INDEX('Product Backlog'!$E$5:$E$504,$J54)))</f>
        <v/>
      </c>
      <c r="F54" s="47" t="str">
        <f>IF($J54="","",IF(ISBLANK(INDEX('Product Backlog'!$F$5:$F$504,$J54)),"",INDEX('Product Backlog'!$F$5:$F$504,$J54)))</f>
        <v/>
      </c>
      <c r="G54" s="47" t="str">
        <f>IF($J54="","",IF(ISBLANK(INDEX('Product Backlog'!$G$5:$G$504,$J54)),"",INDEX('Product Backlog'!$G$5:$G$504,$J54)))</f>
        <v/>
      </c>
      <c r="H54" s="48" t="str">
        <f>IF($J54="","",IF(ISBLANK(INDEX('Product Backlog'!$H$5:$H$504,$J54)),"",INDEX('Product Backlog'!$H$5:$H$504,$J54)))</f>
        <v/>
      </c>
      <c r="I54" s="48" t="str">
        <f>IF($J54="","",IF(ISBLANK(INDEX('Product Backlog'!$I$5:$I$504,$J54)),"",INDEX('Product Backlog'!$I$5:$I$504,$J54)))</f>
        <v/>
      </c>
      <c r="J54" t="str">
        <f>IFERROR(MATCH($B$4&amp;"-"&amp;ROWS($A$10:A54),'Product Backlog'!$J$5:$J$504,0),"")</f>
        <v/>
      </c>
    </row>
    <row r="55" spans="1:10" ht="21" customHeight="1" x14ac:dyDescent="0.2">
      <c r="A55" s="46" t="str">
        <f>IF($J55="","",IF(ISBLANK(INDEX('Product Backlog'!$A$5:$A$504,$J55)),"",INDEX('Product Backlog'!$A$5:$A$504,$J55)))</f>
        <v/>
      </c>
      <c r="B55" s="46" t="str">
        <f>IF($J55="","",IF(ISBLANK(INDEX('Product Backlog'!$B$5:$B$504,$J55)),"",INDEX('Product Backlog'!$B$5:$B$504,$J55)))</f>
        <v/>
      </c>
      <c r="C55" s="46" t="str">
        <f>IF($J55="","",IF(ISBLANK(INDEX('Product Backlog'!$C$5:$C$504,$J55)),"",INDEX('Product Backlog'!$C$5:$C$504,$J55)))</f>
        <v/>
      </c>
      <c r="D55" s="46" t="str">
        <f>IF($J55="","",IF(ISBLANK(INDEX('Product Backlog'!$D$5:$D$504,$J55)),"",INDEX('Product Backlog'!$D$5:$D$504,$J55)))</f>
        <v/>
      </c>
      <c r="E55" s="46" t="str">
        <f>IF($J55="","",IF(ISBLANK(INDEX('Product Backlog'!$E$5:$E$504,$J55)),"",INDEX('Product Backlog'!$E$5:$E$504,$J55)))</f>
        <v/>
      </c>
      <c r="F55" s="47" t="str">
        <f>IF($J55="","",IF(ISBLANK(INDEX('Product Backlog'!$F$5:$F$504,$J55)),"",INDEX('Product Backlog'!$F$5:$F$504,$J55)))</f>
        <v/>
      </c>
      <c r="G55" s="47" t="str">
        <f>IF($J55="","",IF(ISBLANK(INDEX('Product Backlog'!$G$5:$G$504,$J55)),"",INDEX('Product Backlog'!$G$5:$G$504,$J55)))</f>
        <v/>
      </c>
      <c r="H55" s="48" t="str">
        <f>IF($J55="","",IF(ISBLANK(INDEX('Product Backlog'!$H$5:$H$504,$J55)),"",INDEX('Product Backlog'!$H$5:$H$504,$J55)))</f>
        <v/>
      </c>
      <c r="I55" s="48" t="str">
        <f>IF($J55="","",IF(ISBLANK(INDEX('Product Backlog'!$I$5:$I$504,$J55)),"",INDEX('Product Backlog'!$I$5:$I$504,$J55)))</f>
        <v/>
      </c>
      <c r="J55" t="str">
        <f>IFERROR(MATCH($B$4&amp;"-"&amp;ROWS($A$10:A55),'Product Backlog'!$J$5:$J$504,0),"")</f>
        <v/>
      </c>
    </row>
    <row r="56" spans="1:10" ht="21" customHeight="1" x14ac:dyDescent="0.2">
      <c r="A56" s="46" t="str">
        <f>IF($J56="","",IF(ISBLANK(INDEX('Product Backlog'!$A$5:$A$504,$J56)),"",INDEX('Product Backlog'!$A$5:$A$504,$J56)))</f>
        <v/>
      </c>
      <c r="B56" s="46" t="str">
        <f>IF($J56="","",IF(ISBLANK(INDEX('Product Backlog'!$B$5:$B$504,$J56)),"",INDEX('Product Backlog'!$B$5:$B$504,$J56)))</f>
        <v/>
      </c>
      <c r="C56" s="46" t="str">
        <f>IF($J56="","",IF(ISBLANK(INDEX('Product Backlog'!$C$5:$C$504,$J56)),"",INDEX('Product Backlog'!$C$5:$C$504,$J56)))</f>
        <v/>
      </c>
      <c r="D56" s="46" t="str">
        <f>IF($J56="","",IF(ISBLANK(INDEX('Product Backlog'!$D$5:$D$504,$J56)),"",INDEX('Product Backlog'!$D$5:$D$504,$J56)))</f>
        <v/>
      </c>
      <c r="E56" s="46" t="str">
        <f>IF($J56="","",IF(ISBLANK(INDEX('Product Backlog'!$E$5:$E$504,$J56)),"",INDEX('Product Backlog'!$E$5:$E$504,$J56)))</f>
        <v/>
      </c>
      <c r="F56" s="47" t="str">
        <f>IF($J56="","",IF(ISBLANK(INDEX('Product Backlog'!$F$5:$F$504,$J56)),"",INDEX('Product Backlog'!$F$5:$F$504,$J56)))</f>
        <v/>
      </c>
      <c r="G56" s="47" t="str">
        <f>IF($J56="","",IF(ISBLANK(INDEX('Product Backlog'!$G$5:$G$504,$J56)),"",INDEX('Product Backlog'!$G$5:$G$504,$J56)))</f>
        <v/>
      </c>
      <c r="H56" s="48" t="str">
        <f>IF($J56="","",IF(ISBLANK(INDEX('Product Backlog'!$H$5:$H$504,$J56)),"",INDEX('Product Backlog'!$H$5:$H$504,$J56)))</f>
        <v/>
      </c>
      <c r="I56" s="48" t="str">
        <f>IF($J56="","",IF(ISBLANK(INDEX('Product Backlog'!$I$5:$I$504,$J56)),"",INDEX('Product Backlog'!$I$5:$I$504,$J56)))</f>
        <v/>
      </c>
      <c r="J56" t="str">
        <f>IFERROR(MATCH($B$4&amp;"-"&amp;ROWS($A$10:A56),'Product Backlog'!$J$5:$J$504,0),"")</f>
        <v/>
      </c>
    </row>
    <row r="57" spans="1:10" ht="21" customHeight="1" x14ac:dyDescent="0.2">
      <c r="A57" s="46" t="str">
        <f>IF($J57="","",IF(ISBLANK(INDEX('Product Backlog'!$A$5:$A$504,$J57)),"",INDEX('Product Backlog'!$A$5:$A$504,$J57)))</f>
        <v/>
      </c>
      <c r="B57" s="46" t="str">
        <f>IF($J57="","",IF(ISBLANK(INDEX('Product Backlog'!$B$5:$B$504,$J57)),"",INDEX('Product Backlog'!$B$5:$B$504,$J57)))</f>
        <v/>
      </c>
      <c r="C57" s="46" t="str">
        <f>IF($J57="","",IF(ISBLANK(INDEX('Product Backlog'!$C$5:$C$504,$J57)),"",INDEX('Product Backlog'!$C$5:$C$504,$J57)))</f>
        <v/>
      </c>
      <c r="D57" s="46" t="str">
        <f>IF($J57="","",IF(ISBLANK(INDEX('Product Backlog'!$D$5:$D$504,$J57)),"",INDEX('Product Backlog'!$D$5:$D$504,$J57)))</f>
        <v/>
      </c>
      <c r="E57" s="46" t="str">
        <f>IF($J57="","",IF(ISBLANK(INDEX('Product Backlog'!$E$5:$E$504,$J57)),"",INDEX('Product Backlog'!$E$5:$E$504,$J57)))</f>
        <v/>
      </c>
      <c r="F57" s="47" t="str">
        <f>IF($J57="","",IF(ISBLANK(INDEX('Product Backlog'!$F$5:$F$504,$J57)),"",INDEX('Product Backlog'!$F$5:$F$504,$J57)))</f>
        <v/>
      </c>
      <c r="G57" s="47" t="str">
        <f>IF($J57="","",IF(ISBLANK(INDEX('Product Backlog'!$G$5:$G$504,$J57)),"",INDEX('Product Backlog'!$G$5:$G$504,$J57)))</f>
        <v/>
      </c>
      <c r="H57" s="48" t="str">
        <f>IF($J57="","",IF(ISBLANK(INDEX('Product Backlog'!$H$5:$H$504,$J57)),"",INDEX('Product Backlog'!$H$5:$H$504,$J57)))</f>
        <v/>
      </c>
      <c r="I57" s="48" t="str">
        <f>IF($J57="","",IF(ISBLANK(INDEX('Product Backlog'!$I$5:$I$504,$J57)),"",INDEX('Product Backlog'!$I$5:$I$504,$J57)))</f>
        <v/>
      </c>
      <c r="J57" t="str">
        <f>IFERROR(MATCH($B$4&amp;"-"&amp;ROWS($A$10:A57),'Product Backlog'!$J$5:$J$504,0),"")</f>
        <v/>
      </c>
    </row>
    <row r="58" spans="1:10" ht="21" customHeight="1" x14ac:dyDescent="0.2">
      <c r="A58" s="46" t="str">
        <f>IF($J58="","",IF(ISBLANK(INDEX('Product Backlog'!$A$5:$A$504,$J58)),"",INDEX('Product Backlog'!$A$5:$A$504,$J58)))</f>
        <v/>
      </c>
      <c r="B58" s="46" t="str">
        <f>IF($J58="","",IF(ISBLANK(INDEX('Product Backlog'!$B$5:$B$504,$J58)),"",INDEX('Product Backlog'!$B$5:$B$504,$J58)))</f>
        <v/>
      </c>
      <c r="C58" s="46" t="str">
        <f>IF($J58="","",IF(ISBLANK(INDEX('Product Backlog'!$C$5:$C$504,$J58)),"",INDEX('Product Backlog'!$C$5:$C$504,$J58)))</f>
        <v/>
      </c>
      <c r="D58" s="46" t="str">
        <f>IF($J58="","",IF(ISBLANK(INDEX('Product Backlog'!$D$5:$D$504,$J58)),"",INDEX('Product Backlog'!$D$5:$D$504,$J58)))</f>
        <v/>
      </c>
      <c r="E58" s="46" t="str">
        <f>IF($J58="","",IF(ISBLANK(INDEX('Product Backlog'!$E$5:$E$504,$J58)),"",INDEX('Product Backlog'!$E$5:$E$504,$J58)))</f>
        <v/>
      </c>
      <c r="F58" s="47" t="str">
        <f>IF($J58="","",IF(ISBLANK(INDEX('Product Backlog'!$F$5:$F$504,$J58)),"",INDEX('Product Backlog'!$F$5:$F$504,$J58)))</f>
        <v/>
      </c>
      <c r="G58" s="47" t="str">
        <f>IF($J58="","",IF(ISBLANK(INDEX('Product Backlog'!$G$5:$G$504,$J58)),"",INDEX('Product Backlog'!$G$5:$G$504,$J58)))</f>
        <v/>
      </c>
      <c r="H58" s="48" t="str">
        <f>IF($J58="","",IF(ISBLANK(INDEX('Product Backlog'!$H$5:$H$504,$J58)),"",INDEX('Product Backlog'!$H$5:$H$504,$J58)))</f>
        <v/>
      </c>
      <c r="I58" s="48" t="str">
        <f>IF($J58="","",IF(ISBLANK(INDEX('Product Backlog'!$I$5:$I$504,$J58)),"",INDEX('Product Backlog'!$I$5:$I$504,$J58)))</f>
        <v/>
      </c>
      <c r="J58" t="str">
        <f>IFERROR(MATCH($B$4&amp;"-"&amp;ROWS($A$10:A58),'Product Backlog'!$J$5:$J$504,0),"")</f>
        <v/>
      </c>
    </row>
    <row r="59" spans="1:10" ht="21" customHeight="1" x14ac:dyDescent="0.2">
      <c r="A59" s="46" t="str">
        <f>IF($J59="","",IF(ISBLANK(INDEX('Product Backlog'!$A$5:$A$504,$J59)),"",INDEX('Product Backlog'!$A$5:$A$504,$J59)))</f>
        <v/>
      </c>
      <c r="B59" s="46" t="str">
        <f>IF($J59="","",IF(ISBLANK(INDEX('Product Backlog'!$B$5:$B$504,$J59)),"",INDEX('Product Backlog'!$B$5:$B$504,$J59)))</f>
        <v/>
      </c>
      <c r="C59" s="46" t="str">
        <f>IF($J59="","",IF(ISBLANK(INDEX('Product Backlog'!$C$5:$C$504,$J59)),"",INDEX('Product Backlog'!$C$5:$C$504,$J59)))</f>
        <v/>
      </c>
      <c r="D59" s="46" t="str">
        <f>IF($J59="","",IF(ISBLANK(INDEX('Product Backlog'!$D$5:$D$504,$J59)),"",INDEX('Product Backlog'!$D$5:$D$504,$J59)))</f>
        <v/>
      </c>
      <c r="E59" s="46" t="str">
        <f>IF($J59="","",IF(ISBLANK(INDEX('Product Backlog'!$E$5:$E$504,$J59)),"",INDEX('Product Backlog'!$E$5:$E$504,$J59)))</f>
        <v/>
      </c>
      <c r="F59" s="47" t="str">
        <f>IF($J59="","",IF(ISBLANK(INDEX('Product Backlog'!$F$5:$F$504,$J59)),"",INDEX('Product Backlog'!$F$5:$F$504,$J59)))</f>
        <v/>
      </c>
      <c r="G59" s="47" t="str">
        <f>IF($J59="","",IF(ISBLANK(INDEX('Product Backlog'!$G$5:$G$504,$J59)),"",INDEX('Product Backlog'!$G$5:$G$504,$J59)))</f>
        <v/>
      </c>
      <c r="H59" s="48" t="str">
        <f>IF($J59="","",IF(ISBLANK(INDEX('Product Backlog'!$H$5:$H$504,$J59)),"",INDEX('Product Backlog'!$H$5:$H$504,$J59)))</f>
        <v/>
      </c>
      <c r="I59" s="48" t="str">
        <f>IF($J59="","",IF(ISBLANK(INDEX('Product Backlog'!$I$5:$I$504,$J59)),"",INDEX('Product Backlog'!$I$5:$I$504,$J59)))</f>
        <v/>
      </c>
      <c r="J59" t="str">
        <f>IFERROR(MATCH($B$4&amp;"-"&amp;ROWS($A$10:A59),'Product Backlog'!$J$5:$J$504,0),"")</f>
        <v/>
      </c>
    </row>
    <row r="60" spans="1:10" ht="21" customHeight="1" x14ac:dyDescent="0.2">
      <c r="A60" s="46" t="str">
        <f>IF($J60="","",IF(ISBLANK(INDEX('Product Backlog'!$A$5:$A$504,$J60)),"",INDEX('Product Backlog'!$A$5:$A$504,$J60)))</f>
        <v/>
      </c>
      <c r="B60" s="46" t="str">
        <f>IF($J60="","",IF(ISBLANK(INDEX('Product Backlog'!$B$5:$B$504,$J60)),"",INDEX('Product Backlog'!$B$5:$B$504,$J60)))</f>
        <v/>
      </c>
      <c r="C60" s="46" t="str">
        <f>IF($J60="","",IF(ISBLANK(INDEX('Product Backlog'!$C$5:$C$504,$J60)),"",INDEX('Product Backlog'!$C$5:$C$504,$J60)))</f>
        <v/>
      </c>
      <c r="D60" s="46" t="str">
        <f>IF($J60="","",IF(ISBLANK(INDEX('Product Backlog'!$D$5:$D$504,$J60)),"",INDEX('Product Backlog'!$D$5:$D$504,$J60)))</f>
        <v/>
      </c>
      <c r="E60" s="46" t="str">
        <f>IF($J60="","",IF(ISBLANK(INDEX('Product Backlog'!$E$5:$E$504,$J60)),"",INDEX('Product Backlog'!$E$5:$E$504,$J60)))</f>
        <v/>
      </c>
      <c r="F60" s="47" t="str">
        <f>IF($J60="","",IF(ISBLANK(INDEX('Product Backlog'!$F$5:$F$504,$J60)),"",INDEX('Product Backlog'!$F$5:$F$504,$J60)))</f>
        <v/>
      </c>
      <c r="G60" s="47" t="str">
        <f>IF($J60="","",IF(ISBLANK(INDEX('Product Backlog'!$G$5:$G$504,$J60)),"",INDEX('Product Backlog'!$G$5:$G$504,$J60)))</f>
        <v/>
      </c>
      <c r="H60" s="48" t="str">
        <f>IF($J60="","",IF(ISBLANK(INDEX('Product Backlog'!$H$5:$H$504,$J60)),"",INDEX('Product Backlog'!$H$5:$H$504,$J60)))</f>
        <v/>
      </c>
      <c r="I60" s="48" t="str">
        <f>IF($J60="","",IF(ISBLANK(INDEX('Product Backlog'!$I$5:$I$504,$J60)),"",INDEX('Product Backlog'!$I$5:$I$504,$J60)))</f>
        <v/>
      </c>
      <c r="J60" t="str">
        <f>IFERROR(MATCH($B$4&amp;"-"&amp;ROWS($A$10:A60),'Product Backlog'!$J$5:$J$504,0),"")</f>
        <v/>
      </c>
    </row>
    <row r="61" spans="1:10" ht="21" customHeight="1" x14ac:dyDescent="0.2">
      <c r="A61" s="46" t="str">
        <f>IF($J61="","",IF(ISBLANK(INDEX('Product Backlog'!$A$5:$A$504,$J61)),"",INDEX('Product Backlog'!$A$5:$A$504,$J61)))</f>
        <v/>
      </c>
      <c r="B61" s="46" t="str">
        <f>IF($J61="","",IF(ISBLANK(INDEX('Product Backlog'!$B$5:$B$504,$J61)),"",INDEX('Product Backlog'!$B$5:$B$504,$J61)))</f>
        <v/>
      </c>
      <c r="C61" s="46" t="str">
        <f>IF($J61="","",IF(ISBLANK(INDEX('Product Backlog'!$C$5:$C$504,$J61)),"",INDEX('Product Backlog'!$C$5:$C$504,$J61)))</f>
        <v/>
      </c>
      <c r="D61" s="46" t="str">
        <f>IF($J61="","",IF(ISBLANK(INDEX('Product Backlog'!$D$5:$D$504,$J61)),"",INDEX('Product Backlog'!$D$5:$D$504,$J61)))</f>
        <v/>
      </c>
      <c r="E61" s="46" t="str">
        <f>IF($J61="","",IF(ISBLANK(INDEX('Product Backlog'!$E$5:$E$504,$J61)),"",INDEX('Product Backlog'!$E$5:$E$504,$J61)))</f>
        <v/>
      </c>
      <c r="F61" s="47" t="str">
        <f>IF($J61="","",IF(ISBLANK(INDEX('Product Backlog'!$F$5:$F$504,$J61)),"",INDEX('Product Backlog'!$F$5:$F$504,$J61)))</f>
        <v/>
      </c>
      <c r="G61" s="47" t="str">
        <f>IF($J61="","",IF(ISBLANK(INDEX('Product Backlog'!$G$5:$G$504,$J61)),"",INDEX('Product Backlog'!$G$5:$G$504,$J61)))</f>
        <v/>
      </c>
      <c r="H61" s="48" t="str">
        <f>IF($J61="","",IF(ISBLANK(INDEX('Product Backlog'!$H$5:$H$504,$J61)),"",INDEX('Product Backlog'!$H$5:$H$504,$J61)))</f>
        <v/>
      </c>
      <c r="I61" s="48" t="str">
        <f>IF($J61="","",IF(ISBLANK(INDEX('Product Backlog'!$I$5:$I$504,$J61)),"",INDEX('Product Backlog'!$I$5:$I$504,$J61)))</f>
        <v/>
      </c>
      <c r="J61" t="str">
        <f>IFERROR(MATCH($B$4&amp;"-"&amp;ROWS($A$10:A61),'Product Backlog'!$J$5:$J$504,0),"")</f>
        <v/>
      </c>
    </row>
    <row r="62" spans="1:10" ht="21" customHeight="1" x14ac:dyDescent="0.2">
      <c r="A62" s="46" t="str">
        <f>IF($J62="","",IF(ISBLANK(INDEX('Product Backlog'!$A$5:$A$504,$J62)),"",INDEX('Product Backlog'!$A$5:$A$504,$J62)))</f>
        <v/>
      </c>
      <c r="B62" s="46" t="str">
        <f>IF($J62="","",IF(ISBLANK(INDEX('Product Backlog'!$B$5:$B$504,$J62)),"",INDEX('Product Backlog'!$B$5:$B$504,$J62)))</f>
        <v/>
      </c>
      <c r="C62" s="46" t="str">
        <f>IF($J62="","",IF(ISBLANK(INDEX('Product Backlog'!$C$5:$C$504,$J62)),"",INDEX('Product Backlog'!$C$5:$C$504,$J62)))</f>
        <v/>
      </c>
      <c r="D62" s="46" t="str">
        <f>IF($J62="","",IF(ISBLANK(INDEX('Product Backlog'!$D$5:$D$504,$J62)),"",INDEX('Product Backlog'!$D$5:$D$504,$J62)))</f>
        <v/>
      </c>
      <c r="E62" s="46" t="str">
        <f>IF($J62="","",IF(ISBLANK(INDEX('Product Backlog'!$E$5:$E$504,$J62)),"",INDEX('Product Backlog'!$E$5:$E$504,$J62)))</f>
        <v/>
      </c>
      <c r="F62" s="47" t="str">
        <f>IF($J62="","",IF(ISBLANK(INDEX('Product Backlog'!$F$5:$F$504,$J62)),"",INDEX('Product Backlog'!$F$5:$F$504,$J62)))</f>
        <v/>
      </c>
      <c r="G62" s="47" t="str">
        <f>IF($J62="","",IF(ISBLANK(INDEX('Product Backlog'!$G$5:$G$504,$J62)),"",INDEX('Product Backlog'!$G$5:$G$504,$J62)))</f>
        <v/>
      </c>
      <c r="H62" s="48" t="str">
        <f>IF($J62="","",IF(ISBLANK(INDEX('Product Backlog'!$H$5:$H$504,$J62)),"",INDEX('Product Backlog'!$H$5:$H$504,$J62)))</f>
        <v/>
      </c>
      <c r="I62" s="48" t="str">
        <f>IF($J62="","",IF(ISBLANK(INDEX('Product Backlog'!$I$5:$I$504,$J62)),"",INDEX('Product Backlog'!$I$5:$I$504,$J62)))</f>
        <v/>
      </c>
      <c r="J62" t="str">
        <f>IFERROR(MATCH($B$4&amp;"-"&amp;ROWS($A$10:A62),'Product Backlog'!$J$5:$J$504,0),"")</f>
        <v/>
      </c>
    </row>
    <row r="63" spans="1:10" ht="21" customHeight="1" x14ac:dyDescent="0.2">
      <c r="A63" s="46" t="str">
        <f>IF($J63="","",IF(ISBLANK(INDEX('Product Backlog'!$A$5:$A$504,$J63)),"",INDEX('Product Backlog'!$A$5:$A$504,$J63)))</f>
        <v/>
      </c>
      <c r="B63" s="46" t="str">
        <f>IF($J63="","",IF(ISBLANK(INDEX('Product Backlog'!$B$5:$B$504,$J63)),"",INDEX('Product Backlog'!$B$5:$B$504,$J63)))</f>
        <v/>
      </c>
      <c r="C63" s="46" t="str">
        <f>IF($J63="","",IF(ISBLANK(INDEX('Product Backlog'!$C$5:$C$504,$J63)),"",INDEX('Product Backlog'!$C$5:$C$504,$J63)))</f>
        <v/>
      </c>
      <c r="D63" s="46" t="str">
        <f>IF($J63="","",IF(ISBLANK(INDEX('Product Backlog'!$D$5:$D$504,$J63)),"",INDEX('Product Backlog'!$D$5:$D$504,$J63)))</f>
        <v/>
      </c>
      <c r="E63" s="46" t="str">
        <f>IF($J63="","",IF(ISBLANK(INDEX('Product Backlog'!$E$5:$E$504,$J63)),"",INDEX('Product Backlog'!$E$5:$E$504,$J63)))</f>
        <v/>
      </c>
      <c r="F63" s="47" t="str">
        <f>IF($J63="","",IF(ISBLANK(INDEX('Product Backlog'!$F$5:$F$504,$J63)),"",INDEX('Product Backlog'!$F$5:$F$504,$J63)))</f>
        <v/>
      </c>
      <c r="G63" s="47" t="str">
        <f>IF($J63="","",IF(ISBLANK(INDEX('Product Backlog'!$G$5:$G$504,$J63)),"",INDEX('Product Backlog'!$G$5:$G$504,$J63)))</f>
        <v/>
      </c>
      <c r="H63" s="48" t="str">
        <f>IF($J63="","",IF(ISBLANK(INDEX('Product Backlog'!$H$5:$H$504,$J63)),"",INDEX('Product Backlog'!$H$5:$H$504,$J63)))</f>
        <v/>
      </c>
      <c r="I63" s="48" t="str">
        <f>IF($J63="","",IF(ISBLANK(INDEX('Product Backlog'!$I$5:$I$504,$J63)),"",INDEX('Product Backlog'!$I$5:$I$504,$J63)))</f>
        <v/>
      </c>
      <c r="J63" t="str">
        <f>IFERROR(MATCH($B$4&amp;"-"&amp;ROWS($A$10:A63),'Product Backlog'!$J$5:$J$504,0),"")</f>
        <v/>
      </c>
    </row>
    <row r="64" spans="1:10" ht="21" customHeight="1" x14ac:dyDescent="0.2">
      <c r="A64" s="46" t="str">
        <f>IF($J64="","",IF(ISBLANK(INDEX('Product Backlog'!$A$5:$A$504,$J64)),"",INDEX('Product Backlog'!$A$5:$A$504,$J64)))</f>
        <v/>
      </c>
      <c r="B64" s="46" t="str">
        <f>IF($J64="","",IF(ISBLANK(INDEX('Product Backlog'!$B$5:$B$504,$J64)),"",INDEX('Product Backlog'!$B$5:$B$504,$J64)))</f>
        <v/>
      </c>
      <c r="C64" s="46" t="str">
        <f>IF($J64="","",IF(ISBLANK(INDEX('Product Backlog'!$C$5:$C$504,$J64)),"",INDEX('Product Backlog'!$C$5:$C$504,$J64)))</f>
        <v/>
      </c>
      <c r="D64" s="46" t="str">
        <f>IF($J64="","",IF(ISBLANK(INDEX('Product Backlog'!$D$5:$D$504,$J64)),"",INDEX('Product Backlog'!$D$5:$D$504,$J64)))</f>
        <v/>
      </c>
      <c r="E64" s="46" t="str">
        <f>IF($J64="","",IF(ISBLANK(INDEX('Product Backlog'!$E$5:$E$504,$J64)),"",INDEX('Product Backlog'!$E$5:$E$504,$J64)))</f>
        <v/>
      </c>
      <c r="F64" s="47" t="str">
        <f>IF($J64="","",IF(ISBLANK(INDEX('Product Backlog'!$F$5:$F$504,$J64)),"",INDEX('Product Backlog'!$F$5:$F$504,$J64)))</f>
        <v/>
      </c>
      <c r="G64" s="47" t="str">
        <f>IF($J64="","",IF(ISBLANK(INDEX('Product Backlog'!$G$5:$G$504,$J64)),"",INDEX('Product Backlog'!$G$5:$G$504,$J64)))</f>
        <v/>
      </c>
      <c r="H64" s="48" t="str">
        <f>IF($J64="","",IF(ISBLANK(INDEX('Product Backlog'!$H$5:$H$504,$J64)),"",INDEX('Product Backlog'!$H$5:$H$504,$J64)))</f>
        <v/>
      </c>
      <c r="I64" s="48" t="str">
        <f>IF($J64="","",IF(ISBLANK(INDEX('Product Backlog'!$I$5:$I$504,$J64)),"",INDEX('Product Backlog'!$I$5:$I$504,$J64)))</f>
        <v/>
      </c>
      <c r="J64" t="str">
        <f>IFERROR(MATCH($B$4&amp;"-"&amp;ROWS($A$10:A64),'Product Backlog'!$J$5:$J$504,0),"")</f>
        <v/>
      </c>
    </row>
    <row r="65" spans="1:10" ht="21" customHeight="1" x14ac:dyDescent="0.2">
      <c r="A65" s="46" t="str">
        <f>IF($J65="","",IF(ISBLANK(INDEX('Product Backlog'!$A$5:$A$504,$J65)),"",INDEX('Product Backlog'!$A$5:$A$504,$J65)))</f>
        <v/>
      </c>
      <c r="B65" s="46" t="str">
        <f>IF($J65="","",IF(ISBLANK(INDEX('Product Backlog'!$B$5:$B$504,$J65)),"",INDEX('Product Backlog'!$B$5:$B$504,$J65)))</f>
        <v/>
      </c>
      <c r="C65" s="46" t="str">
        <f>IF($J65="","",IF(ISBLANK(INDEX('Product Backlog'!$C$5:$C$504,$J65)),"",INDEX('Product Backlog'!$C$5:$C$504,$J65)))</f>
        <v/>
      </c>
      <c r="D65" s="46" t="str">
        <f>IF($J65="","",IF(ISBLANK(INDEX('Product Backlog'!$D$5:$D$504,$J65)),"",INDEX('Product Backlog'!$D$5:$D$504,$J65)))</f>
        <v/>
      </c>
      <c r="E65" s="46" t="str">
        <f>IF($J65="","",IF(ISBLANK(INDEX('Product Backlog'!$E$5:$E$504,$J65)),"",INDEX('Product Backlog'!$E$5:$E$504,$J65)))</f>
        <v/>
      </c>
      <c r="F65" s="47" t="str">
        <f>IF($J65="","",IF(ISBLANK(INDEX('Product Backlog'!$F$5:$F$504,$J65)),"",INDEX('Product Backlog'!$F$5:$F$504,$J65)))</f>
        <v/>
      </c>
      <c r="G65" s="47" t="str">
        <f>IF($J65="","",IF(ISBLANK(INDEX('Product Backlog'!$G$5:$G$504,$J65)),"",INDEX('Product Backlog'!$G$5:$G$504,$J65)))</f>
        <v/>
      </c>
      <c r="H65" s="48" t="str">
        <f>IF($J65="","",IF(ISBLANK(INDEX('Product Backlog'!$H$5:$H$504,$J65)),"",INDEX('Product Backlog'!$H$5:$H$504,$J65)))</f>
        <v/>
      </c>
      <c r="I65" s="48" t="str">
        <f>IF($J65="","",IF(ISBLANK(INDEX('Product Backlog'!$I$5:$I$504,$J65)),"",INDEX('Product Backlog'!$I$5:$I$504,$J65)))</f>
        <v/>
      </c>
      <c r="J65" t="str">
        <f>IFERROR(MATCH($B$4&amp;"-"&amp;ROWS($A$10:A65),'Product Backlog'!$J$5:$J$504,0),"")</f>
        <v/>
      </c>
    </row>
    <row r="66" spans="1:10" ht="21" customHeight="1" x14ac:dyDescent="0.2">
      <c r="A66" s="46" t="str">
        <f>IF($J66="","",IF(ISBLANK(INDEX('Product Backlog'!$A$5:$A$504,$J66)),"",INDEX('Product Backlog'!$A$5:$A$504,$J66)))</f>
        <v/>
      </c>
      <c r="B66" s="46" t="str">
        <f>IF($J66="","",IF(ISBLANK(INDEX('Product Backlog'!$B$5:$B$504,$J66)),"",INDEX('Product Backlog'!$B$5:$B$504,$J66)))</f>
        <v/>
      </c>
      <c r="C66" s="46" t="str">
        <f>IF($J66="","",IF(ISBLANK(INDEX('Product Backlog'!$C$5:$C$504,$J66)),"",INDEX('Product Backlog'!$C$5:$C$504,$J66)))</f>
        <v/>
      </c>
      <c r="D66" s="46" t="str">
        <f>IF($J66="","",IF(ISBLANK(INDEX('Product Backlog'!$D$5:$D$504,$J66)),"",INDEX('Product Backlog'!$D$5:$D$504,$J66)))</f>
        <v/>
      </c>
      <c r="E66" s="46" t="str">
        <f>IF($J66="","",IF(ISBLANK(INDEX('Product Backlog'!$E$5:$E$504,$J66)),"",INDEX('Product Backlog'!$E$5:$E$504,$J66)))</f>
        <v/>
      </c>
      <c r="F66" s="47" t="str">
        <f>IF($J66="","",IF(ISBLANK(INDEX('Product Backlog'!$F$5:$F$504,$J66)),"",INDEX('Product Backlog'!$F$5:$F$504,$J66)))</f>
        <v/>
      </c>
      <c r="G66" s="47" t="str">
        <f>IF($J66="","",IF(ISBLANK(INDEX('Product Backlog'!$G$5:$G$504,$J66)),"",INDEX('Product Backlog'!$G$5:$G$504,$J66)))</f>
        <v/>
      </c>
      <c r="H66" s="48" t="str">
        <f>IF($J66="","",IF(ISBLANK(INDEX('Product Backlog'!$H$5:$H$504,$J66)),"",INDEX('Product Backlog'!$H$5:$H$504,$J66)))</f>
        <v/>
      </c>
      <c r="I66" s="48" t="str">
        <f>IF($J66="","",IF(ISBLANK(INDEX('Product Backlog'!$I$5:$I$504,$J66)),"",INDEX('Product Backlog'!$I$5:$I$504,$J66)))</f>
        <v/>
      </c>
      <c r="J66" t="str">
        <f>IFERROR(MATCH($B$4&amp;"-"&amp;ROWS($A$10:A66),'Product Backlog'!$J$5:$J$504,0),"")</f>
        <v/>
      </c>
    </row>
    <row r="67" spans="1:10" ht="21" customHeight="1" x14ac:dyDescent="0.2">
      <c r="A67" s="46" t="str">
        <f>IF($J67="","",IF(ISBLANK(INDEX('Product Backlog'!$A$5:$A$504,$J67)),"",INDEX('Product Backlog'!$A$5:$A$504,$J67)))</f>
        <v/>
      </c>
      <c r="B67" s="46" t="str">
        <f>IF($J67="","",IF(ISBLANK(INDEX('Product Backlog'!$B$5:$B$504,$J67)),"",INDEX('Product Backlog'!$B$5:$B$504,$J67)))</f>
        <v/>
      </c>
      <c r="C67" s="46" t="str">
        <f>IF($J67="","",IF(ISBLANK(INDEX('Product Backlog'!$C$5:$C$504,$J67)),"",INDEX('Product Backlog'!$C$5:$C$504,$J67)))</f>
        <v/>
      </c>
      <c r="D67" s="46" t="str">
        <f>IF($J67="","",IF(ISBLANK(INDEX('Product Backlog'!$D$5:$D$504,$J67)),"",INDEX('Product Backlog'!$D$5:$D$504,$J67)))</f>
        <v/>
      </c>
      <c r="E67" s="46" t="str">
        <f>IF($J67="","",IF(ISBLANK(INDEX('Product Backlog'!$E$5:$E$504,$J67)),"",INDEX('Product Backlog'!$E$5:$E$504,$J67)))</f>
        <v/>
      </c>
      <c r="F67" s="47" t="str">
        <f>IF($J67="","",IF(ISBLANK(INDEX('Product Backlog'!$F$5:$F$504,$J67)),"",INDEX('Product Backlog'!$F$5:$F$504,$J67)))</f>
        <v/>
      </c>
      <c r="G67" s="47" t="str">
        <f>IF($J67="","",IF(ISBLANK(INDEX('Product Backlog'!$G$5:$G$504,$J67)),"",INDEX('Product Backlog'!$G$5:$G$504,$J67)))</f>
        <v/>
      </c>
      <c r="H67" s="48" t="str">
        <f>IF($J67="","",IF(ISBLANK(INDEX('Product Backlog'!$H$5:$H$504,$J67)),"",INDEX('Product Backlog'!$H$5:$H$504,$J67)))</f>
        <v/>
      </c>
      <c r="I67" s="48" t="str">
        <f>IF($J67="","",IF(ISBLANK(INDEX('Product Backlog'!$I$5:$I$504,$J67)),"",INDEX('Product Backlog'!$I$5:$I$504,$J67)))</f>
        <v/>
      </c>
      <c r="J67" t="str">
        <f>IFERROR(MATCH($B$4&amp;"-"&amp;ROWS($A$10:A67),'Product Backlog'!$J$5:$J$504,0),"")</f>
        <v/>
      </c>
    </row>
    <row r="68" spans="1:10" ht="21" customHeight="1" x14ac:dyDescent="0.2">
      <c r="A68" s="46" t="str">
        <f>IF($J68="","",IF(ISBLANK(INDEX('Product Backlog'!$A$5:$A$504,$J68)),"",INDEX('Product Backlog'!$A$5:$A$504,$J68)))</f>
        <v/>
      </c>
      <c r="B68" s="46" t="str">
        <f>IF($J68="","",IF(ISBLANK(INDEX('Product Backlog'!$B$5:$B$504,$J68)),"",INDEX('Product Backlog'!$B$5:$B$504,$J68)))</f>
        <v/>
      </c>
      <c r="C68" s="46" t="str">
        <f>IF($J68="","",IF(ISBLANK(INDEX('Product Backlog'!$C$5:$C$504,$J68)),"",INDEX('Product Backlog'!$C$5:$C$504,$J68)))</f>
        <v/>
      </c>
      <c r="D68" s="46" t="str">
        <f>IF($J68="","",IF(ISBLANK(INDEX('Product Backlog'!$D$5:$D$504,$J68)),"",INDEX('Product Backlog'!$D$5:$D$504,$J68)))</f>
        <v/>
      </c>
      <c r="E68" s="46" t="str">
        <f>IF($J68="","",IF(ISBLANK(INDEX('Product Backlog'!$E$5:$E$504,$J68)),"",INDEX('Product Backlog'!$E$5:$E$504,$J68)))</f>
        <v/>
      </c>
      <c r="F68" s="47" t="str">
        <f>IF($J68="","",IF(ISBLANK(INDEX('Product Backlog'!$F$5:$F$504,$J68)),"",INDEX('Product Backlog'!$F$5:$F$504,$J68)))</f>
        <v/>
      </c>
      <c r="G68" s="47" t="str">
        <f>IF($J68="","",IF(ISBLANK(INDEX('Product Backlog'!$G$5:$G$504,$J68)),"",INDEX('Product Backlog'!$G$5:$G$504,$J68)))</f>
        <v/>
      </c>
      <c r="H68" s="48" t="str">
        <f>IF($J68="","",IF(ISBLANK(INDEX('Product Backlog'!$H$5:$H$504,$J68)),"",INDEX('Product Backlog'!$H$5:$H$504,$J68)))</f>
        <v/>
      </c>
      <c r="I68" s="48" t="str">
        <f>IF($J68="","",IF(ISBLANK(INDEX('Product Backlog'!$I$5:$I$504,$J68)),"",INDEX('Product Backlog'!$I$5:$I$504,$J68)))</f>
        <v/>
      </c>
      <c r="J68" t="str">
        <f>IFERROR(MATCH($B$4&amp;"-"&amp;ROWS($A$10:A68),'Product Backlog'!$J$5:$J$504,0),"")</f>
        <v/>
      </c>
    </row>
    <row r="69" spans="1:10" ht="21" customHeight="1" x14ac:dyDescent="0.2">
      <c r="A69" s="46" t="str">
        <f>IF($J69="","",IF(ISBLANK(INDEX('Product Backlog'!$A$5:$A$504,$J69)),"",INDEX('Product Backlog'!$A$5:$A$504,$J69)))</f>
        <v/>
      </c>
      <c r="B69" s="46" t="str">
        <f>IF($J69="","",IF(ISBLANK(INDEX('Product Backlog'!$B$5:$B$504,$J69)),"",INDEX('Product Backlog'!$B$5:$B$504,$J69)))</f>
        <v/>
      </c>
      <c r="C69" s="46" t="str">
        <f>IF($J69="","",IF(ISBLANK(INDEX('Product Backlog'!$C$5:$C$504,$J69)),"",INDEX('Product Backlog'!$C$5:$C$504,$J69)))</f>
        <v/>
      </c>
      <c r="D69" s="46" t="str">
        <f>IF($J69="","",IF(ISBLANK(INDEX('Product Backlog'!$D$5:$D$504,$J69)),"",INDEX('Product Backlog'!$D$5:$D$504,$J69)))</f>
        <v/>
      </c>
      <c r="E69" s="46" t="str">
        <f>IF($J69="","",IF(ISBLANK(INDEX('Product Backlog'!$E$5:$E$504,$J69)),"",INDEX('Product Backlog'!$E$5:$E$504,$J69)))</f>
        <v/>
      </c>
      <c r="F69" s="47" t="str">
        <f>IF($J69="","",IF(ISBLANK(INDEX('Product Backlog'!$F$5:$F$504,$J69)),"",INDEX('Product Backlog'!$F$5:$F$504,$J69)))</f>
        <v/>
      </c>
      <c r="G69" s="47" t="str">
        <f>IF($J69="","",IF(ISBLANK(INDEX('Product Backlog'!$G$5:$G$504,$J69)),"",INDEX('Product Backlog'!$G$5:$G$504,$J69)))</f>
        <v/>
      </c>
      <c r="H69" s="48" t="str">
        <f>IF($J69="","",IF(ISBLANK(INDEX('Product Backlog'!$H$5:$H$504,$J69)),"",INDEX('Product Backlog'!$H$5:$H$504,$J69)))</f>
        <v/>
      </c>
      <c r="I69" s="48" t="str">
        <f>IF($J69="","",IF(ISBLANK(INDEX('Product Backlog'!$I$5:$I$504,$J69)),"",INDEX('Product Backlog'!$I$5:$I$504,$J69)))</f>
        <v/>
      </c>
      <c r="J69" t="str">
        <f>IFERROR(MATCH($B$4&amp;"-"&amp;ROWS($A$10:A69),'Product Backlog'!$J$5:$J$504,0),"")</f>
        <v/>
      </c>
    </row>
    <row r="70" spans="1:10" ht="21" customHeight="1" x14ac:dyDescent="0.2">
      <c r="A70" s="46" t="str">
        <f>IF($J70="","",IF(ISBLANK(INDEX('Product Backlog'!$A$5:$A$504,$J70)),"",INDEX('Product Backlog'!$A$5:$A$504,$J70)))</f>
        <v/>
      </c>
      <c r="B70" s="46" t="str">
        <f>IF($J70="","",IF(ISBLANK(INDEX('Product Backlog'!$B$5:$B$504,$J70)),"",INDEX('Product Backlog'!$B$5:$B$504,$J70)))</f>
        <v/>
      </c>
      <c r="C70" s="46" t="str">
        <f>IF($J70="","",IF(ISBLANK(INDEX('Product Backlog'!$C$5:$C$504,$J70)),"",INDEX('Product Backlog'!$C$5:$C$504,$J70)))</f>
        <v/>
      </c>
      <c r="D70" s="46" t="str">
        <f>IF($J70="","",IF(ISBLANK(INDEX('Product Backlog'!$D$5:$D$504,$J70)),"",INDEX('Product Backlog'!$D$5:$D$504,$J70)))</f>
        <v/>
      </c>
      <c r="E70" s="46" t="str">
        <f>IF($J70="","",IF(ISBLANK(INDEX('Product Backlog'!$E$5:$E$504,$J70)),"",INDEX('Product Backlog'!$E$5:$E$504,$J70)))</f>
        <v/>
      </c>
      <c r="F70" s="47" t="str">
        <f>IF($J70="","",IF(ISBLANK(INDEX('Product Backlog'!$F$5:$F$504,$J70)),"",INDEX('Product Backlog'!$F$5:$F$504,$J70)))</f>
        <v/>
      </c>
      <c r="G70" s="47" t="str">
        <f>IF($J70="","",IF(ISBLANK(INDEX('Product Backlog'!$G$5:$G$504,$J70)),"",INDEX('Product Backlog'!$G$5:$G$504,$J70)))</f>
        <v/>
      </c>
      <c r="H70" s="48" t="str">
        <f>IF($J70="","",IF(ISBLANK(INDEX('Product Backlog'!$H$5:$H$504,$J70)),"",INDEX('Product Backlog'!$H$5:$H$504,$J70)))</f>
        <v/>
      </c>
      <c r="I70" s="48" t="str">
        <f>IF($J70="","",IF(ISBLANK(INDEX('Product Backlog'!$I$5:$I$504,$J70)),"",INDEX('Product Backlog'!$I$5:$I$504,$J70)))</f>
        <v/>
      </c>
      <c r="J70" t="str">
        <f>IFERROR(MATCH($B$4&amp;"-"&amp;ROWS($A$10:A70),'Product Backlog'!$J$5:$J$504,0),"")</f>
        <v/>
      </c>
    </row>
    <row r="71" spans="1:10" ht="21" customHeight="1" x14ac:dyDescent="0.2">
      <c r="A71" s="46" t="str">
        <f>IF($J71="","",IF(ISBLANK(INDEX('Product Backlog'!$A$5:$A$504,$J71)),"",INDEX('Product Backlog'!$A$5:$A$504,$J71)))</f>
        <v/>
      </c>
      <c r="B71" s="46" t="str">
        <f>IF($J71="","",IF(ISBLANK(INDEX('Product Backlog'!$B$5:$B$504,$J71)),"",INDEX('Product Backlog'!$B$5:$B$504,$J71)))</f>
        <v/>
      </c>
      <c r="C71" s="46" t="str">
        <f>IF($J71="","",IF(ISBLANK(INDEX('Product Backlog'!$C$5:$C$504,$J71)),"",INDEX('Product Backlog'!$C$5:$C$504,$J71)))</f>
        <v/>
      </c>
      <c r="D71" s="46" t="str">
        <f>IF($J71="","",IF(ISBLANK(INDEX('Product Backlog'!$D$5:$D$504,$J71)),"",INDEX('Product Backlog'!$D$5:$D$504,$J71)))</f>
        <v/>
      </c>
      <c r="E71" s="46" t="str">
        <f>IF($J71="","",IF(ISBLANK(INDEX('Product Backlog'!$E$5:$E$504,$J71)),"",INDEX('Product Backlog'!$E$5:$E$504,$J71)))</f>
        <v/>
      </c>
      <c r="F71" s="47" t="str">
        <f>IF($J71="","",IF(ISBLANK(INDEX('Product Backlog'!$F$5:$F$504,$J71)),"",INDEX('Product Backlog'!$F$5:$F$504,$J71)))</f>
        <v/>
      </c>
      <c r="G71" s="47" t="str">
        <f>IF($J71="","",IF(ISBLANK(INDEX('Product Backlog'!$G$5:$G$504,$J71)),"",INDEX('Product Backlog'!$G$5:$G$504,$J71)))</f>
        <v/>
      </c>
      <c r="H71" s="48" t="str">
        <f>IF($J71="","",IF(ISBLANK(INDEX('Product Backlog'!$H$5:$H$504,$J71)),"",INDEX('Product Backlog'!$H$5:$H$504,$J71)))</f>
        <v/>
      </c>
      <c r="I71" s="48" t="str">
        <f>IF($J71="","",IF(ISBLANK(INDEX('Product Backlog'!$I$5:$I$504,$J71)),"",INDEX('Product Backlog'!$I$5:$I$504,$J71)))</f>
        <v/>
      </c>
      <c r="J71" t="str">
        <f>IFERROR(MATCH($B$4&amp;"-"&amp;ROWS($A$10:A71),'Product Backlog'!$J$5:$J$504,0),"")</f>
        <v/>
      </c>
    </row>
    <row r="72" spans="1:10" ht="21" customHeight="1" x14ac:dyDescent="0.2">
      <c r="A72" s="46" t="str">
        <f>IF($J72="","",IF(ISBLANK(INDEX('Product Backlog'!$A$5:$A$504,$J72)),"",INDEX('Product Backlog'!$A$5:$A$504,$J72)))</f>
        <v/>
      </c>
      <c r="B72" s="46" t="str">
        <f>IF($J72="","",IF(ISBLANK(INDEX('Product Backlog'!$B$5:$B$504,$J72)),"",INDEX('Product Backlog'!$B$5:$B$504,$J72)))</f>
        <v/>
      </c>
      <c r="C72" s="46" t="str">
        <f>IF($J72="","",IF(ISBLANK(INDEX('Product Backlog'!$C$5:$C$504,$J72)),"",INDEX('Product Backlog'!$C$5:$C$504,$J72)))</f>
        <v/>
      </c>
      <c r="D72" s="46" t="str">
        <f>IF($J72="","",IF(ISBLANK(INDEX('Product Backlog'!$D$5:$D$504,$J72)),"",INDEX('Product Backlog'!$D$5:$D$504,$J72)))</f>
        <v/>
      </c>
      <c r="E72" s="46" t="str">
        <f>IF($J72="","",IF(ISBLANK(INDEX('Product Backlog'!$E$5:$E$504,$J72)),"",INDEX('Product Backlog'!$E$5:$E$504,$J72)))</f>
        <v/>
      </c>
      <c r="F72" s="47" t="str">
        <f>IF($J72="","",IF(ISBLANK(INDEX('Product Backlog'!$F$5:$F$504,$J72)),"",INDEX('Product Backlog'!$F$5:$F$504,$J72)))</f>
        <v/>
      </c>
      <c r="G72" s="47" t="str">
        <f>IF($J72="","",IF(ISBLANK(INDEX('Product Backlog'!$G$5:$G$504,$J72)),"",INDEX('Product Backlog'!$G$5:$G$504,$J72)))</f>
        <v/>
      </c>
      <c r="H72" s="48" t="str">
        <f>IF($J72="","",IF(ISBLANK(INDEX('Product Backlog'!$H$5:$H$504,$J72)),"",INDEX('Product Backlog'!$H$5:$H$504,$J72)))</f>
        <v/>
      </c>
      <c r="I72" s="48" t="str">
        <f>IF($J72="","",IF(ISBLANK(INDEX('Product Backlog'!$I$5:$I$504,$J72)),"",INDEX('Product Backlog'!$I$5:$I$504,$J72)))</f>
        <v/>
      </c>
      <c r="J72" t="str">
        <f>IFERROR(MATCH($B$4&amp;"-"&amp;ROWS($A$10:A72),'Product Backlog'!$J$5:$J$504,0),"")</f>
        <v/>
      </c>
    </row>
    <row r="73" spans="1:10" ht="21" customHeight="1" x14ac:dyDescent="0.2">
      <c r="A73" s="46" t="str">
        <f>IF($J73="","",IF(ISBLANK(INDEX('Product Backlog'!$A$5:$A$504,$J73)),"",INDEX('Product Backlog'!$A$5:$A$504,$J73)))</f>
        <v/>
      </c>
      <c r="B73" s="46" t="str">
        <f>IF($J73="","",IF(ISBLANK(INDEX('Product Backlog'!$B$5:$B$504,$J73)),"",INDEX('Product Backlog'!$B$5:$B$504,$J73)))</f>
        <v/>
      </c>
      <c r="C73" s="46" t="str">
        <f>IF($J73="","",IF(ISBLANK(INDEX('Product Backlog'!$C$5:$C$504,$J73)),"",INDEX('Product Backlog'!$C$5:$C$504,$J73)))</f>
        <v/>
      </c>
      <c r="D73" s="46" t="str">
        <f>IF($J73="","",IF(ISBLANK(INDEX('Product Backlog'!$D$5:$D$504,$J73)),"",INDEX('Product Backlog'!$D$5:$D$504,$J73)))</f>
        <v/>
      </c>
      <c r="E73" s="46" t="str">
        <f>IF($J73="","",IF(ISBLANK(INDEX('Product Backlog'!$E$5:$E$504,$J73)),"",INDEX('Product Backlog'!$E$5:$E$504,$J73)))</f>
        <v/>
      </c>
      <c r="F73" s="47" t="str">
        <f>IF($J73="","",IF(ISBLANK(INDEX('Product Backlog'!$F$5:$F$504,$J73)),"",INDEX('Product Backlog'!$F$5:$F$504,$J73)))</f>
        <v/>
      </c>
      <c r="G73" s="47" t="str">
        <f>IF($J73="","",IF(ISBLANK(INDEX('Product Backlog'!$G$5:$G$504,$J73)),"",INDEX('Product Backlog'!$G$5:$G$504,$J73)))</f>
        <v/>
      </c>
      <c r="H73" s="48" t="str">
        <f>IF($J73="","",IF(ISBLANK(INDEX('Product Backlog'!$H$5:$H$504,$J73)),"",INDEX('Product Backlog'!$H$5:$H$504,$J73)))</f>
        <v/>
      </c>
      <c r="I73" s="48" t="str">
        <f>IF($J73="","",IF(ISBLANK(INDEX('Product Backlog'!$I$5:$I$504,$J73)),"",INDEX('Product Backlog'!$I$5:$I$504,$J73)))</f>
        <v/>
      </c>
      <c r="J73" t="str">
        <f>IFERROR(MATCH($B$4&amp;"-"&amp;ROWS($A$10:A73),'Product Backlog'!$J$5:$J$504,0),"")</f>
        <v/>
      </c>
    </row>
    <row r="74" spans="1:10" ht="21" customHeight="1" x14ac:dyDescent="0.2">
      <c r="A74" s="46" t="str">
        <f>IF($J74="","",IF(ISBLANK(INDEX('Product Backlog'!$A$5:$A$504,$J74)),"",INDEX('Product Backlog'!$A$5:$A$504,$J74)))</f>
        <v/>
      </c>
      <c r="B74" s="46" t="str">
        <f>IF($J74="","",IF(ISBLANK(INDEX('Product Backlog'!$B$5:$B$504,$J74)),"",INDEX('Product Backlog'!$B$5:$B$504,$J74)))</f>
        <v/>
      </c>
      <c r="C74" s="46" t="str">
        <f>IF($J74="","",IF(ISBLANK(INDEX('Product Backlog'!$C$5:$C$504,$J74)),"",INDEX('Product Backlog'!$C$5:$C$504,$J74)))</f>
        <v/>
      </c>
      <c r="D74" s="46" t="str">
        <f>IF($J74="","",IF(ISBLANK(INDEX('Product Backlog'!$D$5:$D$504,$J74)),"",INDEX('Product Backlog'!$D$5:$D$504,$J74)))</f>
        <v/>
      </c>
      <c r="E74" s="46" t="str">
        <f>IF($J74="","",IF(ISBLANK(INDEX('Product Backlog'!$E$5:$E$504,$J74)),"",INDEX('Product Backlog'!$E$5:$E$504,$J74)))</f>
        <v/>
      </c>
      <c r="F74" s="47" t="str">
        <f>IF($J74="","",IF(ISBLANK(INDEX('Product Backlog'!$F$5:$F$504,$J74)),"",INDEX('Product Backlog'!$F$5:$F$504,$J74)))</f>
        <v/>
      </c>
      <c r="G74" s="47" t="str">
        <f>IF($J74="","",IF(ISBLANK(INDEX('Product Backlog'!$G$5:$G$504,$J74)),"",INDEX('Product Backlog'!$G$5:$G$504,$J74)))</f>
        <v/>
      </c>
      <c r="H74" s="48" t="str">
        <f>IF($J74="","",IF(ISBLANK(INDEX('Product Backlog'!$H$5:$H$504,$J74)),"",INDEX('Product Backlog'!$H$5:$H$504,$J74)))</f>
        <v/>
      </c>
      <c r="I74" s="48" t="str">
        <f>IF($J74="","",IF(ISBLANK(INDEX('Product Backlog'!$I$5:$I$504,$J74)),"",INDEX('Product Backlog'!$I$5:$I$504,$J74)))</f>
        <v/>
      </c>
      <c r="J74" t="str">
        <f>IFERROR(MATCH($B$4&amp;"-"&amp;ROWS($A$10:A74),'Product Backlog'!$J$5:$J$504,0),"")</f>
        <v/>
      </c>
    </row>
    <row r="75" spans="1:10" ht="21" customHeight="1" x14ac:dyDescent="0.2">
      <c r="A75" s="46" t="str">
        <f>IF($J75="","",IF(ISBLANK(INDEX('Product Backlog'!$A$5:$A$504,$J75)),"",INDEX('Product Backlog'!$A$5:$A$504,$J75)))</f>
        <v/>
      </c>
      <c r="B75" s="46" t="str">
        <f>IF($J75="","",IF(ISBLANK(INDEX('Product Backlog'!$B$5:$B$504,$J75)),"",INDEX('Product Backlog'!$B$5:$B$504,$J75)))</f>
        <v/>
      </c>
      <c r="C75" s="46" t="str">
        <f>IF($J75="","",IF(ISBLANK(INDEX('Product Backlog'!$C$5:$C$504,$J75)),"",INDEX('Product Backlog'!$C$5:$C$504,$J75)))</f>
        <v/>
      </c>
      <c r="D75" s="46" t="str">
        <f>IF($J75="","",IF(ISBLANK(INDEX('Product Backlog'!$D$5:$D$504,$J75)),"",INDEX('Product Backlog'!$D$5:$D$504,$J75)))</f>
        <v/>
      </c>
      <c r="E75" s="46" t="str">
        <f>IF($J75="","",IF(ISBLANK(INDEX('Product Backlog'!$E$5:$E$504,$J75)),"",INDEX('Product Backlog'!$E$5:$E$504,$J75)))</f>
        <v/>
      </c>
      <c r="F75" s="47" t="str">
        <f>IF($J75="","",IF(ISBLANK(INDEX('Product Backlog'!$F$5:$F$504,$J75)),"",INDEX('Product Backlog'!$F$5:$F$504,$J75)))</f>
        <v/>
      </c>
      <c r="G75" s="47" t="str">
        <f>IF($J75="","",IF(ISBLANK(INDEX('Product Backlog'!$G$5:$G$504,$J75)),"",INDEX('Product Backlog'!$G$5:$G$504,$J75)))</f>
        <v/>
      </c>
      <c r="H75" s="48" t="str">
        <f>IF($J75="","",IF(ISBLANK(INDEX('Product Backlog'!$H$5:$H$504,$J75)),"",INDEX('Product Backlog'!$H$5:$H$504,$J75)))</f>
        <v/>
      </c>
      <c r="I75" s="48" t="str">
        <f>IF($J75="","",IF(ISBLANK(INDEX('Product Backlog'!$I$5:$I$504,$J75)),"",INDEX('Product Backlog'!$I$5:$I$504,$J75)))</f>
        <v/>
      </c>
      <c r="J75" t="str">
        <f>IFERROR(MATCH($B$4&amp;"-"&amp;ROWS($A$10:A75),'Product Backlog'!$J$5:$J$504,0),"")</f>
        <v/>
      </c>
    </row>
    <row r="76" spans="1:10" ht="21" customHeight="1" x14ac:dyDescent="0.2">
      <c r="A76" s="46" t="str">
        <f>IF($J76="","",IF(ISBLANK(INDEX('Product Backlog'!$A$5:$A$504,$J76)),"",INDEX('Product Backlog'!$A$5:$A$504,$J76)))</f>
        <v/>
      </c>
      <c r="B76" s="46" t="str">
        <f>IF($J76="","",IF(ISBLANK(INDEX('Product Backlog'!$B$5:$B$504,$J76)),"",INDEX('Product Backlog'!$B$5:$B$504,$J76)))</f>
        <v/>
      </c>
      <c r="C76" s="46" t="str">
        <f>IF($J76="","",IF(ISBLANK(INDEX('Product Backlog'!$C$5:$C$504,$J76)),"",INDEX('Product Backlog'!$C$5:$C$504,$J76)))</f>
        <v/>
      </c>
      <c r="D76" s="46" t="str">
        <f>IF($J76="","",IF(ISBLANK(INDEX('Product Backlog'!$D$5:$D$504,$J76)),"",INDEX('Product Backlog'!$D$5:$D$504,$J76)))</f>
        <v/>
      </c>
      <c r="E76" s="46" t="str">
        <f>IF($J76="","",IF(ISBLANK(INDEX('Product Backlog'!$E$5:$E$504,$J76)),"",INDEX('Product Backlog'!$E$5:$E$504,$J76)))</f>
        <v/>
      </c>
      <c r="F76" s="47" t="str">
        <f>IF($J76="","",IF(ISBLANK(INDEX('Product Backlog'!$F$5:$F$504,$J76)),"",INDEX('Product Backlog'!$F$5:$F$504,$J76)))</f>
        <v/>
      </c>
      <c r="G76" s="47" t="str">
        <f>IF($J76="","",IF(ISBLANK(INDEX('Product Backlog'!$G$5:$G$504,$J76)),"",INDEX('Product Backlog'!$G$5:$G$504,$J76)))</f>
        <v/>
      </c>
      <c r="H76" s="48" t="str">
        <f>IF($J76="","",IF(ISBLANK(INDEX('Product Backlog'!$H$5:$H$504,$J76)),"",INDEX('Product Backlog'!$H$5:$H$504,$J76)))</f>
        <v/>
      </c>
      <c r="I76" s="48" t="str">
        <f>IF($J76="","",IF(ISBLANK(INDEX('Product Backlog'!$I$5:$I$504,$J76)),"",INDEX('Product Backlog'!$I$5:$I$504,$J76)))</f>
        <v/>
      </c>
      <c r="J76" t="str">
        <f>IFERROR(MATCH($B$4&amp;"-"&amp;ROWS($A$10:A76),'Product Backlog'!$J$5:$J$504,0),"")</f>
        <v/>
      </c>
    </row>
    <row r="77" spans="1:10" ht="21" customHeight="1" x14ac:dyDescent="0.2">
      <c r="A77" s="46" t="str">
        <f>IF($J77="","",IF(ISBLANK(INDEX('Product Backlog'!$A$5:$A$504,$J77)),"",INDEX('Product Backlog'!$A$5:$A$504,$J77)))</f>
        <v/>
      </c>
      <c r="B77" s="46" t="str">
        <f>IF($J77="","",IF(ISBLANK(INDEX('Product Backlog'!$B$5:$B$504,$J77)),"",INDEX('Product Backlog'!$B$5:$B$504,$J77)))</f>
        <v/>
      </c>
      <c r="C77" s="46" t="str">
        <f>IF($J77="","",IF(ISBLANK(INDEX('Product Backlog'!$C$5:$C$504,$J77)),"",INDEX('Product Backlog'!$C$5:$C$504,$J77)))</f>
        <v/>
      </c>
      <c r="D77" s="46" t="str">
        <f>IF($J77="","",IF(ISBLANK(INDEX('Product Backlog'!$D$5:$D$504,$J77)),"",INDEX('Product Backlog'!$D$5:$D$504,$J77)))</f>
        <v/>
      </c>
      <c r="E77" s="46" t="str">
        <f>IF($J77="","",IF(ISBLANK(INDEX('Product Backlog'!$E$5:$E$504,$J77)),"",INDEX('Product Backlog'!$E$5:$E$504,$J77)))</f>
        <v/>
      </c>
      <c r="F77" s="47" t="str">
        <f>IF($J77="","",IF(ISBLANK(INDEX('Product Backlog'!$F$5:$F$504,$J77)),"",INDEX('Product Backlog'!$F$5:$F$504,$J77)))</f>
        <v/>
      </c>
      <c r="G77" s="47" t="str">
        <f>IF($J77="","",IF(ISBLANK(INDEX('Product Backlog'!$G$5:$G$504,$J77)),"",INDEX('Product Backlog'!$G$5:$G$504,$J77)))</f>
        <v/>
      </c>
      <c r="H77" s="48" t="str">
        <f>IF($J77="","",IF(ISBLANK(INDEX('Product Backlog'!$H$5:$H$504,$J77)),"",INDEX('Product Backlog'!$H$5:$H$504,$J77)))</f>
        <v/>
      </c>
      <c r="I77" s="48" t="str">
        <f>IF($J77="","",IF(ISBLANK(INDEX('Product Backlog'!$I$5:$I$504,$J77)),"",INDEX('Product Backlog'!$I$5:$I$504,$J77)))</f>
        <v/>
      </c>
      <c r="J77" t="str">
        <f>IFERROR(MATCH($B$4&amp;"-"&amp;ROWS($A$10:A77),'Product Backlog'!$J$5:$J$504,0),"")</f>
        <v/>
      </c>
    </row>
    <row r="78" spans="1:10" ht="21" customHeight="1" x14ac:dyDescent="0.2">
      <c r="A78" s="46" t="str">
        <f>IF($J78="","",IF(ISBLANK(INDEX('Product Backlog'!$A$5:$A$504,$J78)),"",INDEX('Product Backlog'!$A$5:$A$504,$J78)))</f>
        <v/>
      </c>
      <c r="B78" s="46" t="str">
        <f>IF($J78="","",IF(ISBLANK(INDEX('Product Backlog'!$B$5:$B$504,$J78)),"",INDEX('Product Backlog'!$B$5:$B$504,$J78)))</f>
        <v/>
      </c>
      <c r="C78" s="46" t="str">
        <f>IF($J78="","",IF(ISBLANK(INDEX('Product Backlog'!$C$5:$C$504,$J78)),"",INDEX('Product Backlog'!$C$5:$C$504,$J78)))</f>
        <v/>
      </c>
      <c r="D78" s="46" t="str">
        <f>IF($J78="","",IF(ISBLANK(INDEX('Product Backlog'!$D$5:$D$504,$J78)),"",INDEX('Product Backlog'!$D$5:$D$504,$J78)))</f>
        <v/>
      </c>
      <c r="E78" s="46" t="str">
        <f>IF($J78="","",IF(ISBLANK(INDEX('Product Backlog'!$E$5:$E$504,$J78)),"",INDEX('Product Backlog'!$E$5:$E$504,$J78)))</f>
        <v/>
      </c>
      <c r="F78" s="47" t="str">
        <f>IF($J78="","",IF(ISBLANK(INDEX('Product Backlog'!$F$5:$F$504,$J78)),"",INDEX('Product Backlog'!$F$5:$F$504,$J78)))</f>
        <v/>
      </c>
      <c r="G78" s="47" t="str">
        <f>IF($J78="","",IF(ISBLANK(INDEX('Product Backlog'!$G$5:$G$504,$J78)),"",INDEX('Product Backlog'!$G$5:$G$504,$J78)))</f>
        <v/>
      </c>
      <c r="H78" s="48" t="str">
        <f>IF($J78="","",IF(ISBLANK(INDEX('Product Backlog'!$H$5:$H$504,$J78)),"",INDEX('Product Backlog'!$H$5:$H$504,$J78)))</f>
        <v/>
      </c>
      <c r="I78" s="48" t="str">
        <f>IF($J78="","",IF(ISBLANK(INDEX('Product Backlog'!$I$5:$I$504,$J78)),"",INDEX('Product Backlog'!$I$5:$I$504,$J78)))</f>
        <v/>
      </c>
      <c r="J78" t="str">
        <f>IFERROR(MATCH($B$4&amp;"-"&amp;ROWS($A$10:A78),'Product Backlog'!$J$5:$J$504,0),"")</f>
        <v/>
      </c>
    </row>
    <row r="79" spans="1:10" ht="21" customHeight="1" x14ac:dyDescent="0.2">
      <c r="A79" s="46" t="str">
        <f>IF($J79="","",IF(ISBLANK(INDEX('Product Backlog'!$A$5:$A$504,$J79)),"",INDEX('Product Backlog'!$A$5:$A$504,$J79)))</f>
        <v/>
      </c>
      <c r="B79" s="46" t="str">
        <f>IF($J79="","",IF(ISBLANK(INDEX('Product Backlog'!$B$5:$B$504,$J79)),"",INDEX('Product Backlog'!$B$5:$B$504,$J79)))</f>
        <v/>
      </c>
      <c r="C79" s="46" t="str">
        <f>IF($J79="","",IF(ISBLANK(INDEX('Product Backlog'!$C$5:$C$504,$J79)),"",INDEX('Product Backlog'!$C$5:$C$504,$J79)))</f>
        <v/>
      </c>
      <c r="D79" s="46" t="str">
        <f>IF($J79="","",IF(ISBLANK(INDEX('Product Backlog'!$D$5:$D$504,$J79)),"",INDEX('Product Backlog'!$D$5:$D$504,$J79)))</f>
        <v/>
      </c>
      <c r="E79" s="46" t="str">
        <f>IF($J79="","",IF(ISBLANK(INDEX('Product Backlog'!$E$5:$E$504,$J79)),"",INDEX('Product Backlog'!$E$5:$E$504,$J79)))</f>
        <v/>
      </c>
      <c r="F79" s="47" t="str">
        <f>IF($J79="","",IF(ISBLANK(INDEX('Product Backlog'!$F$5:$F$504,$J79)),"",INDEX('Product Backlog'!$F$5:$F$504,$J79)))</f>
        <v/>
      </c>
      <c r="G79" s="47" t="str">
        <f>IF($J79="","",IF(ISBLANK(INDEX('Product Backlog'!$G$5:$G$504,$J79)),"",INDEX('Product Backlog'!$G$5:$G$504,$J79)))</f>
        <v/>
      </c>
      <c r="H79" s="48" t="str">
        <f>IF($J79="","",IF(ISBLANK(INDEX('Product Backlog'!$H$5:$H$504,$J79)),"",INDEX('Product Backlog'!$H$5:$H$504,$J79)))</f>
        <v/>
      </c>
      <c r="I79" s="48" t="str">
        <f>IF($J79="","",IF(ISBLANK(INDEX('Product Backlog'!$I$5:$I$504,$J79)),"",INDEX('Product Backlog'!$I$5:$I$504,$J79)))</f>
        <v/>
      </c>
      <c r="J79" t="str">
        <f>IFERROR(MATCH($B$4&amp;"-"&amp;ROWS($A$10:A79),'Product Backlog'!$J$5:$J$504,0),"")</f>
        <v/>
      </c>
    </row>
    <row r="80" spans="1:10" ht="21" customHeight="1" x14ac:dyDescent="0.2">
      <c r="A80" s="46" t="str">
        <f>IF($J80="","",IF(ISBLANK(INDEX('Product Backlog'!$A$5:$A$504,$J80)),"",INDEX('Product Backlog'!$A$5:$A$504,$J80)))</f>
        <v/>
      </c>
      <c r="B80" s="46" t="str">
        <f>IF($J80="","",IF(ISBLANK(INDEX('Product Backlog'!$B$5:$B$504,$J80)),"",INDEX('Product Backlog'!$B$5:$B$504,$J80)))</f>
        <v/>
      </c>
      <c r="C80" s="46" t="str">
        <f>IF($J80="","",IF(ISBLANK(INDEX('Product Backlog'!$C$5:$C$504,$J80)),"",INDEX('Product Backlog'!$C$5:$C$504,$J80)))</f>
        <v/>
      </c>
      <c r="D80" s="46" t="str">
        <f>IF($J80="","",IF(ISBLANK(INDEX('Product Backlog'!$D$5:$D$504,$J80)),"",INDEX('Product Backlog'!$D$5:$D$504,$J80)))</f>
        <v/>
      </c>
      <c r="E80" s="46" t="str">
        <f>IF($J80="","",IF(ISBLANK(INDEX('Product Backlog'!$E$5:$E$504,$J80)),"",INDEX('Product Backlog'!$E$5:$E$504,$J80)))</f>
        <v/>
      </c>
      <c r="F80" s="47" t="str">
        <f>IF($J80="","",IF(ISBLANK(INDEX('Product Backlog'!$F$5:$F$504,$J80)),"",INDEX('Product Backlog'!$F$5:$F$504,$J80)))</f>
        <v/>
      </c>
      <c r="G80" s="47" t="str">
        <f>IF($J80="","",IF(ISBLANK(INDEX('Product Backlog'!$G$5:$G$504,$J80)),"",INDEX('Product Backlog'!$G$5:$G$504,$J80)))</f>
        <v/>
      </c>
      <c r="H80" s="48" t="str">
        <f>IF($J80="","",IF(ISBLANK(INDEX('Product Backlog'!$H$5:$H$504,$J80)),"",INDEX('Product Backlog'!$H$5:$H$504,$J80)))</f>
        <v/>
      </c>
      <c r="I80" s="48" t="str">
        <f>IF($J80="","",IF(ISBLANK(INDEX('Product Backlog'!$I$5:$I$504,$J80)),"",INDEX('Product Backlog'!$I$5:$I$504,$J80)))</f>
        <v/>
      </c>
      <c r="J80" t="str">
        <f>IFERROR(MATCH($B$4&amp;"-"&amp;ROWS($A$10:A80),'Product Backlog'!$J$5:$J$504,0),"")</f>
        <v/>
      </c>
    </row>
    <row r="81" spans="1:10" ht="21" customHeight="1" x14ac:dyDescent="0.2">
      <c r="A81" s="46" t="str">
        <f>IF($J81="","",IF(ISBLANK(INDEX('Product Backlog'!$A$5:$A$504,$J81)),"",INDEX('Product Backlog'!$A$5:$A$504,$J81)))</f>
        <v/>
      </c>
      <c r="B81" s="46" t="str">
        <f>IF($J81="","",IF(ISBLANK(INDEX('Product Backlog'!$B$5:$B$504,$J81)),"",INDEX('Product Backlog'!$B$5:$B$504,$J81)))</f>
        <v/>
      </c>
      <c r="C81" s="46" t="str">
        <f>IF($J81="","",IF(ISBLANK(INDEX('Product Backlog'!$C$5:$C$504,$J81)),"",INDEX('Product Backlog'!$C$5:$C$504,$J81)))</f>
        <v/>
      </c>
      <c r="D81" s="46" t="str">
        <f>IF($J81="","",IF(ISBLANK(INDEX('Product Backlog'!$D$5:$D$504,$J81)),"",INDEX('Product Backlog'!$D$5:$D$504,$J81)))</f>
        <v/>
      </c>
      <c r="E81" s="46" t="str">
        <f>IF($J81="","",IF(ISBLANK(INDEX('Product Backlog'!$E$5:$E$504,$J81)),"",INDEX('Product Backlog'!$E$5:$E$504,$J81)))</f>
        <v/>
      </c>
      <c r="F81" s="47" t="str">
        <f>IF($J81="","",IF(ISBLANK(INDEX('Product Backlog'!$F$5:$F$504,$J81)),"",INDEX('Product Backlog'!$F$5:$F$504,$J81)))</f>
        <v/>
      </c>
      <c r="G81" s="47" t="str">
        <f>IF($J81="","",IF(ISBLANK(INDEX('Product Backlog'!$G$5:$G$504,$J81)),"",INDEX('Product Backlog'!$G$5:$G$504,$J81)))</f>
        <v/>
      </c>
      <c r="H81" s="48" t="str">
        <f>IF($J81="","",IF(ISBLANK(INDEX('Product Backlog'!$H$5:$H$504,$J81)),"",INDEX('Product Backlog'!$H$5:$H$504,$J81)))</f>
        <v/>
      </c>
      <c r="I81" s="48" t="str">
        <f>IF($J81="","",IF(ISBLANK(INDEX('Product Backlog'!$I$5:$I$504,$J81)),"",INDEX('Product Backlog'!$I$5:$I$504,$J81)))</f>
        <v/>
      </c>
      <c r="J81" t="str">
        <f>IFERROR(MATCH($B$4&amp;"-"&amp;ROWS($A$10:A81),'Product Backlog'!$J$5:$J$504,0),"")</f>
        <v/>
      </c>
    </row>
    <row r="82" spans="1:10" ht="21" customHeight="1" x14ac:dyDescent="0.2">
      <c r="A82" s="46" t="str">
        <f>IF($J82="","",IF(ISBLANK(INDEX('Product Backlog'!$A$5:$A$504,$J82)),"",INDEX('Product Backlog'!$A$5:$A$504,$J82)))</f>
        <v/>
      </c>
      <c r="B82" s="46" t="str">
        <f>IF($J82="","",IF(ISBLANK(INDEX('Product Backlog'!$B$5:$B$504,$J82)),"",INDEX('Product Backlog'!$B$5:$B$504,$J82)))</f>
        <v/>
      </c>
      <c r="C82" s="46" t="str">
        <f>IF($J82="","",IF(ISBLANK(INDEX('Product Backlog'!$C$5:$C$504,$J82)),"",INDEX('Product Backlog'!$C$5:$C$504,$J82)))</f>
        <v/>
      </c>
      <c r="D82" s="46" t="str">
        <f>IF($J82="","",IF(ISBLANK(INDEX('Product Backlog'!$D$5:$D$504,$J82)),"",INDEX('Product Backlog'!$D$5:$D$504,$J82)))</f>
        <v/>
      </c>
      <c r="E82" s="46" t="str">
        <f>IF($J82="","",IF(ISBLANK(INDEX('Product Backlog'!$E$5:$E$504,$J82)),"",INDEX('Product Backlog'!$E$5:$E$504,$J82)))</f>
        <v/>
      </c>
      <c r="F82" s="47" t="str">
        <f>IF($J82="","",IF(ISBLANK(INDEX('Product Backlog'!$F$5:$F$504,$J82)),"",INDEX('Product Backlog'!$F$5:$F$504,$J82)))</f>
        <v/>
      </c>
      <c r="G82" s="47" t="str">
        <f>IF($J82="","",IF(ISBLANK(INDEX('Product Backlog'!$G$5:$G$504,$J82)),"",INDEX('Product Backlog'!$G$5:$G$504,$J82)))</f>
        <v/>
      </c>
      <c r="H82" s="48" t="str">
        <f>IF($J82="","",IF(ISBLANK(INDEX('Product Backlog'!$H$5:$H$504,$J82)),"",INDEX('Product Backlog'!$H$5:$H$504,$J82)))</f>
        <v/>
      </c>
      <c r="I82" s="48" t="str">
        <f>IF($J82="","",IF(ISBLANK(INDEX('Product Backlog'!$I$5:$I$504,$J82)),"",INDEX('Product Backlog'!$I$5:$I$504,$J82)))</f>
        <v/>
      </c>
      <c r="J82" t="str">
        <f>IFERROR(MATCH($B$4&amp;"-"&amp;ROWS($A$10:A82),'Product Backlog'!$J$5:$J$504,0),"")</f>
        <v/>
      </c>
    </row>
    <row r="83" spans="1:10" ht="21" customHeight="1" x14ac:dyDescent="0.2">
      <c r="A83" s="46" t="str">
        <f>IF($J83="","",IF(ISBLANK(INDEX('Product Backlog'!$A$5:$A$504,$J83)),"",INDEX('Product Backlog'!$A$5:$A$504,$J83)))</f>
        <v/>
      </c>
      <c r="B83" s="46" t="str">
        <f>IF($J83="","",IF(ISBLANK(INDEX('Product Backlog'!$B$5:$B$504,$J83)),"",INDEX('Product Backlog'!$B$5:$B$504,$J83)))</f>
        <v/>
      </c>
      <c r="C83" s="46" t="str">
        <f>IF($J83="","",IF(ISBLANK(INDEX('Product Backlog'!$C$5:$C$504,$J83)),"",INDEX('Product Backlog'!$C$5:$C$504,$J83)))</f>
        <v/>
      </c>
      <c r="D83" s="46" t="str">
        <f>IF($J83="","",IF(ISBLANK(INDEX('Product Backlog'!$D$5:$D$504,$J83)),"",INDEX('Product Backlog'!$D$5:$D$504,$J83)))</f>
        <v/>
      </c>
      <c r="E83" s="46" t="str">
        <f>IF($J83="","",IF(ISBLANK(INDEX('Product Backlog'!$E$5:$E$504,$J83)),"",INDEX('Product Backlog'!$E$5:$E$504,$J83)))</f>
        <v/>
      </c>
      <c r="F83" s="47" t="str">
        <f>IF($J83="","",IF(ISBLANK(INDEX('Product Backlog'!$F$5:$F$504,$J83)),"",INDEX('Product Backlog'!$F$5:$F$504,$J83)))</f>
        <v/>
      </c>
      <c r="G83" s="47" t="str">
        <f>IF($J83="","",IF(ISBLANK(INDEX('Product Backlog'!$G$5:$G$504,$J83)),"",INDEX('Product Backlog'!$G$5:$G$504,$J83)))</f>
        <v/>
      </c>
      <c r="H83" s="48" t="str">
        <f>IF($J83="","",IF(ISBLANK(INDEX('Product Backlog'!$H$5:$H$504,$J83)),"",INDEX('Product Backlog'!$H$5:$H$504,$J83)))</f>
        <v/>
      </c>
      <c r="I83" s="48" t="str">
        <f>IF($J83="","",IF(ISBLANK(INDEX('Product Backlog'!$I$5:$I$504,$J83)),"",INDEX('Product Backlog'!$I$5:$I$504,$J83)))</f>
        <v/>
      </c>
      <c r="J83" t="str">
        <f>IFERROR(MATCH($B$4&amp;"-"&amp;ROWS($A$10:A83),'Product Backlog'!$J$5:$J$504,0),"")</f>
        <v/>
      </c>
    </row>
    <row r="84" spans="1:10" ht="21" customHeight="1" x14ac:dyDescent="0.2">
      <c r="A84" s="46" t="str">
        <f>IF($J84="","",IF(ISBLANK(INDEX('Product Backlog'!$A$5:$A$504,$J84)),"",INDEX('Product Backlog'!$A$5:$A$504,$J84)))</f>
        <v/>
      </c>
      <c r="B84" s="46" t="str">
        <f>IF($J84="","",IF(ISBLANK(INDEX('Product Backlog'!$B$5:$B$504,$J84)),"",INDEX('Product Backlog'!$B$5:$B$504,$J84)))</f>
        <v/>
      </c>
      <c r="C84" s="46" t="str">
        <f>IF($J84="","",IF(ISBLANK(INDEX('Product Backlog'!$C$5:$C$504,$J84)),"",INDEX('Product Backlog'!$C$5:$C$504,$J84)))</f>
        <v/>
      </c>
      <c r="D84" s="46" t="str">
        <f>IF($J84="","",IF(ISBLANK(INDEX('Product Backlog'!$D$5:$D$504,$J84)),"",INDEX('Product Backlog'!$D$5:$D$504,$J84)))</f>
        <v/>
      </c>
      <c r="E84" s="46" t="str">
        <f>IF($J84="","",IF(ISBLANK(INDEX('Product Backlog'!$E$5:$E$504,$J84)),"",INDEX('Product Backlog'!$E$5:$E$504,$J84)))</f>
        <v/>
      </c>
      <c r="F84" s="47" t="str">
        <f>IF($J84="","",IF(ISBLANK(INDEX('Product Backlog'!$F$5:$F$504,$J84)),"",INDEX('Product Backlog'!$F$5:$F$504,$J84)))</f>
        <v/>
      </c>
      <c r="G84" s="47" t="str">
        <f>IF($J84="","",IF(ISBLANK(INDEX('Product Backlog'!$G$5:$G$504,$J84)),"",INDEX('Product Backlog'!$G$5:$G$504,$J84)))</f>
        <v/>
      </c>
      <c r="H84" s="48" t="str">
        <f>IF($J84="","",IF(ISBLANK(INDEX('Product Backlog'!$H$5:$H$504,$J84)),"",INDEX('Product Backlog'!$H$5:$H$504,$J84)))</f>
        <v/>
      </c>
      <c r="I84" s="48" t="str">
        <f>IF($J84="","",IF(ISBLANK(INDEX('Product Backlog'!$I$5:$I$504,$J84)),"",INDEX('Product Backlog'!$I$5:$I$504,$J84)))</f>
        <v/>
      </c>
      <c r="J84" t="str">
        <f>IFERROR(MATCH($B$4&amp;"-"&amp;ROWS($A$10:A84),'Product Backlog'!$J$5:$J$504,0),"")</f>
        <v/>
      </c>
    </row>
    <row r="85" spans="1:10" ht="21" customHeight="1" x14ac:dyDescent="0.2">
      <c r="A85" s="46" t="str">
        <f>IF($J85="","",IF(ISBLANK(INDEX('Product Backlog'!$A$5:$A$504,$J85)),"",INDEX('Product Backlog'!$A$5:$A$504,$J85)))</f>
        <v/>
      </c>
      <c r="B85" s="46" t="str">
        <f>IF($J85="","",IF(ISBLANK(INDEX('Product Backlog'!$B$5:$B$504,$J85)),"",INDEX('Product Backlog'!$B$5:$B$504,$J85)))</f>
        <v/>
      </c>
      <c r="C85" s="46" t="str">
        <f>IF($J85="","",IF(ISBLANK(INDEX('Product Backlog'!$C$5:$C$504,$J85)),"",INDEX('Product Backlog'!$C$5:$C$504,$J85)))</f>
        <v/>
      </c>
      <c r="D85" s="46" t="str">
        <f>IF($J85="","",IF(ISBLANK(INDEX('Product Backlog'!$D$5:$D$504,$J85)),"",INDEX('Product Backlog'!$D$5:$D$504,$J85)))</f>
        <v/>
      </c>
      <c r="E85" s="46" t="str">
        <f>IF($J85="","",IF(ISBLANK(INDEX('Product Backlog'!$E$5:$E$504,$J85)),"",INDEX('Product Backlog'!$E$5:$E$504,$J85)))</f>
        <v/>
      </c>
      <c r="F85" s="47" t="str">
        <f>IF($J85="","",IF(ISBLANK(INDEX('Product Backlog'!$F$5:$F$504,$J85)),"",INDEX('Product Backlog'!$F$5:$F$504,$J85)))</f>
        <v/>
      </c>
      <c r="G85" s="47" t="str">
        <f>IF($J85="","",IF(ISBLANK(INDEX('Product Backlog'!$G$5:$G$504,$J85)),"",INDEX('Product Backlog'!$G$5:$G$504,$J85)))</f>
        <v/>
      </c>
      <c r="H85" s="48" t="str">
        <f>IF($J85="","",IF(ISBLANK(INDEX('Product Backlog'!$H$5:$H$504,$J85)),"",INDEX('Product Backlog'!$H$5:$H$504,$J85)))</f>
        <v/>
      </c>
      <c r="I85" s="48" t="str">
        <f>IF($J85="","",IF(ISBLANK(INDEX('Product Backlog'!$I$5:$I$504,$J85)),"",INDEX('Product Backlog'!$I$5:$I$504,$J85)))</f>
        <v/>
      </c>
      <c r="J85" t="str">
        <f>IFERROR(MATCH($B$4&amp;"-"&amp;ROWS($A$10:A85),'Product Backlog'!$J$5:$J$504,0),"")</f>
        <v/>
      </c>
    </row>
    <row r="86" spans="1:10" ht="21" customHeight="1" x14ac:dyDescent="0.2">
      <c r="A86" s="46" t="str">
        <f>IF($J86="","",IF(ISBLANK(INDEX('Product Backlog'!$A$5:$A$504,$J86)),"",INDEX('Product Backlog'!$A$5:$A$504,$J86)))</f>
        <v/>
      </c>
      <c r="B86" s="46" t="str">
        <f>IF($J86="","",IF(ISBLANK(INDEX('Product Backlog'!$B$5:$B$504,$J86)),"",INDEX('Product Backlog'!$B$5:$B$504,$J86)))</f>
        <v/>
      </c>
      <c r="C86" s="46" t="str">
        <f>IF($J86="","",IF(ISBLANK(INDEX('Product Backlog'!$C$5:$C$504,$J86)),"",INDEX('Product Backlog'!$C$5:$C$504,$J86)))</f>
        <v/>
      </c>
      <c r="D86" s="46" t="str">
        <f>IF($J86="","",IF(ISBLANK(INDEX('Product Backlog'!$D$5:$D$504,$J86)),"",INDEX('Product Backlog'!$D$5:$D$504,$J86)))</f>
        <v/>
      </c>
      <c r="E86" s="46" t="str">
        <f>IF($J86="","",IF(ISBLANK(INDEX('Product Backlog'!$E$5:$E$504,$J86)),"",INDEX('Product Backlog'!$E$5:$E$504,$J86)))</f>
        <v/>
      </c>
      <c r="F86" s="47" t="str">
        <f>IF($J86="","",IF(ISBLANK(INDEX('Product Backlog'!$F$5:$F$504,$J86)),"",INDEX('Product Backlog'!$F$5:$F$504,$J86)))</f>
        <v/>
      </c>
      <c r="G86" s="47" t="str">
        <f>IF($J86="","",IF(ISBLANK(INDEX('Product Backlog'!$G$5:$G$504,$J86)),"",INDEX('Product Backlog'!$G$5:$G$504,$J86)))</f>
        <v/>
      </c>
      <c r="H86" s="48" t="str">
        <f>IF($J86="","",IF(ISBLANK(INDEX('Product Backlog'!$H$5:$H$504,$J86)),"",INDEX('Product Backlog'!$H$5:$H$504,$J86)))</f>
        <v/>
      </c>
      <c r="I86" s="48" t="str">
        <f>IF($J86="","",IF(ISBLANK(INDEX('Product Backlog'!$I$5:$I$504,$J86)),"",INDEX('Product Backlog'!$I$5:$I$504,$J86)))</f>
        <v/>
      </c>
      <c r="J86" t="str">
        <f>IFERROR(MATCH($B$4&amp;"-"&amp;ROWS($A$10:A86),'Product Backlog'!$J$5:$J$504,0),"")</f>
        <v/>
      </c>
    </row>
    <row r="87" spans="1:10" ht="21" customHeight="1" x14ac:dyDescent="0.2">
      <c r="A87" s="46" t="str">
        <f>IF($J87="","",IF(ISBLANK(INDEX('Product Backlog'!$A$5:$A$504,$J87)),"",INDEX('Product Backlog'!$A$5:$A$504,$J87)))</f>
        <v/>
      </c>
      <c r="B87" s="46" t="str">
        <f>IF($J87="","",IF(ISBLANK(INDEX('Product Backlog'!$B$5:$B$504,$J87)),"",INDEX('Product Backlog'!$B$5:$B$504,$J87)))</f>
        <v/>
      </c>
      <c r="C87" s="46" t="str">
        <f>IF($J87="","",IF(ISBLANK(INDEX('Product Backlog'!$C$5:$C$504,$J87)),"",INDEX('Product Backlog'!$C$5:$C$504,$J87)))</f>
        <v/>
      </c>
      <c r="D87" s="46" t="str">
        <f>IF($J87="","",IF(ISBLANK(INDEX('Product Backlog'!$D$5:$D$504,$J87)),"",INDEX('Product Backlog'!$D$5:$D$504,$J87)))</f>
        <v/>
      </c>
      <c r="E87" s="46" t="str">
        <f>IF($J87="","",IF(ISBLANK(INDEX('Product Backlog'!$E$5:$E$504,$J87)),"",INDEX('Product Backlog'!$E$5:$E$504,$J87)))</f>
        <v/>
      </c>
      <c r="F87" s="47" t="str">
        <f>IF($J87="","",IF(ISBLANK(INDEX('Product Backlog'!$F$5:$F$504,$J87)),"",INDEX('Product Backlog'!$F$5:$F$504,$J87)))</f>
        <v/>
      </c>
      <c r="G87" s="47" t="str">
        <f>IF($J87="","",IF(ISBLANK(INDEX('Product Backlog'!$G$5:$G$504,$J87)),"",INDEX('Product Backlog'!$G$5:$G$504,$J87)))</f>
        <v/>
      </c>
      <c r="H87" s="48" t="str">
        <f>IF($J87="","",IF(ISBLANK(INDEX('Product Backlog'!$H$5:$H$504,$J87)),"",INDEX('Product Backlog'!$H$5:$H$504,$J87)))</f>
        <v/>
      </c>
      <c r="I87" s="48" t="str">
        <f>IF($J87="","",IF(ISBLANK(INDEX('Product Backlog'!$I$5:$I$504,$J87)),"",INDEX('Product Backlog'!$I$5:$I$504,$J87)))</f>
        <v/>
      </c>
      <c r="J87" t="str">
        <f>IFERROR(MATCH($B$4&amp;"-"&amp;ROWS($A$10:A87),'Product Backlog'!$J$5:$J$504,0),"")</f>
        <v/>
      </c>
    </row>
    <row r="88" spans="1:10" ht="21" customHeight="1" x14ac:dyDescent="0.2">
      <c r="A88" s="46" t="str">
        <f>IF($J88="","",IF(ISBLANK(INDEX('Product Backlog'!$A$5:$A$504,$J88)),"",INDEX('Product Backlog'!$A$5:$A$504,$J88)))</f>
        <v/>
      </c>
      <c r="B88" s="46" t="str">
        <f>IF($J88="","",IF(ISBLANK(INDEX('Product Backlog'!$B$5:$B$504,$J88)),"",INDEX('Product Backlog'!$B$5:$B$504,$J88)))</f>
        <v/>
      </c>
      <c r="C88" s="46" t="str">
        <f>IF($J88="","",IF(ISBLANK(INDEX('Product Backlog'!$C$5:$C$504,$J88)),"",INDEX('Product Backlog'!$C$5:$C$504,$J88)))</f>
        <v/>
      </c>
      <c r="D88" s="46" t="str">
        <f>IF($J88="","",IF(ISBLANK(INDEX('Product Backlog'!$D$5:$D$504,$J88)),"",INDEX('Product Backlog'!$D$5:$D$504,$J88)))</f>
        <v/>
      </c>
      <c r="E88" s="46" t="str">
        <f>IF($J88="","",IF(ISBLANK(INDEX('Product Backlog'!$E$5:$E$504,$J88)),"",INDEX('Product Backlog'!$E$5:$E$504,$J88)))</f>
        <v/>
      </c>
      <c r="F88" s="47" t="str">
        <f>IF($J88="","",IF(ISBLANK(INDEX('Product Backlog'!$F$5:$F$504,$J88)),"",INDEX('Product Backlog'!$F$5:$F$504,$J88)))</f>
        <v/>
      </c>
      <c r="G88" s="47" t="str">
        <f>IF($J88="","",IF(ISBLANK(INDEX('Product Backlog'!$G$5:$G$504,$J88)),"",INDEX('Product Backlog'!$G$5:$G$504,$J88)))</f>
        <v/>
      </c>
      <c r="H88" s="48" t="str">
        <f>IF($J88="","",IF(ISBLANK(INDEX('Product Backlog'!$H$5:$H$504,$J88)),"",INDEX('Product Backlog'!$H$5:$H$504,$J88)))</f>
        <v/>
      </c>
      <c r="I88" s="48" t="str">
        <f>IF($J88="","",IF(ISBLANK(INDEX('Product Backlog'!$I$5:$I$504,$J88)),"",INDEX('Product Backlog'!$I$5:$I$504,$J88)))</f>
        <v/>
      </c>
      <c r="J88" t="str">
        <f>IFERROR(MATCH($B$4&amp;"-"&amp;ROWS($A$10:A88),'Product Backlog'!$J$5:$J$504,0),"")</f>
        <v/>
      </c>
    </row>
    <row r="89" spans="1:10" ht="21" customHeight="1" x14ac:dyDescent="0.2">
      <c r="A89" s="46" t="str">
        <f>IF($J89="","",IF(ISBLANK(INDEX('Product Backlog'!$A$5:$A$504,$J89)),"",INDEX('Product Backlog'!$A$5:$A$504,$J89)))</f>
        <v/>
      </c>
      <c r="B89" s="46" t="str">
        <f>IF($J89="","",IF(ISBLANK(INDEX('Product Backlog'!$B$5:$B$504,$J89)),"",INDEX('Product Backlog'!$B$5:$B$504,$J89)))</f>
        <v/>
      </c>
      <c r="C89" s="46" t="str">
        <f>IF($J89="","",IF(ISBLANK(INDEX('Product Backlog'!$C$5:$C$504,$J89)),"",INDEX('Product Backlog'!$C$5:$C$504,$J89)))</f>
        <v/>
      </c>
      <c r="D89" s="46" t="str">
        <f>IF($J89="","",IF(ISBLANK(INDEX('Product Backlog'!$D$5:$D$504,$J89)),"",INDEX('Product Backlog'!$D$5:$D$504,$J89)))</f>
        <v/>
      </c>
      <c r="E89" s="46" t="str">
        <f>IF($J89="","",IF(ISBLANK(INDEX('Product Backlog'!$E$5:$E$504,$J89)),"",INDEX('Product Backlog'!$E$5:$E$504,$J89)))</f>
        <v/>
      </c>
      <c r="F89" s="47" t="str">
        <f>IF($J89="","",IF(ISBLANK(INDEX('Product Backlog'!$F$5:$F$504,$J89)),"",INDEX('Product Backlog'!$F$5:$F$504,$J89)))</f>
        <v/>
      </c>
      <c r="G89" s="47" t="str">
        <f>IF($J89="","",IF(ISBLANK(INDEX('Product Backlog'!$G$5:$G$504,$J89)),"",INDEX('Product Backlog'!$G$5:$G$504,$J89)))</f>
        <v/>
      </c>
      <c r="H89" s="48" t="str">
        <f>IF($J89="","",IF(ISBLANK(INDEX('Product Backlog'!$H$5:$H$504,$J89)),"",INDEX('Product Backlog'!$H$5:$H$504,$J89)))</f>
        <v/>
      </c>
      <c r="I89" s="48" t="str">
        <f>IF($J89="","",IF(ISBLANK(INDEX('Product Backlog'!$I$5:$I$504,$J89)),"",INDEX('Product Backlog'!$I$5:$I$504,$J89)))</f>
        <v/>
      </c>
      <c r="J89" t="str">
        <f>IFERROR(MATCH($B$4&amp;"-"&amp;ROWS($A$10:A89),'Product Backlog'!$J$5:$J$504,0),"")</f>
        <v/>
      </c>
    </row>
    <row r="90" spans="1:10" ht="21" customHeight="1" x14ac:dyDescent="0.2">
      <c r="A90" s="46" t="str">
        <f>IF($J90="","",IF(ISBLANK(INDEX('Product Backlog'!$A$5:$A$504,$J90)),"",INDEX('Product Backlog'!$A$5:$A$504,$J90)))</f>
        <v/>
      </c>
      <c r="B90" s="46" t="str">
        <f>IF($J90="","",IF(ISBLANK(INDEX('Product Backlog'!$B$5:$B$504,$J90)),"",INDEX('Product Backlog'!$B$5:$B$504,$J90)))</f>
        <v/>
      </c>
      <c r="C90" s="46" t="str">
        <f>IF($J90="","",IF(ISBLANK(INDEX('Product Backlog'!$C$5:$C$504,$J90)),"",INDEX('Product Backlog'!$C$5:$C$504,$J90)))</f>
        <v/>
      </c>
      <c r="D90" s="46" t="str">
        <f>IF($J90="","",IF(ISBLANK(INDEX('Product Backlog'!$D$5:$D$504,$J90)),"",INDEX('Product Backlog'!$D$5:$D$504,$J90)))</f>
        <v/>
      </c>
      <c r="E90" s="46" t="str">
        <f>IF($J90="","",IF(ISBLANK(INDEX('Product Backlog'!$E$5:$E$504,$J90)),"",INDEX('Product Backlog'!$E$5:$E$504,$J90)))</f>
        <v/>
      </c>
      <c r="F90" s="47" t="str">
        <f>IF($J90="","",IF(ISBLANK(INDEX('Product Backlog'!$F$5:$F$504,$J90)),"",INDEX('Product Backlog'!$F$5:$F$504,$J90)))</f>
        <v/>
      </c>
      <c r="G90" s="47" t="str">
        <f>IF($J90="","",IF(ISBLANK(INDEX('Product Backlog'!$G$5:$G$504,$J90)),"",INDEX('Product Backlog'!$G$5:$G$504,$J90)))</f>
        <v/>
      </c>
      <c r="H90" s="48" t="str">
        <f>IF($J90="","",IF(ISBLANK(INDEX('Product Backlog'!$H$5:$H$504,$J90)),"",INDEX('Product Backlog'!$H$5:$H$504,$J90)))</f>
        <v/>
      </c>
      <c r="I90" s="48" t="str">
        <f>IF($J90="","",IF(ISBLANK(INDEX('Product Backlog'!$I$5:$I$504,$J90)),"",INDEX('Product Backlog'!$I$5:$I$504,$J90)))</f>
        <v/>
      </c>
      <c r="J90" t="str">
        <f>IFERROR(MATCH($B$4&amp;"-"&amp;ROWS($A$10:A90),'Product Backlog'!$J$5:$J$504,0),"")</f>
        <v/>
      </c>
    </row>
    <row r="91" spans="1:10" ht="21" customHeight="1" x14ac:dyDescent="0.2">
      <c r="A91" s="46" t="str">
        <f>IF($J91="","",IF(ISBLANK(INDEX('Product Backlog'!$A$5:$A$504,$J91)),"",INDEX('Product Backlog'!$A$5:$A$504,$J91)))</f>
        <v/>
      </c>
      <c r="B91" s="46" t="str">
        <f>IF($J91="","",IF(ISBLANK(INDEX('Product Backlog'!$B$5:$B$504,$J91)),"",INDEX('Product Backlog'!$B$5:$B$504,$J91)))</f>
        <v/>
      </c>
      <c r="C91" s="46" t="str">
        <f>IF($J91="","",IF(ISBLANK(INDEX('Product Backlog'!$C$5:$C$504,$J91)),"",INDEX('Product Backlog'!$C$5:$C$504,$J91)))</f>
        <v/>
      </c>
      <c r="D91" s="46" t="str">
        <f>IF($J91="","",IF(ISBLANK(INDEX('Product Backlog'!$D$5:$D$504,$J91)),"",INDEX('Product Backlog'!$D$5:$D$504,$J91)))</f>
        <v/>
      </c>
      <c r="E91" s="46" t="str">
        <f>IF($J91="","",IF(ISBLANK(INDEX('Product Backlog'!$E$5:$E$504,$J91)),"",INDEX('Product Backlog'!$E$5:$E$504,$J91)))</f>
        <v/>
      </c>
      <c r="F91" s="47" t="str">
        <f>IF($J91="","",IF(ISBLANK(INDEX('Product Backlog'!$F$5:$F$504,$J91)),"",INDEX('Product Backlog'!$F$5:$F$504,$J91)))</f>
        <v/>
      </c>
      <c r="G91" s="47" t="str">
        <f>IF($J91="","",IF(ISBLANK(INDEX('Product Backlog'!$G$5:$G$504,$J91)),"",INDEX('Product Backlog'!$G$5:$G$504,$J91)))</f>
        <v/>
      </c>
      <c r="H91" s="48" t="str">
        <f>IF($J91="","",IF(ISBLANK(INDEX('Product Backlog'!$H$5:$H$504,$J91)),"",INDEX('Product Backlog'!$H$5:$H$504,$J91)))</f>
        <v/>
      </c>
      <c r="I91" s="48" t="str">
        <f>IF($J91="","",IF(ISBLANK(INDEX('Product Backlog'!$I$5:$I$504,$J91)),"",INDEX('Product Backlog'!$I$5:$I$504,$J91)))</f>
        <v/>
      </c>
      <c r="J91" t="str">
        <f>IFERROR(MATCH($B$4&amp;"-"&amp;ROWS($A$10:A91),'Product Backlog'!$J$5:$J$504,0),"")</f>
        <v/>
      </c>
    </row>
    <row r="92" spans="1:10" ht="21" customHeight="1" x14ac:dyDescent="0.2">
      <c r="A92" s="46" t="str">
        <f>IF($J92="","",IF(ISBLANK(INDEX('Product Backlog'!$A$5:$A$504,$J92)),"",INDEX('Product Backlog'!$A$5:$A$504,$J92)))</f>
        <v/>
      </c>
      <c r="B92" s="46" t="str">
        <f>IF($J92="","",IF(ISBLANK(INDEX('Product Backlog'!$B$5:$B$504,$J92)),"",INDEX('Product Backlog'!$B$5:$B$504,$J92)))</f>
        <v/>
      </c>
      <c r="C92" s="46" t="str">
        <f>IF($J92="","",IF(ISBLANK(INDEX('Product Backlog'!$C$5:$C$504,$J92)),"",INDEX('Product Backlog'!$C$5:$C$504,$J92)))</f>
        <v/>
      </c>
      <c r="D92" s="46" t="str">
        <f>IF($J92="","",IF(ISBLANK(INDEX('Product Backlog'!$D$5:$D$504,$J92)),"",INDEX('Product Backlog'!$D$5:$D$504,$J92)))</f>
        <v/>
      </c>
      <c r="E92" s="46" t="str">
        <f>IF($J92="","",IF(ISBLANK(INDEX('Product Backlog'!$E$5:$E$504,$J92)),"",INDEX('Product Backlog'!$E$5:$E$504,$J92)))</f>
        <v/>
      </c>
      <c r="F92" s="47" t="str">
        <f>IF($J92="","",IF(ISBLANK(INDEX('Product Backlog'!$F$5:$F$504,$J92)),"",INDEX('Product Backlog'!$F$5:$F$504,$J92)))</f>
        <v/>
      </c>
      <c r="G92" s="47" t="str">
        <f>IF($J92="","",IF(ISBLANK(INDEX('Product Backlog'!$G$5:$G$504,$J92)),"",INDEX('Product Backlog'!$G$5:$G$504,$J92)))</f>
        <v/>
      </c>
      <c r="H92" s="48" t="str">
        <f>IF($J92="","",IF(ISBLANK(INDEX('Product Backlog'!$H$5:$H$504,$J92)),"",INDEX('Product Backlog'!$H$5:$H$504,$J92)))</f>
        <v/>
      </c>
      <c r="I92" s="48" t="str">
        <f>IF($J92="","",IF(ISBLANK(INDEX('Product Backlog'!$I$5:$I$504,$J92)),"",INDEX('Product Backlog'!$I$5:$I$504,$J92)))</f>
        <v/>
      </c>
      <c r="J92" t="str">
        <f>IFERROR(MATCH($B$4&amp;"-"&amp;ROWS($A$10:A92),'Product Backlog'!$J$5:$J$504,0),"")</f>
        <v/>
      </c>
    </row>
    <row r="93" spans="1:10" ht="21" customHeight="1" x14ac:dyDescent="0.2">
      <c r="A93" s="46" t="str">
        <f>IF($J93="","",IF(ISBLANK(INDEX('Product Backlog'!$A$5:$A$504,$J93)),"",INDEX('Product Backlog'!$A$5:$A$504,$J93)))</f>
        <v/>
      </c>
      <c r="B93" s="46" t="str">
        <f>IF($J93="","",IF(ISBLANK(INDEX('Product Backlog'!$B$5:$B$504,$J93)),"",INDEX('Product Backlog'!$B$5:$B$504,$J93)))</f>
        <v/>
      </c>
      <c r="C93" s="46" t="str">
        <f>IF($J93="","",IF(ISBLANK(INDEX('Product Backlog'!$C$5:$C$504,$J93)),"",INDEX('Product Backlog'!$C$5:$C$504,$J93)))</f>
        <v/>
      </c>
      <c r="D93" s="46" t="str">
        <f>IF($J93="","",IF(ISBLANK(INDEX('Product Backlog'!$D$5:$D$504,$J93)),"",INDEX('Product Backlog'!$D$5:$D$504,$J93)))</f>
        <v/>
      </c>
      <c r="E93" s="46" t="str">
        <f>IF($J93="","",IF(ISBLANK(INDEX('Product Backlog'!$E$5:$E$504,$J93)),"",INDEX('Product Backlog'!$E$5:$E$504,$J93)))</f>
        <v/>
      </c>
      <c r="F93" s="47" t="str">
        <f>IF($J93="","",IF(ISBLANK(INDEX('Product Backlog'!$F$5:$F$504,$J93)),"",INDEX('Product Backlog'!$F$5:$F$504,$J93)))</f>
        <v/>
      </c>
      <c r="G93" s="47" t="str">
        <f>IF($J93="","",IF(ISBLANK(INDEX('Product Backlog'!$G$5:$G$504,$J93)),"",INDEX('Product Backlog'!$G$5:$G$504,$J93)))</f>
        <v/>
      </c>
      <c r="H93" s="48" t="str">
        <f>IF($J93="","",IF(ISBLANK(INDEX('Product Backlog'!$H$5:$H$504,$J93)),"",INDEX('Product Backlog'!$H$5:$H$504,$J93)))</f>
        <v/>
      </c>
      <c r="I93" s="48" t="str">
        <f>IF($J93="","",IF(ISBLANK(INDEX('Product Backlog'!$I$5:$I$504,$J93)),"",INDEX('Product Backlog'!$I$5:$I$504,$J93)))</f>
        <v/>
      </c>
      <c r="J93" t="str">
        <f>IFERROR(MATCH($B$4&amp;"-"&amp;ROWS($A$10:A93),'Product Backlog'!$J$5:$J$504,0),"")</f>
        <v/>
      </c>
    </row>
    <row r="94" spans="1:10" ht="21" customHeight="1" x14ac:dyDescent="0.2">
      <c r="A94" s="46" t="str">
        <f>IF($J94="","",IF(ISBLANK(INDEX('Product Backlog'!$A$5:$A$504,$J94)),"",INDEX('Product Backlog'!$A$5:$A$504,$J94)))</f>
        <v/>
      </c>
      <c r="B94" s="46" t="str">
        <f>IF($J94="","",IF(ISBLANK(INDEX('Product Backlog'!$B$5:$B$504,$J94)),"",INDEX('Product Backlog'!$B$5:$B$504,$J94)))</f>
        <v/>
      </c>
      <c r="C94" s="46" t="str">
        <f>IF($J94="","",IF(ISBLANK(INDEX('Product Backlog'!$C$5:$C$504,$J94)),"",INDEX('Product Backlog'!$C$5:$C$504,$J94)))</f>
        <v/>
      </c>
      <c r="D94" s="46" t="str">
        <f>IF($J94="","",IF(ISBLANK(INDEX('Product Backlog'!$D$5:$D$504,$J94)),"",INDEX('Product Backlog'!$D$5:$D$504,$J94)))</f>
        <v/>
      </c>
      <c r="E94" s="46" t="str">
        <f>IF($J94="","",IF(ISBLANK(INDEX('Product Backlog'!$E$5:$E$504,$J94)),"",INDEX('Product Backlog'!$E$5:$E$504,$J94)))</f>
        <v/>
      </c>
      <c r="F94" s="47" t="str">
        <f>IF($J94="","",IF(ISBLANK(INDEX('Product Backlog'!$F$5:$F$504,$J94)),"",INDEX('Product Backlog'!$F$5:$F$504,$J94)))</f>
        <v/>
      </c>
      <c r="G94" s="47" t="str">
        <f>IF($J94="","",IF(ISBLANK(INDEX('Product Backlog'!$G$5:$G$504,$J94)),"",INDEX('Product Backlog'!$G$5:$G$504,$J94)))</f>
        <v/>
      </c>
      <c r="H94" s="48" t="str">
        <f>IF($J94="","",IF(ISBLANK(INDEX('Product Backlog'!$H$5:$H$504,$J94)),"",INDEX('Product Backlog'!$H$5:$H$504,$J94)))</f>
        <v/>
      </c>
      <c r="I94" s="48" t="str">
        <f>IF($J94="","",IF(ISBLANK(INDEX('Product Backlog'!$I$5:$I$504,$J94)),"",INDEX('Product Backlog'!$I$5:$I$504,$J94)))</f>
        <v/>
      </c>
      <c r="J94" t="str">
        <f>IFERROR(MATCH($B$4&amp;"-"&amp;ROWS($A$10:A94),'Product Backlog'!$J$5:$J$504,0),"")</f>
        <v/>
      </c>
    </row>
    <row r="95" spans="1:10" ht="21" customHeight="1" x14ac:dyDescent="0.2">
      <c r="A95" s="46" t="str">
        <f>IF($J95="","",IF(ISBLANK(INDEX('Product Backlog'!$A$5:$A$504,$J95)),"",INDEX('Product Backlog'!$A$5:$A$504,$J95)))</f>
        <v/>
      </c>
      <c r="B95" s="46" t="str">
        <f>IF($J95="","",IF(ISBLANK(INDEX('Product Backlog'!$B$5:$B$504,$J95)),"",INDEX('Product Backlog'!$B$5:$B$504,$J95)))</f>
        <v/>
      </c>
      <c r="C95" s="46" t="str">
        <f>IF($J95="","",IF(ISBLANK(INDEX('Product Backlog'!$C$5:$C$504,$J95)),"",INDEX('Product Backlog'!$C$5:$C$504,$J95)))</f>
        <v/>
      </c>
      <c r="D95" s="46" t="str">
        <f>IF($J95="","",IF(ISBLANK(INDEX('Product Backlog'!$D$5:$D$504,$J95)),"",INDEX('Product Backlog'!$D$5:$D$504,$J95)))</f>
        <v/>
      </c>
      <c r="E95" s="46" t="str">
        <f>IF($J95="","",IF(ISBLANK(INDEX('Product Backlog'!$E$5:$E$504,$J95)),"",INDEX('Product Backlog'!$E$5:$E$504,$J95)))</f>
        <v/>
      </c>
      <c r="F95" s="47" t="str">
        <f>IF($J95="","",IF(ISBLANK(INDEX('Product Backlog'!$F$5:$F$504,$J95)),"",INDEX('Product Backlog'!$F$5:$F$504,$J95)))</f>
        <v/>
      </c>
      <c r="G95" s="47" t="str">
        <f>IF($J95="","",IF(ISBLANK(INDEX('Product Backlog'!$G$5:$G$504,$J95)),"",INDEX('Product Backlog'!$G$5:$G$504,$J95)))</f>
        <v/>
      </c>
      <c r="H95" s="48" t="str">
        <f>IF($J95="","",IF(ISBLANK(INDEX('Product Backlog'!$H$5:$H$504,$J95)),"",INDEX('Product Backlog'!$H$5:$H$504,$J95)))</f>
        <v/>
      </c>
      <c r="I95" s="48" t="str">
        <f>IF($J95="","",IF(ISBLANK(INDEX('Product Backlog'!$I$5:$I$504,$J95)),"",INDEX('Product Backlog'!$I$5:$I$504,$J95)))</f>
        <v/>
      </c>
      <c r="J95" t="str">
        <f>IFERROR(MATCH($B$4&amp;"-"&amp;ROWS($A$10:A95),'Product Backlog'!$J$5:$J$504,0),"")</f>
        <v/>
      </c>
    </row>
    <row r="96" spans="1:10" ht="21" customHeight="1" x14ac:dyDescent="0.2">
      <c r="A96" s="46" t="str">
        <f>IF($J96="","",IF(ISBLANK(INDEX('Product Backlog'!$A$5:$A$504,$J96)),"",INDEX('Product Backlog'!$A$5:$A$504,$J96)))</f>
        <v/>
      </c>
      <c r="B96" s="46" t="str">
        <f>IF($J96="","",IF(ISBLANK(INDEX('Product Backlog'!$B$5:$B$504,$J96)),"",INDEX('Product Backlog'!$B$5:$B$504,$J96)))</f>
        <v/>
      </c>
      <c r="C96" s="46" t="str">
        <f>IF($J96="","",IF(ISBLANK(INDEX('Product Backlog'!$C$5:$C$504,$J96)),"",INDEX('Product Backlog'!$C$5:$C$504,$J96)))</f>
        <v/>
      </c>
      <c r="D96" s="46" t="str">
        <f>IF($J96="","",IF(ISBLANK(INDEX('Product Backlog'!$D$5:$D$504,$J96)),"",INDEX('Product Backlog'!$D$5:$D$504,$J96)))</f>
        <v/>
      </c>
      <c r="E96" s="46" t="str">
        <f>IF($J96="","",IF(ISBLANK(INDEX('Product Backlog'!$E$5:$E$504,$J96)),"",INDEX('Product Backlog'!$E$5:$E$504,$J96)))</f>
        <v/>
      </c>
      <c r="F96" s="47" t="str">
        <f>IF($J96="","",IF(ISBLANK(INDEX('Product Backlog'!$F$5:$F$504,$J96)),"",INDEX('Product Backlog'!$F$5:$F$504,$J96)))</f>
        <v/>
      </c>
      <c r="G96" s="47" t="str">
        <f>IF($J96="","",IF(ISBLANK(INDEX('Product Backlog'!$G$5:$G$504,$J96)),"",INDEX('Product Backlog'!$G$5:$G$504,$J96)))</f>
        <v/>
      </c>
      <c r="H96" s="48" t="str">
        <f>IF($J96="","",IF(ISBLANK(INDEX('Product Backlog'!$H$5:$H$504,$J96)),"",INDEX('Product Backlog'!$H$5:$H$504,$J96)))</f>
        <v/>
      </c>
      <c r="I96" s="48" t="str">
        <f>IF($J96="","",IF(ISBLANK(INDEX('Product Backlog'!$I$5:$I$504,$J96)),"",INDEX('Product Backlog'!$I$5:$I$504,$J96)))</f>
        <v/>
      </c>
      <c r="J96" t="str">
        <f>IFERROR(MATCH($B$4&amp;"-"&amp;ROWS($A$10:A96),'Product Backlog'!$J$5:$J$504,0),"")</f>
        <v/>
      </c>
    </row>
    <row r="97" spans="1:10" ht="21" customHeight="1" x14ac:dyDescent="0.2">
      <c r="A97" s="46" t="str">
        <f>IF($J97="","",IF(ISBLANK(INDEX('Product Backlog'!$A$5:$A$504,$J97)),"",INDEX('Product Backlog'!$A$5:$A$504,$J97)))</f>
        <v/>
      </c>
      <c r="B97" s="46" t="str">
        <f>IF($J97="","",IF(ISBLANK(INDEX('Product Backlog'!$B$5:$B$504,$J97)),"",INDEX('Product Backlog'!$B$5:$B$504,$J97)))</f>
        <v/>
      </c>
      <c r="C97" s="46" t="str">
        <f>IF($J97="","",IF(ISBLANK(INDEX('Product Backlog'!$C$5:$C$504,$J97)),"",INDEX('Product Backlog'!$C$5:$C$504,$J97)))</f>
        <v/>
      </c>
      <c r="D97" s="46" t="str">
        <f>IF($J97="","",IF(ISBLANK(INDEX('Product Backlog'!$D$5:$D$504,$J97)),"",INDEX('Product Backlog'!$D$5:$D$504,$J97)))</f>
        <v/>
      </c>
      <c r="E97" s="46" t="str">
        <f>IF($J97="","",IF(ISBLANK(INDEX('Product Backlog'!$E$5:$E$504,$J97)),"",INDEX('Product Backlog'!$E$5:$E$504,$J97)))</f>
        <v/>
      </c>
      <c r="F97" s="47" t="str">
        <f>IF($J97="","",IF(ISBLANK(INDEX('Product Backlog'!$F$5:$F$504,$J97)),"",INDEX('Product Backlog'!$F$5:$F$504,$J97)))</f>
        <v/>
      </c>
      <c r="G97" s="47" t="str">
        <f>IF($J97="","",IF(ISBLANK(INDEX('Product Backlog'!$G$5:$G$504,$J97)),"",INDEX('Product Backlog'!$G$5:$G$504,$J97)))</f>
        <v/>
      </c>
      <c r="H97" s="48" t="str">
        <f>IF($J97="","",IF(ISBLANK(INDEX('Product Backlog'!$H$5:$H$504,$J97)),"",INDEX('Product Backlog'!$H$5:$H$504,$J97)))</f>
        <v/>
      </c>
      <c r="I97" s="48" t="str">
        <f>IF($J97="","",IF(ISBLANK(INDEX('Product Backlog'!$I$5:$I$504,$J97)),"",INDEX('Product Backlog'!$I$5:$I$504,$J97)))</f>
        <v/>
      </c>
      <c r="J97" t="str">
        <f>IFERROR(MATCH($B$4&amp;"-"&amp;ROWS($A$10:A97),'Product Backlog'!$J$5:$J$504,0),"")</f>
        <v/>
      </c>
    </row>
    <row r="98" spans="1:10" ht="21" customHeight="1" x14ac:dyDescent="0.2">
      <c r="A98" s="46" t="str">
        <f>IF($J98="","",IF(ISBLANK(INDEX('Product Backlog'!$A$5:$A$504,$J98)),"",INDEX('Product Backlog'!$A$5:$A$504,$J98)))</f>
        <v/>
      </c>
      <c r="B98" s="46" t="str">
        <f>IF($J98="","",IF(ISBLANK(INDEX('Product Backlog'!$B$5:$B$504,$J98)),"",INDEX('Product Backlog'!$B$5:$B$504,$J98)))</f>
        <v/>
      </c>
      <c r="C98" s="46" t="str">
        <f>IF($J98="","",IF(ISBLANK(INDEX('Product Backlog'!$C$5:$C$504,$J98)),"",INDEX('Product Backlog'!$C$5:$C$504,$J98)))</f>
        <v/>
      </c>
      <c r="D98" s="46" t="str">
        <f>IF($J98="","",IF(ISBLANK(INDEX('Product Backlog'!$D$5:$D$504,$J98)),"",INDEX('Product Backlog'!$D$5:$D$504,$J98)))</f>
        <v/>
      </c>
      <c r="E98" s="46" t="str">
        <f>IF($J98="","",IF(ISBLANK(INDEX('Product Backlog'!$E$5:$E$504,$J98)),"",INDEX('Product Backlog'!$E$5:$E$504,$J98)))</f>
        <v/>
      </c>
      <c r="F98" s="47" t="str">
        <f>IF($J98="","",IF(ISBLANK(INDEX('Product Backlog'!$F$5:$F$504,$J98)),"",INDEX('Product Backlog'!$F$5:$F$504,$J98)))</f>
        <v/>
      </c>
      <c r="G98" s="47" t="str">
        <f>IF($J98="","",IF(ISBLANK(INDEX('Product Backlog'!$G$5:$G$504,$J98)),"",INDEX('Product Backlog'!$G$5:$G$504,$J98)))</f>
        <v/>
      </c>
      <c r="H98" s="48" t="str">
        <f>IF($J98="","",IF(ISBLANK(INDEX('Product Backlog'!$H$5:$H$504,$J98)),"",INDEX('Product Backlog'!$H$5:$H$504,$J98)))</f>
        <v/>
      </c>
      <c r="I98" s="48" t="str">
        <f>IF($J98="","",IF(ISBLANK(INDEX('Product Backlog'!$I$5:$I$504,$J98)),"",INDEX('Product Backlog'!$I$5:$I$504,$J98)))</f>
        <v/>
      </c>
      <c r="J98" t="str">
        <f>IFERROR(MATCH($B$4&amp;"-"&amp;ROWS($A$10:A98),'Product Backlog'!$J$5:$J$504,0),"")</f>
        <v/>
      </c>
    </row>
    <row r="99" spans="1:10" ht="21" customHeight="1" x14ac:dyDescent="0.2">
      <c r="A99" s="46" t="str">
        <f>IF($J99="","",IF(ISBLANK(INDEX('Product Backlog'!$A$5:$A$504,$J99)),"",INDEX('Product Backlog'!$A$5:$A$504,$J99)))</f>
        <v/>
      </c>
      <c r="B99" s="46" t="str">
        <f>IF($J99="","",IF(ISBLANK(INDEX('Product Backlog'!$B$5:$B$504,$J99)),"",INDEX('Product Backlog'!$B$5:$B$504,$J99)))</f>
        <v/>
      </c>
      <c r="C99" s="46" t="str">
        <f>IF($J99="","",IF(ISBLANK(INDEX('Product Backlog'!$C$5:$C$504,$J99)),"",INDEX('Product Backlog'!$C$5:$C$504,$J99)))</f>
        <v/>
      </c>
      <c r="D99" s="46" t="str">
        <f>IF($J99="","",IF(ISBLANK(INDEX('Product Backlog'!$D$5:$D$504,$J99)),"",INDEX('Product Backlog'!$D$5:$D$504,$J99)))</f>
        <v/>
      </c>
      <c r="E99" s="46" t="str">
        <f>IF($J99="","",IF(ISBLANK(INDEX('Product Backlog'!$E$5:$E$504,$J99)),"",INDEX('Product Backlog'!$E$5:$E$504,$J99)))</f>
        <v/>
      </c>
      <c r="F99" s="47" t="str">
        <f>IF($J99="","",IF(ISBLANK(INDEX('Product Backlog'!$F$5:$F$504,$J99)),"",INDEX('Product Backlog'!$F$5:$F$504,$J99)))</f>
        <v/>
      </c>
      <c r="G99" s="47" t="str">
        <f>IF($J99="","",IF(ISBLANK(INDEX('Product Backlog'!$G$5:$G$504,$J99)),"",INDEX('Product Backlog'!$G$5:$G$504,$J99)))</f>
        <v/>
      </c>
      <c r="H99" s="48" t="str">
        <f>IF($J99="","",IF(ISBLANK(INDEX('Product Backlog'!$H$5:$H$504,$J99)),"",INDEX('Product Backlog'!$H$5:$H$504,$J99)))</f>
        <v/>
      </c>
      <c r="I99" s="48" t="str">
        <f>IF($J99="","",IF(ISBLANK(INDEX('Product Backlog'!$I$5:$I$504,$J99)),"",INDEX('Product Backlog'!$I$5:$I$504,$J99)))</f>
        <v/>
      </c>
      <c r="J99" t="str">
        <f>IFERROR(MATCH($B$4&amp;"-"&amp;ROWS($A$10:A99),'Product Backlog'!$J$5:$J$504,0),"")</f>
        <v/>
      </c>
    </row>
    <row r="100" spans="1:10" ht="21" customHeight="1" x14ac:dyDescent="0.2">
      <c r="A100" s="46" t="str">
        <f>IF($J100="","",IF(ISBLANK(INDEX('Product Backlog'!$A$5:$A$504,$J100)),"",INDEX('Product Backlog'!$A$5:$A$504,$J100)))</f>
        <v/>
      </c>
      <c r="B100" s="46" t="str">
        <f>IF($J100="","",IF(ISBLANK(INDEX('Product Backlog'!$B$5:$B$504,$J100)),"",INDEX('Product Backlog'!$B$5:$B$504,$J100)))</f>
        <v/>
      </c>
      <c r="C100" s="46" t="str">
        <f>IF($J100="","",IF(ISBLANK(INDEX('Product Backlog'!$C$5:$C$504,$J100)),"",INDEX('Product Backlog'!$C$5:$C$504,$J100)))</f>
        <v/>
      </c>
      <c r="D100" s="46" t="str">
        <f>IF($J100="","",IF(ISBLANK(INDEX('Product Backlog'!$D$5:$D$504,$J100)),"",INDEX('Product Backlog'!$D$5:$D$504,$J100)))</f>
        <v/>
      </c>
      <c r="E100" s="46" t="str">
        <f>IF($J100="","",IF(ISBLANK(INDEX('Product Backlog'!$E$5:$E$504,$J100)),"",INDEX('Product Backlog'!$E$5:$E$504,$J100)))</f>
        <v/>
      </c>
      <c r="F100" s="47" t="str">
        <f>IF($J100="","",IF(ISBLANK(INDEX('Product Backlog'!$F$5:$F$504,$J100)),"",INDEX('Product Backlog'!$F$5:$F$504,$J100)))</f>
        <v/>
      </c>
      <c r="G100" s="47" t="str">
        <f>IF($J100="","",IF(ISBLANK(INDEX('Product Backlog'!$G$5:$G$504,$J100)),"",INDEX('Product Backlog'!$G$5:$G$504,$J100)))</f>
        <v/>
      </c>
      <c r="H100" s="48" t="str">
        <f>IF($J100="","",IF(ISBLANK(INDEX('Product Backlog'!$H$5:$H$504,$J100)),"",INDEX('Product Backlog'!$H$5:$H$504,$J100)))</f>
        <v/>
      </c>
      <c r="I100" s="48" t="str">
        <f>IF($J100="","",IF(ISBLANK(INDEX('Product Backlog'!$I$5:$I$504,$J100)),"",INDEX('Product Backlog'!$I$5:$I$504,$J100)))</f>
        <v/>
      </c>
      <c r="J100" t="str">
        <f>IFERROR(MATCH($B$4&amp;"-"&amp;ROWS($A$10:A100),'Product Backlog'!$J$5:$J$504,0),"")</f>
        <v/>
      </c>
    </row>
    <row r="101" spans="1:10" ht="21" customHeight="1" x14ac:dyDescent="0.2">
      <c r="A101" s="46" t="str">
        <f>IF($J101="","",IF(ISBLANK(INDEX('Product Backlog'!$A$5:$A$504,$J101)),"",INDEX('Product Backlog'!$A$5:$A$504,$J101)))</f>
        <v/>
      </c>
      <c r="B101" s="46" t="str">
        <f>IF($J101="","",IF(ISBLANK(INDEX('Product Backlog'!$B$5:$B$504,$J101)),"",INDEX('Product Backlog'!$B$5:$B$504,$J101)))</f>
        <v/>
      </c>
      <c r="C101" s="46" t="str">
        <f>IF($J101="","",IF(ISBLANK(INDEX('Product Backlog'!$C$5:$C$504,$J101)),"",INDEX('Product Backlog'!$C$5:$C$504,$J101)))</f>
        <v/>
      </c>
      <c r="D101" s="46" t="str">
        <f>IF($J101="","",IF(ISBLANK(INDEX('Product Backlog'!$D$5:$D$504,$J101)),"",INDEX('Product Backlog'!$D$5:$D$504,$J101)))</f>
        <v/>
      </c>
      <c r="E101" s="46" t="str">
        <f>IF($J101="","",IF(ISBLANK(INDEX('Product Backlog'!$E$5:$E$504,$J101)),"",INDEX('Product Backlog'!$E$5:$E$504,$J101)))</f>
        <v/>
      </c>
      <c r="F101" s="47" t="str">
        <f>IF($J101="","",IF(ISBLANK(INDEX('Product Backlog'!$F$5:$F$504,$J101)),"",INDEX('Product Backlog'!$F$5:$F$504,$J101)))</f>
        <v/>
      </c>
      <c r="G101" s="47" t="str">
        <f>IF($J101="","",IF(ISBLANK(INDEX('Product Backlog'!$G$5:$G$504,$J101)),"",INDEX('Product Backlog'!$G$5:$G$504,$J101)))</f>
        <v/>
      </c>
      <c r="H101" s="48" t="str">
        <f>IF($J101="","",IF(ISBLANK(INDEX('Product Backlog'!$H$5:$H$504,$J101)),"",INDEX('Product Backlog'!$H$5:$H$504,$J101)))</f>
        <v/>
      </c>
      <c r="I101" s="48" t="str">
        <f>IF($J101="","",IF(ISBLANK(INDEX('Product Backlog'!$I$5:$I$504,$J101)),"",INDEX('Product Backlog'!$I$5:$I$504,$J101)))</f>
        <v/>
      </c>
      <c r="J101" t="str">
        <f>IFERROR(MATCH($B$4&amp;"-"&amp;ROWS($A$10:A101),'Product Backlog'!$J$5:$J$504,0),"")</f>
        <v/>
      </c>
    </row>
    <row r="102" spans="1:10" ht="21" customHeight="1" x14ac:dyDescent="0.2">
      <c r="A102" s="46" t="str">
        <f>IF($J102="","",IF(ISBLANK(INDEX('Product Backlog'!$A$5:$A$504,$J102)),"",INDEX('Product Backlog'!$A$5:$A$504,$J102)))</f>
        <v/>
      </c>
      <c r="B102" s="46" t="str">
        <f>IF($J102="","",IF(ISBLANK(INDEX('Product Backlog'!$B$5:$B$504,$J102)),"",INDEX('Product Backlog'!$B$5:$B$504,$J102)))</f>
        <v/>
      </c>
      <c r="C102" s="46" t="str">
        <f>IF($J102="","",IF(ISBLANK(INDEX('Product Backlog'!$C$5:$C$504,$J102)),"",INDEX('Product Backlog'!$C$5:$C$504,$J102)))</f>
        <v/>
      </c>
      <c r="D102" s="46" t="str">
        <f>IF($J102="","",IF(ISBLANK(INDEX('Product Backlog'!$D$5:$D$504,$J102)),"",INDEX('Product Backlog'!$D$5:$D$504,$J102)))</f>
        <v/>
      </c>
      <c r="E102" s="46" t="str">
        <f>IF($J102="","",IF(ISBLANK(INDEX('Product Backlog'!$E$5:$E$504,$J102)),"",INDEX('Product Backlog'!$E$5:$E$504,$J102)))</f>
        <v/>
      </c>
      <c r="F102" s="47" t="str">
        <f>IF($J102="","",IF(ISBLANK(INDEX('Product Backlog'!$F$5:$F$504,$J102)),"",INDEX('Product Backlog'!$F$5:$F$504,$J102)))</f>
        <v/>
      </c>
      <c r="G102" s="47" t="str">
        <f>IF($J102="","",IF(ISBLANK(INDEX('Product Backlog'!$G$5:$G$504,$J102)),"",INDEX('Product Backlog'!$G$5:$G$504,$J102)))</f>
        <v/>
      </c>
      <c r="H102" s="48" t="str">
        <f>IF($J102="","",IF(ISBLANK(INDEX('Product Backlog'!$H$5:$H$504,$J102)),"",INDEX('Product Backlog'!$H$5:$H$504,$J102)))</f>
        <v/>
      </c>
      <c r="I102" s="48" t="str">
        <f>IF($J102="","",IF(ISBLANK(INDEX('Product Backlog'!$I$5:$I$504,$J102)),"",INDEX('Product Backlog'!$I$5:$I$504,$J102)))</f>
        <v/>
      </c>
      <c r="J102" t="str">
        <f>IFERROR(MATCH($B$4&amp;"-"&amp;ROWS($A$10:A102),'Product Backlog'!$J$5:$J$504,0),"")</f>
        <v/>
      </c>
    </row>
    <row r="103" spans="1:10" ht="21" customHeight="1" x14ac:dyDescent="0.2">
      <c r="A103" s="46" t="str">
        <f>IF($J103="","",IF(ISBLANK(INDEX('Product Backlog'!$A$5:$A$504,$J103)),"",INDEX('Product Backlog'!$A$5:$A$504,$J103)))</f>
        <v/>
      </c>
      <c r="B103" s="46" t="str">
        <f>IF($J103="","",IF(ISBLANK(INDEX('Product Backlog'!$B$5:$B$504,$J103)),"",INDEX('Product Backlog'!$B$5:$B$504,$J103)))</f>
        <v/>
      </c>
      <c r="C103" s="46" t="str">
        <f>IF($J103="","",IF(ISBLANK(INDEX('Product Backlog'!$C$5:$C$504,$J103)),"",INDEX('Product Backlog'!$C$5:$C$504,$J103)))</f>
        <v/>
      </c>
      <c r="D103" s="46" t="str">
        <f>IF($J103="","",IF(ISBLANK(INDEX('Product Backlog'!$D$5:$D$504,$J103)),"",INDEX('Product Backlog'!$D$5:$D$504,$J103)))</f>
        <v/>
      </c>
      <c r="E103" s="46" t="str">
        <f>IF($J103="","",IF(ISBLANK(INDEX('Product Backlog'!$E$5:$E$504,$J103)),"",INDEX('Product Backlog'!$E$5:$E$504,$J103)))</f>
        <v/>
      </c>
      <c r="F103" s="47" t="str">
        <f>IF($J103="","",IF(ISBLANK(INDEX('Product Backlog'!$F$5:$F$504,$J103)),"",INDEX('Product Backlog'!$F$5:$F$504,$J103)))</f>
        <v/>
      </c>
      <c r="G103" s="47" t="str">
        <f>IF($J103="","",IF(ISBLANK(INDEX('Product Backlog'!$G$5:$G$504,$J103)),"",INDEX('Product Backlog'!$G$5:$G$504,$J103)))</f>
        <v/>
      </c>
      <c r="H103" s="48" t="str">
        <f>IF($J103="","",IF(ISBLANK(INDEX('Product Backlog'!$H$5:$H$504,$J103)),"",INDEX('Product Backlog'!$H$5:$H$504,$J103)))</f>
        <v/>
      </c>
      <c r="I103" s="48" t="str">
        <f>IF($J103="","",IF(ISBLANK(INDEX('Product Backlog'!$I$5:$I$504,$J103)),"",INDEX('Product Backlog'!$I$5:$I$504,$J103)))</f>
        <v/>
      </c>
      <c r="J103" t="str">
        <f>IFERROR(MATCH($B$4&amp;"-"&amp;ROWS($A$10:A103),'Product Backlog'!$J$5:$J$504,0),"")</f>
        <v/>
      </c>
    </row>
    <row r="104" spans="1:10" ht="21" customHeight="1" x14ac:dyDescent="0.2">
      <c r="A104" s="46" t="str">
        <f>IF($J104="","",IF(ISBLANK(INDEX('Product Backlog'!$A$5:$A$504,$J104)),"",INDEX('Product Backlog'!$A$5:$A$504,$J104)))</f>
        <v/>
      </c>
      <c r="B104" s="46" t="str">
        <f>IF($J104="","",IF(ISBLANK(INDEX('Product Backlog'!$B$5:$B$504,$J104)),"",INDEX('Product Backlog'!$B$5:$B$504,$J104)))</f>
        <v/>
      </c>
      <c r="C104" s="46" t="str">
        <f>IF($J104="","",IF(ISBLANK(INDEX('Product Backlog'!$C$5:$C$504,$J104)),"",INDEX('Product Backlog'!$C$5:$C$504,$J104)))</f>
        <v/>
      </c>
      <c r="D104" s="46" t="str">
        <f>IF($J104="","",IF(ISBLANK(INDEX('Product Backlog'!$D$5:$D$504,$J104)),"",INDEX('Product Backlog'!$D$5:$D$504,$J104)))</f>
        <v/>
      </c>
      <c r="E104" s="46" t="str">
        <f>IF($J104="","",IF(ISBLANK(INDEX('Product Backlog'!$E$5:$E$504,$J104)),"",INDEX('Product Backlog'!$E$5:$E$504,$J104)))</f>
        <v/>
      </c>
      <c r="F104" s="47" t="str">
        <f>IF($J104="","",IF(ISBLANK(INDEX('Product Backlog'!$F$5:$F$504,$J104)),"",INDEX('Product Backlog'!$F$5:$F$504,$J104)))</f>
        <v/>
      </c>
      <c r="G104" s="47" t="str">
        <f>IF($J104="","",IF(ISBLANK(INDEX('Product Backlog'!$G$5:$G$504,$J104)),"",INDEX('Product Backlog'!$G$5:$G$504,$J104)))</f>
        <v/>
      </c>
      <c r="H104" s="48" t="str">
        <f>IF($J104="","",IF(ISBLANK(INDEX('Product Backlog'!$H$5:$H$504,$J104)),"",INDEX('Product Backlog'!$H$5:$H$504,$J104)))</f>
        <v/>
      </c>
      <c r="I104" s="48" t="str">
        <f>IF($J104="","",IF(ISBLANK(INDEX('Product Backlog'!$I$5:$I$504,$J104)),"",INDEX('Product Backlog'!$I$5:$I$504,$J104)))</f>
        <v/>
      </c>
      <c r="J104" t="str">
        <f>IFERROR(MATCH($B$4&amp;"-"&amp;ROWS($A$10:A104),'Product Backlog'!$J$5:$J$504,0),"")</f>
        <v/>
      </c>
    </row>
    <row r="105" spans="1:10" ht="21" customHeight="1" x14ac:dyDescent="0.2">
      <c r="A105" s="46" t="str">
        <f>IF($J105="","",IF(ISBLANK(INDEX('Product Backlog'!$A$5:$A$504,$J105)),"",INDEX('Product Backlog'!$A$5:$A$504,$J105)))</f>
        <v/>
      </c>
      <c r="B105" s="46" t="str">
        <f>IF($J105="","",IF(ISBLANK(INDEX('Product Backlog'!$B$5:$B$504,$J105)),"",INDEX('Product Backlog'!$B$5:$B$504,$J105)))</f>
        <v/>
      </c>
      <c r="C105" s="46" t="str">
        <f>IF($J105="","",IF(ISBLANK(INDEX('Product Backlog'!$C$5:$C$504,$J105)),"",INDEX('Product Backlog'!$C$5:$C$504,$J105)))</f>
        <v/>
      </c>
      <c r="D105" s="46" t="str">
        <f>IF($J105="","",IF(ISBLANK(INDEX('Product Backlog'!$D$5:$D$504,$J105)),"",INDEX('Product Backlog'!$D$5:$D$504,$J105)))</f>
        <v/>
      </c>
      <c r="E105" s="46" t="str">
        <f>IF($J105="","",IF(ISBLANK(INDEX('Product Backlog'!$E$5:$E$504,$J105)),"",INDEX('Product Backlog'!$E$5:$E$504,$J105)))</f>
        <v/>
      </c>
      <c r="F105" s="47" t="str">
        <f>IF($J105="","",IF(ISBLANK(INDEX('Product Backlog'!$F$5:$F$504,$J105)),"",INDEX('Product Backlog'!$F$5:$F$504,$J105)))</f>
        <v/>
      </c>
      <c r="G105" s="47" t="str">
        <f>IF($J105="","",IF(ISBLANK(INDEX('Product Backlog'!$G$5:$G$504,$J105)),"",INDEX('Product Backlog'!$G$5:$G$504,$J105)))</f>
        <v/>
      </c>
      <c r="H105" s="48" t="str">
        <f>IF($J105="","",IF(ISBLANK(INDEX('Product Backlog'!$H$5:$H$504,$J105)),"",INDEX('Product Backlog'!$H$5:$H$504,$J105)))</f>
        <v/>
      </c>
      <c r="I105" s="48" t="str">
        <f>IF($J105="","",IF(ISBLANK(INDEX('Product Backlog'!$I$5:$I$504,$J105)),"",INDEX('Product Backlog'!$I$5:$I$504,$J105)))</f>
        <v/>
      </c>
      <c r="J105" t="str">
        <f>IFERROR(MATCH($B$4&amp;"-"&amp;ROWS($A$10:A105),'Product Backlog'!$J$5:$J$504,0),"")</f>
        <v/>
      </c>
    </row>
    <row r="106" spans="1:10" ht="21" customHeight="1" x14ac:dyDescent="0.2">
      <c r="A106" s="46" t="str">
        <f>IF($J106="","",IF(ISBLANK(INDEX('Product Backlog'!$A$5:$A$504,$J106)),"",INDEX('Product Backlog'!$A$5:$A$504,$J106)))</f>
        <v/>
      </c>
      <c r="B106" s="46" t="str">
        <f>IF($J106="","",IF(ISBLANK(INDEX('Product Backlog'!$B$5:$B$504,$J106)),"",INDEX('Product Backlog'!$B$5:$B$504,$J106)))</f>
        <v/>
      </c>
      <c r="C106" s="46" t="str">
        <f>IF($J106="","",IF(ISBLANK(INDEX('Product Backlog'!$C$5:$C$504,$J106)),"",INDEX('Product Backlog'!$C$5:$C$504,$J106)))</f>
        <v/>
      </c>
      <c r="D106" s="46" t="str">
        <f>IF($J106="","",IF(ISBLANK(INDEX('Product Backlog'!$D$5:$D$504,$J106)),"",INDEX('Product Backlog'!$D$5:$D$504,$J106)))</f>
        <v/>
      </c>
      <c r="E106" s="46" t="str">
        <f>IF($J106="","",IF(ISBLANK(INDEX('Product Backlog'!$E$5:$E$504,$J106)),"",INDEX('Product Backlog'!$E$5:$E$504,$J106)))</f>
        <v/>
      </c>
      <c r="F106" s="47" t="str">
        <f>IF($J106="","",IF(ISBLANK(INDEX('Product Backlog'!$F$5:$F$504,$J106)),"",INDEX('Product Backlog'!$F$5:$F$504,$J106)))</f>
        <v/>
      </c>
      <c r="G106" s="47" t="str">
        <f>IF($J106="","",IF(ISBLANK(INDEX('Product Backlog'!$G$5:$G$504,$J106)),"",INDEX('Product Backlog'!$G$5:$G$504,$J106)))</f>
        <v/>
      </c>
      <c r="H106" s="48" t="str">
        <f>IF($J106="","",IF(ISBLANK(INDEX('Product Backlog'!$H$5:$H$504,$J106)),"",INDEX('Product Backlog'!$H$5:$H$504,$J106)))</f>
        <v/>
      </c>
      <c r="I106" s="48" t="str">
        <f>IF($J106="","",IF(ISBLANK(INDEX('Product Backlog'!$I$5:$I$504,$J106)),"",INDEX('Product Backlog'!$I$5:$I$504,$J106)))</f>
        <v/>
      </c>
      <c r="J106" t="str">
        <f>IFERROR(MATCH($B$4&amp;"-"&amp;ROWS($A$10:A106),'Product Backlog'!$J$5:$J$504,0),"")</f>
        <v/>
      </c>
    </row>
    <row r="107" spans="1:10" ht="21" customHeight="1" x14ac:dyDescent="0.2">
      <c r="A107" s="46" t="str">
        <f>IF($J107="","",IF(ISBLANK(INDEX('Product Backlog'!$A$5:$A$504,$J107)),"",INDEX('Product Backlog'!$A$5:$A$504,$J107)))</f>
        <v/>
      </c>
      <c r="B107" s="46" t="str">
        <f>IF($J107="","",IF(ISBLANK(INDEX('Product Backlog'!$B$5:$B$504,$J107)),"",INDEX('Product Backlog'!$B$5:$B$504,$J107)))</f>
        <v/>
      </c>
      <c r="C107" s="46" t="str">
        <f>IF($J107="","",IF(ISBLANK(INDEX('Product Backlog'!$C$5:$C$504,$J107)),"",INDEX('Product Backlog'!$C$5:$C$504,$J107)))</f>
        <v/>
      </c>
      <c r="D107" s="46" t="str">
        <f>IF($J107="","",IF(ISBLANK(INDEX('Product Backlog'!$D$5:$D$504,$J107)),"",INDEX('Product Backlog'!$D$5:$D$504,$J107)))</f>
        <v/>
      </c>
      <c r="E107" s="46" t="str">
        <f>IF($J107="","",IF(ISBLANK(INDEX('Product Backlog'!$E$5:$E$504,$J107)),"",INDEX('Product Backlog'!$E$5:$E$504,$J107)))</f>
        <v/>
      </c>
      <c r="F107" s="47" t="str">
        <f>IF($J107="","",IF(ISBLANK(INDEX('Product Backlog'!$F$5:$F$504,$J107)),"",INDEX('Product Backlog'!$F$5:$F$504,$J107)))</f>
        <v/>
      </c>
      <c r="G107" s="47" t="str">
        <f>IF($J107="","",IF(ISBLANK(INDEX('Product Backlog'!$G$5:$G$504,$J107)),"",INDEX('Product Backlog'!$G$5:$G$504,$J107)))</f>
        <v/>
      </c>
      <c r="H107" s="48" t="str">
        <f>IF($J107="","",IF(ISBLANK(INDEX('Product Backlog'!$H$5:$H$504,$J107)),"",INDEX('Product Backlog'!$H$5:$H$504,$J107)))</f>
        <v/>
      </c>
      <c r="I107" s="48" t="str">
        <f>IF($J107="","",IF(ISBLANK(INDEX('Product Backlog'!$I$5:$I$504,$J107)),"",INDEX('Product Backlog'!$I$5:$I$504,$J107)))</f>
        <v/>
      </c>
      <c r="J107" t="str">
        <f>IFERROR(MATCH($B$4&amp;"-"&amp;ROWS($A$10:A107),'Product Backlog'!$J$5:$J$504,0),"")</f>
        <v/>
      </c>
    </row>
    <row r="108" spans="1:10" ht="21" customHeight="1" x14ac:dyDescent="0.2">
      <c r="A108" s="46" t="str">
        <f>IF($J108="","",IF(ISBLANK(INDEX('Product Backlog'!$A$5:$A$504,$J108)),"",INDEX('Product Backlog'!$A$5:$A$504,$J108)))</f>
        <v/>
      </c>
      <c r="B108" s="46" t="str">
        <f>IF($J108="","",IF(ISBLANK(INDEX('Product Backlog'!$B$5:$B$504,$J108)),"",INDEX('Product Backlog'!$B$5:$B$504,$J108)))</f>
        <v/>
      </c>
      <c r="C108" s="46" t="str">
        <f>IF($J108="","",IF(ISBLANK(INDEX('Product Backlog'!$C$5:$C$504,$J108)),"",INDEX('Product Backlog'!$C$5:$C$504,$J108)))</f>
        <v/>
      </c>
      <c r="D108" s="46" t="str">
        <f>IF($J108="","",IF(ISBLANK(INDEX('Product Backlog'!$D$5:$D$504,$J108)),"",INDEX('Product Backlog'!$D$5:$D$504,$J108)))</f>
        <v/>
      </c>
      <c r="E108" s="46" t="str">
        <f>IF($J108="","",IF(ISBLANK(INDEX('Product Backlog'!$E$5:$E$504,$J108)),"",INDEX('Product Backlog'!$E$5:$E$504,$J108)))</f>
        <v/>
      </c>
      <c r="F108" s="47" t="str">
        <f>IF($J108="","",IF(ISBLANK(INDEX('Product Backlog'!$F$5:$F$504,$J108)),"",INDEX('Product Backlog'!$F$5:$F$504,$J108)))</f>
        <v/>
      </c>
      <c r="G108" s="47" t="str">
        <f>IF($J108="","",IF(ISBLANK(INDEX('Product Backlog'!$G$5:$G$504,$J108)),"",INDEX('Product Backlog'!$G$5:$G$504,$J108)))</f>
        <v/>
      </c>
      <c r="H108" s="48" t="str">
        <f>IF($J108="","",IF(ISBLANK(INDEX('Product Backlog'!$H$5:$H$504,$J108)),"",INDEX('Product Backlog'!$H$5:$H$504,$J108)))</f>
        <v/>
      </c>
      <c r="I108" s="48" t="str">
        <f>IF($J108="","",IF(ISBLANK(INDEX('Product Backlog'!$I$5:$I$504,$J108)),"",INDEX('Product Backlog'!$I$5:$I$504,$J108)))</f>
        <v/>
      </c>
      <c r="J108" t="str">
        <f>IFERROR(MATCH($B$4&amp;"-"&amp;ROWS($A$10:A108),'Product Backlog'!$J$5:$J$504,0),"")</f>
        <v/>
      </c>
    </row>
    <row r="109" spans="1:10" ht="21" customHeight="1" x14ac:dyDescent="0.2">
      <c r="A109" s="46" t="str">
        <f>IF($J109="","",IF(ISBLANK(INDEX('Product Backlog'!$A$5:$A$504,$J109)),"",INDEX('Product Backlog'!$A$5:$A$504,$J109)))</f>
        <v/>
      </c>
      <c r="B109" s="46" t="str">
        <f>IF($J109="","",IF(ISBLANK(INDEX('Product Backlog'!$B$5:$B$504,$J109)),"",INDEX('Product Backlog'!$B$5:$B$504,$J109)))</f>
        <v/>
      </c>
      <c r="C109" s="46" t="str">
        <f>IF($J109="","",IF(ISBLANK(INDEX('Product Backlog'!$C$5:$C$504,$J109)),"",INDEX('Product Backlog'!$C$5:$C$504,$J109)))</f>
        <v/>
      </c>
      <c r="D109" s="46" t="str">
        <f>IF($J109="","",IF(ISBLANK(INDEX('Product Backlog'!$D$5:$D$504,$J109)),"",INDEX('Product Backlog'!$D$5:$D$504,$J109)))</f>
        <v/>
      </c>
      <c r="E109" s="46" t="str">
        <f>IF($J109="","",IF(ISBLANK(INDEX('Product Backlog'!$E$5:$E$504,$J109)),"",INDEX('Product Backlog'!$E$5:$E$504,$J109)))</f>
        <v/>
      </c>
      <c r="F109" s="47" t="str">
        <f>IF($J109="","",IF(ISBLANK(INDEX('Product Backlog'!$F$5:$F$504,$J109)),"",INDEX('Product Backlog'!$F$5:$F$504,$J109)))</f>
        <v/>
      </c>
      <c r="G109" s="47" t="str">
        <f>IF($J109="","",IF(ISBLANK(INDEX('Product Backlog'!$G$5:$G$504,$J109)),"",INDEX('Product Backlog'!$G$5:$G$504,$J109)))</f>
        <v/>
      </c>
      <c r="H109" s="48" t="str">
        <f>IF($J109="","",IF(ISBLANK(INDEX('Product Backlog'!$H$5:$H$504,$J109)),"",INDEX('Product Backlog'!$H$5:$H$504,$J109)))</f>
        <v/>
      </c>
      <c r="I109" s="48" t="str">
        <f>IF($J109="","",IF(ISBLANK(INDEX('Product Backlog'!$I$5:$I$504,$J109)),"",INDEX('Product Backlog'!$I$5:$I$504,$J109)))</f>
        <v/>
      </c>
      <c r="J109" t="str">
        <f>IFERROR(MATCH($B$4&amp;"-"&amp;ROWS($A$10:A109),'Product Backlog'!$J$5:$J$504,0),"")</f>
        <v/>
      </c>
    </row>
    <row r="110" spans="1:10" ht="21" customHeight="1" x14ac:dyDescent="0.2">
      <c r="A110" s="46"/>
      <c r="B110" s="46"/>
      <c r="C110" s="46"/>
      <c r="D110" s="46"/>
      <c r="E110" s="46"/>
      <c r="F110" s="47"/>
      <c r="G110" s="47"/>
      <c r="H110" s="48"/>
      <c r="I110" s="48"/>
    </row>
    <row r="111" spans="1:10" ht="21" customHeight="1" x14ac:dyDescent="0.2">
      <c r="A111" s="46"/>
      <c r="B111" s="46"/>
      <c r="C111" s="46"/>
      <c r="D111" s="46"/>
      <c r="E111" s="46"/>
      <c r="F111" s="47"/>
      <c r="G111" s="47"/>
      <c r="H111" s="48"/>
      <c r="I111" s="48"/>
    </row>
    <row r="112" spans="1:10" ht="21" customHeight="1" x14ac:dyDescent="0.2">
      <c r="A112" s="46"/>
      <c r="B112" s="46"/>
      <c r="C112" s="46"/>
      <c r="D112" s="46"/>
      <c r="E112" s="46"/>
      <c r="F112" s="47"/>
      <c r="G112" s="47"/>
      <c r="H112" s="48"/>
      <c r="I112" s="48"/>
    </row>
    <row r="113" spans="1:9" ht="21" customHeight="1" x14ac:dyDescent="0.2">
      <c r="A113" s="46"/>
      <c r="B113" s="46"/>
      <c r="C113" s="46"/>
      <c r="D113" s="46"/>
      <c r="E113" s="46"/>
      <c r="F113" s="47"/>
      <c r="G113" s="47"/>
      <c r="H113" s="48"/>
      <c r="I113" s="48"/>
    </row>
    <row r="114" spans="1:9" ht="21" customHeight="1" x14ac:dyDescent="0.2">
      <c r="A114" s="46"/>
      <c r="B114" s="46"/>
      <c r="C114" s="46"/>
      <c r="D114" s="46"/>
      <c r="E114" s="46"/>
      <c r="F114" s="47"/>
      <c r="G114" s="47"/>
      <c r="H114" s="48"/>
      <c r="I114" s="48"/>
    </row>
    <row r="115" spans="1:9" ht="21" customHeight="1" x14ac:dyDescent="0.2">
      <c r="A115" s="46"/>
      <c r="B115" s="46"/>
      <c r="C115" s="46"/>
      <c r="D115" s="46"/>
      <c r="E115" s="46"/>
      <c r="F115" s="47"/>
      <c r="G115" s="47"/>
      <c r="H115" s="48"/>
      <c r="I115" s="48"/>
    </row>
    <row r="116" spans="1:9" ht="21" customHeight="1" x14ac:dyDescent="0.2">
      <c r="A116" s="46"/>
      <c r="B116" s="46"/>
      <c r="C116" s="46"/>
      <c r="D116" s="46"/>
      <c r="E116" s="46"/>
      <c r="F116" s="47"/>
      <c r="G116" s="47"/>
      <c r="H116" s="48"/>
      <c r="I116" s="48"/>
    </row>
    <row r="117" spans="1:9" ht="21" customHeight="1" x14ac:dyDescent="0.2">
      <c r="A117" s="46"/>
      <c r="B117" s="46"/>
      <c r="C117" s="46"/>
      <c r="D117" s="46"/>
      <c r="E117" s="46"/>
      <c r="F117" s="47"/>
      <c r="G117" s="47"/>
      <c r="H117" s="48"/>
      <c r="I117" s="48"/>
    </row>
    <row r="118" spans="1:9" ht="21" customHeight="1" x14ac:dyDescent="0.2">
      <c r="A118" s="46"/>
      <c r="B118" s="46"/>
      <c r="C118" s="46"/>
      <c r="D118" s="46"/>
      <c r="E118" s="46"/>
      <c r="F118" s="47"/>
      <c r="G118" s="47"/>
      <c r="H118" s="48"/>
      <c r="I118" s="48"/>
    </row>
    <row r="119" spans="1:9" ht="21" customHeight="1" x14ac:dyDescent="0.2">
      <c r="A119" s="46"/>
      <c r="B119" s="46"/>
      <c r="C119" s="46"/>
      <c r="D119" s="46"/>
      <c r="E119" s="46"/>
      <c r="F119" s="47"/>
      <c r="G119" s="47"/>
      <c r="H119" s="48"/>
      <c r="I119" s="48"/>
    </row>
    <row r="120" spans="1:9" ht="21" customHeight="1" x14ac:dyDescent="0.2">
      <c r="A120" s="46"/>
      <c r="B120" s="46"/>
      <c r="C120" s="46"/>
      <c r="D120" s="46"/>
      <c r="E120" s="46"/>
      <c r="F120" s="47"/>
      <c r="G120" s="47"/>
      <c r="H120" s="48"/>
      <c r="I120" s="48"/>
    </row>
    <row r="121" spans="1:9" ht="21" customHeight="1" x14ac:dyDescent="0.2">
      <c r="A121" s="46"/>
      <c r="B121" s="46"/>
      <c r="C121" s="46"/>
      <c r="D121" s="46"/>
      <c r="E121" s="46"/>
      <c r="F121" s="47"/>
      <c r="G121" s="47"/>
      <c r="H121" s="48"/>
      <c r="I121" s="48"/>
    </row>
    <row r="122" spans="1:9" ht="21" customHeight="1" x14ac:dyDescent="0.2">
      <c r="A122" s="46"/>
      <c r="B122" s="46"/>
      <c r="C122" s="46"/>
      <c r="D122" s="46"/>
      <c r="E122" s="46"/>
      <c r="F122" s="47"/>
      <c r="G122" s="47"/>
      <c r="H122" s="48"/>
      <c r="I122" s="48"/>
    </row>
    <row r="123" spans="1:9" ht="21" customHeight="1" x14ac:dyDescent="0.2">
      <c r="A123" s="46"/>
      <c r="B123" s="46"/>
      <c r="C123" s="46"/>
      <c r="D123" s="46"/>
      <c r="E123" s="46"/>
      <c r="F123" s="47"/>
      <c r="G123" s="47"/>
      <c r="H123" s="48"/>
      <c r="I123" s="48"/>
    </row>
    <row r="124" spans="1:9" ht="21" customHeight="1" x14ac:dyDescent="0.2">
      <c r="A124" s="46"/>
      <c r="B124" s="46"/>
      <c r="C124" s="46"/>
      <c r="D124" s="46"/>
      <c r="E124" s="46"/>
      <c r="F124" s="47"/>
      <c r="G124" s="47"/>
      <c r="H124" s="48"/>
      <c r="I124" s="48"/>
    </row>
    <row r="125" spans="1:9" ht="21" customHeight="1" x14ac:dyDescent="0.2">
      <c r="A125" s="46"/>
      <c r="B125" s="46"/>
      <c r="C125" s="46"/>
      <c r="D125" s="46"/>
      <c r="E125" s="46"/>
      <c r="F125" s="47"/>
      <c r="G125" s="47"/>
      <c r="H125" s="48"/>
      <c r="I125" s="48"/>
    </row>
    <row r="126" spans="1:9" ht="21" customHeight="1" x14ac:dyDescent="0.2">
      <c r="A126" s="46"/>
      <c r="B126" s="46"/>
      <c r="C126" s="46"/>
      <c r="D126" s="46"/>
      <c r="E126" s="46"/>
      <c r="F126" s="47"/>
      <c r="G126" s="47"/>
      <c r="H126" s="48"/>
      <c r="I126" s="48"/>
    </row>
    <row r="127" spans="1:9" ht="21" customHeight="1" x14ac:dyDescent="0.2">
      <c r="A127" s="46"/>
      <c r="B127" s="46"/>
      <c r="C127" s="46"/>
      <c r="D127" s="46"/>
      <c r="E127" s="46"/>
      <c r="F127" s="47"/>
      <c r="G127" s="47"/>
      <c r="H127" s="48"/>
      <c r="I127" s="48"/>
    </row>
    <row r="128" spans="1:9" ht="21" customHeight="1" x14ac:dyDescent="0.2">
      <c r="A128" s="46"/>
      <c r="B128" s="46"/>
      <c r="C128" s="46"/>
      <c r="D128" s="46"/>
      <c r="E128" s="46"/>
      <c r="F128" s="47"/>
      <c r="G128" s="47"/>
      <c r="H128" s="48"/>
      <c r="I128" s="48"/>
    </row>
    <row r="129" spans="1:9" ht="21" customHeight="1" x14ac:dyDescent="0.2">
      <c r="A129" s="46"/>
      <c r="B129" s="46"/>
      <c r="C129" s="46"/>
      <c r="D129" s="46"/>
      <c r="E129" s="46"/>
      <c r="F129" s="47"/>
      <c r="G129" s="47"/>
      <c r="H129" s="48"/>
      <c r="I129" s="48"/>
    </row>
    <row r="130" spans="1:9" ht="21" customHeight="1" x14ac:dyDescent="0.2">
      <c r="A130" s="46"/>
      <c r="B130" s="46"/>
      <c r="C130" s="46"/>
      <c r="D130" s="46"/>
      <c r="E130" s="46"/>
      <c r="F130" s="47"/>
      <c r="G130" s="47"/>
      <c r="H130" s="48"/>
      <c r="I130" s="48"/>
    </row>
    <row r="131" spans="1:9" ht="21" customHeight="1" x14ac:dyDescent="0.2">
      <c r="A131" s="46"/>
      <c r="B131" s="46"/>
      <c r="C131" s="46"/>
      <c r="D131" s="46"/>
      <c r="E131" s="46"/>
      <c r="F131" s="47"/>
      <c r="G131" s="47"/>
      <c r="H131" s="48"/>
      <c r="I131" s="48"/>
    </row>
    <row r="132" spans="1:9" ht="21" customHeight="1" x14ac:dyDescent="0.2">
      <c r="A132" s="46"/>
      <c r="B132" s="46"/>
      <c r="C132" s="46"/>
      <c r="D132" s="46"/>
      <c r="E132" s="46"/>
      <c r="F132" s="47"/>
      <c r="G132" s="47"/>
      <c r="H132" s="48"/>
      <c r="I132" s="48"/>
    </row>
    <row r="133" spans="1:9" ht="21" customHeight="1" x14ac:dyDescent="0.2">
      <c r="A133" s="46"/>
      <c r="B133" s="46"/>
      <c r="C133" s="46"/>
      <c r="D133" s="46"/>
      <c r="E133" s="46"/>
      <c r="F133" s="47"/>
      <c r="G133" s="47"/>
      <c r="H133" s="48"/>
      <c r="I133" s="48"/>
    </row>
    <row r="134" spans="1:9" ht="21" customHeight="1" x14ac:dyDescent="0.2">
      <c r="A134" s="46"/>
      <c r="B134" s="46"/>
      <c r="C134" s="46"/>
      <c r="D134" s="46"/>
      <c r="E134" s="46"/>
      <c r="F134" s="47"/>
      <c r="G134" s="47"/>
      <c r="H134" s="48"/>
      <c r="I134" s="48"/>
    </row>
    <row r="135" spans="1:9" ht="21" customHeight="1" x14ac:dyDescent="0.2">
      <c r="A135" s="46"/>
      <c r="B135" s="46"/>
      <c r="C135" s="46"/>
      <c r="D135" s="46"/>
      <c r="E135" s="46"/>
      <c r="F135" s="47"/>
      <c r="G135" s="47"/>
      <c r="H135" s="48"/>
      <c r="I135" s="48"/>
    </row>
    <row r="136" spans="1:9" ht="21" customHeight="1" x14ac:dyDescent="0.2">
      <c r="A136" s="46"/>
      <c r="B136" s="46"/>
      <c r="C136" s="46"/>
      <c r="D136" s="46"/>
      <c r="E136" s="46"/>
      <c r="F136" s="47"/>
      <c r="G136" s="47"/>
      <c r="H136" s="48"/>
      <c r="I136" s="48"/>
    </row>
    <row r="137" spans="1:9" ht="21" customHeight="1" x14ac:dyDescent="0.2">
      <c r="A137" s="46"/>
      <c r="B137" s="46"/>
      <c r="C137" s="46"/>
      <c r="D137" s="46"/>
      <c r="E137" s="46"/>
      <c r="F137" s="47"/>
      <c r="G137" s="47"/>
      <c r="H137" s="48"/>
      <c r="I137" s="48"/>
    </row>
    <row r="138" spans="1:9" ht="21" customHeight="1" x14ac:dyDescent="0.2">
      <c r="A138" s="46"/>
      <c r="B138" s="46"/>
      <c r="C138" s="46"/>
      <c r="D138" s="46"/>
      <c r="E138" s="46"/>
      <c r="F138" s="47"/>
      <c r="G138" s="47"/>
      <c r="H138" s="48"/>
      <c r="I138" s="48"/>
    </row>
    <row r="139" spans="1:9" ht="21" customHeight="1" x14ac:dyDescent="0.2">
      <c r="A139" s="46"/>
      <c r="B139" s="46"/>
      <c r="C139" s="46"/>
      <c r="D139" s="46"/>
      <c r="E139" s="46"/>
      <c r="F139" s="47"/>
      <c r="G139" s="47"/>
      <c r="H139" s="48"/>
      <c r="I139" s="48"/>
    </row>
    <row r="140" spans="1:9" ht="21" customHeight="1" x14ac:dyDescent="0.2">
      <c r="A140" s="46"/>
      <c r="B140" s="46"/>
      <c r="C140" s="46"/>
      <c r="D140" s="46"/>
      <c r="E140" s="46"/>
      <c r="F140" s="47"/>
      <c r="G140" s="47"/>
      <c r="H140" s="48"/>
      <c r="I140" s="48"/>
    </row>
    <row r="141" spans="1:9" ht="21" customHeight="1" x14ac:dyDescent="0.2">
      <c r="A141" s="46"/>
      <c r="B141" s="46"/>
      <c r="C141" s="46"/>
      <c r="D141" s="46"/>
      <c r="E141" s="46"/>
      <c r="F141" s="47"/>
      <c r="G141" s="47"/>
      <c r="H141" s="48"/>
      <c r="I141" s="48"/>
    </row>
    <row r="142" spans="1:9" ht="21" customHeight="1" x14ac:dyDescent="0.2">
      <c r="A142" s="46"/>
      <c r="B142" s="46"/>
      <c r="C142" s="46"/>
      <c r="D142" s="46"/>
      <c r="E142" s="46"/>
      <c r="F142" s="47"/>
      <c r="G142" s="47"/>
      <c r="H142" s="48"/>
      <c r="I142" s="48"/>
    </row>
    <row r="143" spans="1:9" ht="21" customHeight="1" x14ac:dyDescent="0.2">
      <c r="A143" s="46"/>
      <c r="B143" s="46"/>
      <c r="C143" s="46"/>
      <c r="D143" s="46"/>
      <c r="E143" s="46"/>
      <c r="F143" s="47"/>
      <c r="G143" s="47"/>
      <c r="H143" s="48"/>
      <c r="I143" s="48"/>
    </row>
    <row r="144" spans="1:9" ht="21" customHeight="1" x14ac:dyDescent="0.2">
      <c r="A144" s="46"/>
      <c r="B144" s="46"/>
      <c r="C144" s="46"/>
      <c r="D144" s="46"/>
      <c r="E144" s="46"/>
      <c r="F144" s="47"/>
      <c r="G144" s="47"/>
      <c r="H144" s="48"/>
      <c r="I144" s="48"/>
    </row>
    <row r="145" spans="1:9" ht="21" customHeight="1" x14ac:dyDescent="0.2">
      <c r="A145" s="46"/>
      <c r="B145" s="46"/>
      <c r="C145" s="46"/>
      <c r="D145" s="46"/>
      <c r="E145" s="46"/>
      <c r="F145" s="47"/>
      <c r="G145" s="47"/>
      <c r="H145" s="48"/>
      <c r="I145" s="48"/>
    </row>
    <row r="146" spans="1:9" ht="21" customHeight="1" x14ac:dyDescent="0.2">
      <c r="A146" s="46"/>
      <c r="B146" s="46"/>
      <c r="C146" s="46"/>
      <c r="D146" s="46"/>
      <c r="E146" s="46"/>
      <c r="F146" s="47"/>
      <c r="G146" s="47"/>
      <c r="H146" s="48"/>
      <c r="I146" s="48"/>
    </row>
    <row r="147" spans="1:9" ht="21" customHeight="1" x14ac:dyDescent="0.2">
      <c r="A147" s="46"/>
      <c r="B147" s="46"/>
      <c r="C147" s="46"/>
      <c r="D147" s="46"/>
      <c r="E147" s="46"/>
      <c r="F147" s="47"/>
      <c r="G147" s="47"/>
      <c r="H147" s="48"/>
      <c r="I147" s="48"/>
    </row>
    <row r="148" spans="1:9" ht="21" customHeight="1" x14ac:dyDescent="0.2">
      <c r="A148" s="46"/>
      <c r="B148" s="46"/>
      <c r="C148" s="46"/>
      <c r="D148" s="46"/>
      <c r="E148" s="46"/>
      <c r="F148" s="47"/>
      <c r="G148" s="47"/>
      <c r="H148" s="48"/>
      <c r="I148" s="48"/>
    </row>
    <row r="149" spans="1:9" ht="21" customHeight="1" x14ac:dyDescent="0.2">
      <c r="A149" s="46"/>
      <c r="B149" s="46"/>
      <c r="C149" s="46"/>
      <c r="D149" s="46"/>
      <c r="E149" s="46"/>
      <c r="F149" s="47"/>
      <c r="G149" s="47"/>
      <c r="H149" s="48"/>
      <c r="I149" s="48"/>
    </row>
    <row r="150" spans="1:9" ht="21" customHeight="1" x14ac:dyDescent="0.2">
      <c r="A150" s="46"/>
      <c r="B150" s="46"/>
      <c r="C150" s="46"/>
      <c r="D150" s="46"/>
      <c r="E150" s="46"/>
      <c r="F150" s="47"/>
      <c r="G150" s="47"/>
      <c r="H150" s="48"/>
      <c r="I150" s="48"/>
    </row>
    <row r="151" spans="1:9" ht="21" customHeight="1" x14ac:dyDescent="0.2">
      <c r="A151" s="46"/>
      <c r="B151" s="46"/>
      <c r="C151" s="46"/>
      <c r="D151" s="46"/>
      <c r="E151" s="46"/>
      <c r="F151" s="47"/>
      <c r="G151" s="47"/>
      <c r="H151" s="48"/>
      <c r="I151" s="48"/>
    </row>
    <row r="152" spans="1:9" ht="21" customHeight="1" x14ac:dyDescent="0.2">
      <c r="A152" s="46"/>
      <c r="B152" s="46"/>
      <c r="C152" s="46"/>
      <c r="D152" s="46"/>
      <c r="E152" s="46"/>
      <c r="F152" s="47"/>
      <c r="G152" s="47"/>
      <c r="H152" s="48"/>
      <c r="I152" s="48"/>
    </row>
    <row r="153" spans="1:9" ht="21" customHeight="1" x14ac:dyDescent="0.2">
      <c r="A153" s="46"/>
      <c r="B153" s="46"/>
      <c r="C153" s="46"/>
      <c r="D153" s="46"/>
      <c r="E153" s="46"/>
      <c r="F153" s="47"/>
      <c r="G153" s="47"/>
      <c r="H153" s="48"/>
      <c r="I153" s="48"/>
    </row>
    <row r="154" spans="1:9" ht="21" customHeight="1" x14ac:dyDescent="0.2">
      <c r="A154" s="46"/>
      <c r="B154" s="46"/>
      <c r="C154" s="46"/>
      <c r="D154" s="46"/>
      <c r="E154" s="46"/>
      <c r="F154" s="47"/>
      <c r="G154" s="47"/>
      <c r="H154" s="48"/>
      <c r="I154" s="48"/>
    </row>
    <row r="155" spans="1:9" ht="21" customHeight="1" x14ac:dyDescent="0.2">
      <c r="A155" s="46"/>
      <c r="B155" s="46"/>
      <c r="C155" s="46"/>
      <c r="D155" s="46"/>
      <c r="E155" s="46"/>
      <c r="F155" s="47"/>
      <c r="G155" s="47"/>
      <c r="H155" s="48"/>
      <c r="I155" s="48"/>
    </row>
    <row r="156" spans="1:9" ht="21" customHeight="1" x14ac:dyDescent="0.2">
      <c r="A156" s="46"/>
      <c r="B156" s="46"/>
      <c r="C156" s="46"/>
      <c r="D156" s="46"/>
      <c r="E156" s="46"/>
      <c r="F156" s="47"/>
      <c r="G156" s="47"/>
      <c r="H156" s="48"/>
      <c r="I156" s="48"/>
    </row>
    <row r="157" spans="1:9" ht="21" customHeight="1" x14ac:dyDescent="0.2">
      <c r="A157" s="46"/>
      <c r="B157" s="46"/>
      <c r="C157" s="46"/>
      <c r="D157" s="46"/>
      <c r="E157" s="46"/>
      <c r="F157" s="47"/>
      <c r="G157" s="47"/>
      <c r="H157" s="48"/>
      <c r="I157" s="48"/>
    </row>
    <row r="158" spans="1:9" ht="21" customHeight="1" x14ac:dyDescent="0.2">
      <c r="A158" s="46"/>
      <c r="B158" s="46"/>
      <c r="C158" s="46"/>
      <c r="D158" s="46"/>
      <c r="E158" s="46"/>
      <c r="F158" s="47"/>
      <c r="G158" s="47"/>
      <c r="H158" s="48"/>
      <c r="I158" s="48"/>
    </row>
    <row r="159" spans="1:9" ht="21" customHeight="1" x14ac:dyDescent="0.2">
      <c r="A159" s="46"/>
      <c r="B159" s="46"/>
      <c r="C159" s="46"/>
      <c r="D159" s="46"/>
      <c r="E159" s="46"/>
      <c r="F159" s="47"/>
      <c r="G159" s="47"/>
      <c r="H159" s="48"/>
      <c r="I159" s="48"/>
    </row>
    <row r="160" spans="1:9" ht="21" customHeight="1" x14ac:dyDescent="0.2">
      <c r="A160" s="46"/>
      <c r="B160" s="46"/>
      <c r="C160" s="46"/>
      <c r="D160" s="46"/>
      <c r="E160" s="46"/>
      <c r="F160" s="47"/>
      <c r="G160" s="47"/>
      <c r="H160" s="48"/>
      <c r="I160" s="48"/>
    </row>
    <row r="161" spans="1:9" ht="21" customHeight="1" x14ac:dyDescent="0.2">
      <c r="A161" s="46"/>
      <c r="B161" s="46"/>
      <c r="C161" s="46"/>
      <c r="D161" s="46"/>
      <c r="E161" s="46"/>
      <c r="F161" s="47"/>
      <c r="G161" s="47"/>
      <c r="H161" s="48"/>
      <c r="I161" s="48"/>
    </row>
    <row r="162" spans="1:9" ht="21" customHeight="1" x14ac:dyDescent="0.2">
      <c r="A162" s="46"/>
      <c r="B162" s="46"/>
      <c r="C162" s="46"/>
      <c r="D162" s="46"/>
      <c r="E162" s="46"/>
      <c r="F162" s="47"/>
      <c r="G162" s="47"/>
      <c r="H162" s="48"/>
      <c r="I162" s="48"/>
    </row>
    <row r="163" spans="1:9" ht="21" customHeight="1" x14ac:dyDescent="0.2">
      <c r="A163" s="46"/>
      <c r="B163" s="46"/>
      <c r="C163" s="46"/>
      <c r="D163" s="46"/>
      <c r="E163" s="46"/>
      <c r="F163" s="47"/>
      <c r="G163" s="47"/>
      <c r="H163" s="48"/>
      <c r="I163" s="48"/>
    </row>
    <row r="164" spans="1:9" ht="21" customHeight="1" x14ac:dyDescent="0.2">
      <c r="A164" s="46"/>
      <c r="B164" s="46"/>
      <c r="C164" s="46"/>
      <c r="D164" s="46"/>
      <c r="E164" s="46"/>
      <c r="F164" s="47"/>
      <c r="G164" s="47"/>
      <c r="H164" s="48"/>
      <c r="I164" s="48"/>
    </row>
    <row r="165" spans="1:9" ht="21" customHeight="1" x14ac:dyDescent="0.2">
      <c r="A165" s="46"/>
      <c r="B165" s="46"/>
      <c r="C165" s="46"/>
      <c r="D165" s="46"/>
      <c r="E165" s="46"/>
      <c r="F165" s="47"/>
      <c r="G165" s="47"/>
      <c r="H165" s="48"/>
      <c r="I165" s="48"/>
    </row>
    <row r="166" spans="1:9" ht="21" customHeight="1" x14ac:dyDescent="0.2">
      <c r="A166" s="46"/>
      <c r="B166" s="46"/>
      <c r="C166" s="46"/>
      <c r="D166" s="46"/>
      <c r="E166" s="46"/>
      <c r="F166" s="47"/>
      <c r="G166" s="47"/>
      <c r="H166" s="48"/>
      <c r="I166" s="48"/>
    </row>
    <row r="167" spans="1:9" ht="21" customHeight="1" x14ac:dyDescent="0.2">
      <c r="A167" s="46"/>
      <c r="B167" s="46"/>
      <c r="C167" s="46"/>
      <c r="D167" s="46"/>
      <c r="E167" s="46"/>
      <c r="F167" s="47"/>
      <c r="G167" s="47"/>
      <c r="H167" s="48"/>
      <c r="I167" s="48"/>
    </row>
    <row r="168" spans="1:9" ht="21" customHeight="1" x14ac:dyDescent="0.2">
      <c r="A168" s="46"/>
      <c r="B168" s="46"/>
      <c r="C168" s="46"/>
      <c r="D168" s="46"/>
      <c r="E168" s="46"/>
      <c r="F168" s="47"/>
      <c r="G168" s="47"/>
      <c r="H168" s="48"/>
      <c r="I168" s="48"/>
    </row>
    <row r="169" spans="1:9" ht="21" customHeight="1" x14ac:dyDescent="0.2">
      <c r="A169" s="46"/>
      <c r="B169" s="46"/>
      <c r="C169" s="46"/>
      <c r="D169" s="46"/>
      <c r="E169" s="46"/>
      <c r="F169" s="47"/>
      <c r="G169" s="47"/>
      <c r="H169" s="48"/>
      <c r="I169" s="48"/>
    </row>
    <row r="170" spans="1:9" ht="21" customHeight="1" x14ac:dyDescent="0.2">
      <c r="A170" s="46"/>
      <c r="B170" s="46"/>
      <c r="C170" s="46"/>
      <c r="D170" s="46"/>
      <c r="E170" s="46"/>
      <c r="F170" s="47"/>
      <c r="G170" s="47"/>
      <c r="H170" s="48"/>
      <c r="I170" s="48"/>
    </row>
    <row r="171" spans="1:9" ht="21" customHeight="1" x14ac:dyDescent="0.2">
      <c r="A171" s="46"/>
      <c r="B171" s="46"/>
      <c r="C171" s="46"/>
      <c r="D171" s="46"/>
      <c r="E171" s="46"/>
      <c r="F171" s="47"/>
      <c r="G171" s="47"/>
      <c r="H171" s="48"/>
      <c r="I171" s="48"/>
    </row>
    <row r="172" spans="1:9" ht="21" customHeight="1" x14ac:dyDescent="0.2">
      <c r="A172" s="46"/>
      <c r="B172" s="46"/>
      <c r="C172" s="46"/>
      <c r="D172" s="46"/>
      <c r="E172" s="46"/>
      <c r="F172" s="47"/>
      <c r="G172" s="47"/>
      <c r="H172" s="48"/>
      <c r="I172" s="48"/>
    </row>
    <row r="173" spans="1:9" ht="21" customHeight="1" x14ac:dyDescent="0.2">
      <c r="A173" s="46"/>
      <c r="B173" s="46"/>
      <c r="C173" s="46"/>
      <c r="D173" s="46"/>
      <c r="E173" s="46"/>
      <c r="F173" s="47"/>
      <c r="G173" s="47"/>
      <c r="H173" s="48"/>
      <c r="I173" s="48"/>
    </row>
    <row r="174" spans="1:9" ht="21" customHeight="1" x14ac:dyDescent="0.2">
      <c r="A174" s="46"/>
      <c r="B174" s="46"/>
      <c r="C174" s="46"/>
      <c r="D174" s="46"/>
      <c r="E174" s="46"/>
      <c r="F174" s="47"/>
      <c r="G174" s="47"/>
      <c r="H174" s="48"/>
      <c r="I174" s="48"/>
    </row>
    <row r="175" spans="1:9" ht="21" customHeight="1" x14ac:dyDescent="0.2">
      <c r="A175" s="46"/>
      <c r="B175" s="46"/>
      <c r="C175" s="46"/>
      <c r="D175" s="46"/>
      <c r="E175" s="46"/>
      <c r="F175" s="47"/>
      <c r="G175" s="47"/>
      <c r="H175" s="48"/>
      <c r="I175" s="48"/>
    </row>
    <row r="176" spans="1:9" ht="21" customHeight="1" x14ac:dyDescent="0.2">
      <c r="A176" s="46"/>
      <c r="B176" s="46"/>
      <c r="C176" s="46"/>
      <c r="D176" s="46"/>
      <c r="E176" s="46"/>
      <c r="F176" s="47"/>
      <c r="G176" s="47"/>
      <c r="H176" s="48"/>
      <c r="I176" s="48"/>
    </row>
    <row r="177" spans="1:9" ht="21" customHeight="1" x14ac:dyDescent="0.2">
      <c r="A177" s="46"/>
      <c r="B177" s="46"/>
      <c r="C177" s="46"/>
      <c r="D177" s="46"/>
      <c r="E177" s="46"/>
      <c r="F177" s="47"/>
      <c r="G177" s="47"/>
      <c r="H177" s="48"/>
      <c r="I177" s="48"/>
    </row>
    <row r="178" spans="1:9" ht="21" customHeight="1" x14ac:dyDescent="0.2">
      <c r="A178" s="46"/>
      <c r="B178" s="46"/>
      <c r="C178" s="46"/>
      <c r="D178" s="46"/>
      <c r="E178" s="46"/>
      <c r="F178" s="47"/>
      <c r="G178" s="47"/>
      <c r="H178" s="48"/>
      <c r="I178" s="48"/>
    </row>
    <row r="179" spans="1:9" ht="21" customHeight="1" x14ac:dyDescent="0.2">
      <c r="A179" s="46"/>
      <c r="B179" s="46"/>
      <c r="C179" s="46"/>
      <c r="D179" s="46"/>
      <c r="E179" s="46"/>
      <c r="F179" s="47"/>
      <c r="G179" s="47"/>
      <c r="H179" s="48"/>
      <c r="I179" s="48"/>
    </row>
    <row r="180" spans="1:9" ht="21" customHeight="1" x14ac:dyDescent="0.2">
      <c r="A180" s="46"/>
      <c r="B180" s="46"/>
      <c r="C180" s="46"/>
      <c r="D180" s="46"/>
      <c r="E180" s="46"/>
      <c r="F180" s="47"/>
      <c r="G180" s="47"/>
      <c r="H180" s="48"/>
      <c r="I180" s="48"/>
    </row>
    <row r="181" spans="1:9" ht="21" customHeight="1" x14ac:dyDescent="0.2">
      <c r="A181" s="46"/>
      <c r="B181" s="46"/>
      <c r="C181" s="46"/>
      <c r="D181" s="46"/>
      <c r="E181" s="46"/>
      <c r="F181" s="47"/>
      <c r="G181" s="47"/>
      <c r="H181" s="48"/>
      <c r="I181" s="48"/>
    </row>
    <row r="182" spans="1:9" ht="21" customHeight="1" x14ac:dyDescent="0.2">
      <c r="A182" s="46"/>
      <c r="B182" s="46"/>
      <c r="C182" s="46"/>
      <c r="D182" s="46"/>
      <c r="E182" s="46"/>
      <c r="F182" s="47"/>
      <c r="G182" s="47"/>
      <c r="H182" s="48"/>
      <c r="I182" s="48"/>
    </row>
    <row r="183" spans="1:9" ht="21" customHeight="1" x14ac:dyDescent="0.2">
      <c r="A183" s="46"/>
      <c r="B183" s="46"/>
      <c r="C183" s="46"/>
      <c r="D183" s="46"/>
      <c r="E183" s="46"/>
      <c r="F183" s="47"/>
      <c r="G183" s="47"/>
      <c r="H183" s="48"/>
      <c r="I183" s="48"/>
    </row>
    <row r="184" spans="1:9" ht="21" customHeight="1" x14ac:dyDescent="0.2">
      <c r="A184" s="46"/>
      <c r="B184" s="46"/>
      <c r="C184" s="46"/>
      <c r="D184" s="46"/>
      <c r="E184" s="46"/>
      <c r="F184" s="47"/>
      <c r="G184" s="47"/>
      <c r="H184" s="48"/>
      <c r="I184" s="48"/>
    </row>
    <row r="185" spans="1:9" ht="21" customHeight="1" x14ac:dyDescent="0.2">
      <c r="A185" s="46"/>
      <c r="B185" s="46"/>
      <c r="C185" s="46"/>
      <c r="D185" s="46"/>
      <c r="E185" s="46"/>
      <c r="F185" s="47"/>
      <c r="G185" s="47"/>
      <c r="H185" s="48"/>
      <c r="I185" s="48"/>
    </row>
    <row r="186" spans="1:9" ht="21" customHeight="1" x14ac:dyDescent="0.2">
      <c r="A186" s="46"/>
      <c r="B186" s="46"/>
      <c r="C186" s="46"/>
      <c r="D186" s="46"/>
      <c r="E186" s="46"/>
      <c r="F186" s="47"/>
      <c r="G186" s="47"/>
      <c r="H186" s="48"/>
      <c r="I186" s="48"/>
    </row>
    <row r="187" spans="1:9" ht="21" customHeight="1" x14ac:dyDescent="0.2">
      <c r="A187" s="46"/>
      <c r="B187" s="46"/>
      <c r="C187" s="46"/>
      <c r="D187" s="46"/>
      <c r="E187" s="46"/>
      <c r="F187" s="47"/>
      <c r="G187" s="47"/>
      <c r="H187" s="48"/>
      <c r="I187" s="48"/>
    </row>
    <row r="188" spans="1:9" ht="21" customHeight="1" x14ac:dyDescent="0.2">
      <c r="A188" s="46"/>
      <c r="B188" s="46"/>
      <c r="C188" s="46"/>
      <c r="D188" s="46"/>
      <c r="E188" s="46"/>
      <c r="F188" s="47"/>
      <c r="G188" s="47"/>
      <c r="H188" s="48"/>
      <c r="I188" s="48"/>
    </row>
    <row r="189" spans="1:9" ht="21" customHeight="1" x14ac:dyDescent="0.2">
      <c r="A189" s="46"/>
      <c r="B189" s="46"/>
      <c r="C189" s="46"/>
      <c r="D189" s="46"/>
      <c r="E189" s="46"/>
      <c r="F189" s="47"/>
      <c r="G189" s="47"/>
      <c r="H189" s="48"/>
      <c r="I189" s="48"/>
    </row>
    <row r="190" spans="1:9" ht="21" customHeight="1" x14ac:dyDescent="0.2">
      <c r="A190" s="46"/>
      <c r="B190" s="46"/>
      <c r="C190" s="46"/>
      <c r="D190" s="46"/>
      <c r="E190" s="46"/>
      <c r="F190" s="47"/>
      <c r="G190" s="47"/>
      <c r="H190" s="48"/>
      <c r="I190" s="48"/>
    </row>
    <row r="191" spans="1:9" ht="21" customHeight="1" x14ac:dyDescent="0.2">
      <c r="A191" s="46"/>
      <c r="B191" s="46"/>
      <c r="C191" s="46"/>
      <c r="D191" s="46"/>
      <c r="E191" s="46"/>
      <c r="F191" s="47"/>
      <c r="G191" s="47"/>
      <c r="H191" s="48"/>
      <c r="I191" s="48"/>
    </row>
    <row r="192" spans="1:9" ht="21" customHeight="1" x14ac:dyDescent="0.2">
      <c r="A192" s="46"/>
      <c r="B192" s="46"/>
      <c r="C192" s="46"/>
      <c r="D192" s="46"/>
      <c r="E192" s="46"/>
      <c r="F192" s="47"/>
      <c r="G192" s="47"/>
      <c r="H192" s="48"/>
      <c r="I192" s="48"/>
    </row>
    <row r="193" spans="1:9" ht="21" customHeight="1" x14ac:dyDescent="0.2">
      <c r="A193" s="46"/>
      <c r="B193" s="46"/>
      <c r="C193" s="46"/>
      <c r="D193" s="46"/>
      <c r="E193" s="46"/>
      <c r="F193" s="47"/>
      <c r="G193" s="47"/>
      <c r="H193" s="48"/>
      <c r="I193" s="48"/>
    </row>
    <row r="194" spans="1:9" ht="21" customHeight="1" x14ac:dyDescent="0.2">
      <c r="A194" s="46"/>
      <c r="B194" s="46"/>
      <c r="C194" s="46"/>
      <c r="D194" s="46"/>
      <c r="E194" s="46"/>
      <c r="F194" s="47"/>
      <c r="G194" s="47"/>
      <c r="H194" s="48"/>
      <c r="I194" s="48"/>
    </row>
    <row r="195" spans="1:9" ht="21" customHeight="1" x14ac:dyDescent="0.2">
      <c r="A195" s="46"/>
      <c r="B195" s="46"/>
      <c r="C195" s="46"/>
      <c r="D195" s="46"/>
      <c r="E195" s="46"/>
      <c r="F195" s="47"/>
      <c r="G195" s="47"/>
      <c r="H195" s="48"/>
      <c r="I195" s="48"/>
    </row>
    <row r="196" spans="1:9" ht="21" customHeight="1" x14ac:dyDescent="0.2">
      <c r="A196" s="46"/>
      <c r="B196" s="46"/>
      <c r="C196" s="46"/>
      <c r="D196" s="46"/>
      <c r="E196" s="46"/>
      <c r="F196" s="47"/>
      <c r="G196" s="47"/>
      <c r="H196" s="48"/>
      <c r="I196" s="48"/>
    </row>
    <row r="197" spans="1:9" ht="21" customHeight="1" x14ac:dyDescent="0.2">
      <c r="A197" s="46"/>
      <c r="B197" s="46"/>
      <c r="C197" s="46"/>
      <c r="D197" s="46"/>
      <c r="E197" s="46"/>
      <c r="F197" s="47"/>
      <c r="G197" s="47"/>
      <c r="H197" s="48"/>
      <c r="I197" s="48"/>
    </row>
    <row r="198" spans="1:9" ht="21" customHeight="1" x14ac:dyDescent="0.2">
      <c r="A198" s="46"/>
      <c r="B198" s="46"/>
      <c r="C198" s="46"/>
      <c r="D198" s="46"/>
      <c r="E198" s="46"/>
      <c r="F198" s="47"/>
      <c r="G198" s="47"/>
      <c r="H198" s="48"/>
      <c r="I198" s="48"/>
    </row>
    <row r="199" spans="1:9" ht="21" customHeight="1" x14ac:dyDescent="0.2">
      <c r="A199" s="46"/>
      <c r="B199" s="46"/>
      <c r="C199" s="46"/>
      <c r="D199" s="46"/>
      <c r="E199" s="46"/>
      <c r="F199" s="47"/>
      <c r="G199" s="47"/>
      <c r="H199" s="48"/>
      <c r="I199" s="48"/>
    </row>
    <row r="200" spans="1:9" ht="21" customHeight="1" x14ac:dyDescent="0.2">
      <c r="A200" s="46"/>
      <c r="B200" s="46"/>
      <c r="C200" s="46"/>
      <c r="D200" s="46"/>
      <c r="E200" s="46"/>
      <c r="F200" s="47"/>
      <c r="G200" s="47"/>
      <c r="H200" s="48"/>
      <c r="I200" s="48"/>
    </row>
    <row r="201" spans="1:9" ht="21" customHeight="1" x14ac:dyDescent="0.2">
      <c r="A201" s="46"/>
      <c r="B201" s="46"/>
      <c r="C201" s="46"/>
      <c r="D201" s="46"/>
      <c r="E201" s="46"/>
      <c r="F201" s="47"/>
      <c r="G201" s="47"/>
      <c r="H201" s="48"/>
      <c r="I201" s="48"/>
    </row>
    <row r="202" spans="1:9" ht="21" customHeight="1" x14ac:dyDescent="0.2">
      <c r="A202" s="46"/>
      <c r="B202" s="46"/>
      <c r="C202" s="46"/>
      <c r="D202" s="46"/>
      <c r="E202" s="46"/>
      <c r="F202" s="47"/>
      <c r="G202" s="47"/>
      <c r="H202" s="48"/>
      <c r="I202" s="48"/>
    </row>
    <row r="203" spans="1:9" ht="21" customHeight="1" x14ac:dyDescent="0.2">
      <c r="A203" s="46"/>
      <c r="B203" s="46"/>
      <c r="C203" s="46"/>
      <c r="D203" s="46"/>
      <c r="E203" s="46"/>
      <c r="F203" s="47"/>
      <c r="G203" s="47"/>
      <c r="H203" s="48"/>
      <c r="I203" s="48"/>
    </row>
    <row r="204" spans="1:9" ht="21" customHeight="1" x14ac:dyDescent="0.2">
      <c r="A204" s="46"/>
      <c r="B204" s="46"/>
      <c r="C204" s="46"/>
      <c r="D204" s="46"/>
      <c r="E204" s="46"/>
      <c r="F204" s="47"/>
      <c r="G204" s="47"/>
      <c r="H204" s="48"/>
      <c r="I204" s="48"/>
    </row>
    <row r="205" spans="1:9" ht="21" customHeight="1" x14ac:dyDescent="0.2">
      <c r="A205" s="46"/>
      <c r="B205" s="46"/>
      <c r="C205" s="46"/>
      <c r="D205" s="46"/>
      <c r="E205" s="46"/>
      <c r="F205" s="47"/>
      <c r="G205" s="47"/>
      <c r="H205" s="48"/>
      <c r="I205" s="48"/>
    </row>
    <row r="206" spans="1:9" ht="21" customHeight="1" x14ac:dyDescent="0.2">
      <c r="A206" s="46"/>
      <c r="B206" s="46"/>
      <c r="C206" s="46"/>
      <c r="D206" s="46"/>
      <c r="E206" s="46"/>
      <c r="F206" s="47"/>
      <c r="G206" s="47"/>
      <c r="H206" s="48"/>
      <c r="I206" s="48"/>
    </row>
    <row r="207" spans="1:9" ht="21" customHeight="1" x14ac:dyDescent="0.2">
      <c r="A207" s="46"/>
      <c r="B207" s="46"/>
      <c r="C207" s="46"/>
      <c r="D207" s="46"/>
      <c r="E207" s="46"/>
      <c r="F207" s="47"/>
      <c r="G207" s="47"/>
      <c r="H207" s="48"/>
      <c r="I207" s="48"/>
    </row>
    <row r="208" spans="1:9" ht="21" customHeight="1" x14ac:dyDescent="0.2">
      <c r="A208" s="46"/>
      <c r="B208" s="46"/>
      <c r="C208" s="46"/>
      <c r="D208" s="46"/>
      <c r="E208" s="46"/>
      <c r="F208" s="47"/>
      <c r="G208" s="47"/>
      <c r="H208" s="48"/>
      <c r="I208" s="48"/>
    </row>
    <row r="209" spans="1:9" ht="21" customHeight="1" x14ac:dyDescent="0.2">
      <c r="A209" s="46"/>
      <c r="B209" s="46"/>
      <c r="C209" s="46"/>
      <c r="D209" s="46"/>
      <c r="E209" s="46"/>
      <c r="F209" s="47"/>
      <c r="G209" s="47"/>
      <c r="H209" s="48"/>
      <c r="I209" s="48"/>
    </row>
    <row r="210" spans="1:9" ht="21" customHeight="1" x14ac:dyDescent="0.2">
      <c r="A210" s="46"/>
      <c r="B210" s="46"/>
      <c r="C210" s="46"/>
      <c r="D210" s="46"/>
      <c r="E210" s="46"/>
      <c r="F210" s="47"/>
      <c r="G210" s="47"/>
      <c r="H210" s="48"/>
      <c r="I210" s="48"/>
    </row>
    <row r="211" spans="1:9" ht="21" customHeight="1" x14ac:dyDescent="0.2">
      <c r="A211" s="46"/>
      <c r="B211" s="46"/>
      <c r="C211" s="46"/>
      <c r="D211" s="46"/>
      <c r="E211" s="46"/>
      <c r="F211" s="47"/>
      <c r="G211" s="47"/>
      <c r="H211" s="48"/>
      <c r="I211" s="48"/>
    </row>
    <row r="212" spans="1:9" ht="21" customHeight="1" x14ac:dyDescent="0.2">
      <c r="A212" s="46"/>
      <c r="B212" s="46"/>
      <c r="C212" s="46"/>
      <c r="D212" s="46"/>
      <c r="E212" s="46"/>
      <c r="F212" s="47"/>
      <c r="G212" s="47"/>
      <c r="H212" s="48"/>
      <c r="I212" s="48"/>
    </row>
    <row r="213" spans="1:9" ht="21" customHeight="1" x14ac:dyDescent="0.2">
      <c r="A213" s="46"/>
      <c r="B213" s="46"/>
      <c r="C213" s="46"/>
      <c r="D213" s="46"/>
      <c r="E213" s="46"/>
      <c r="F213" s="47"/>
      <c r="G213" s="47"/>
      <c r="H213" s="48"/>
      <c r="I213" s="48"/>
    </row>
    <row r="214" spans="1:9" ht="21" customHeight="1" x14ac:dyDescent="0.2">
      <c r="A214" s="46"/>
      <c r="B214" s="46"/>
      <c r="C214" s="46"/>
      <c r="D214" s="46"/>
      <c r="E214" s="46"/>
      <c r="F214" s="47"/>
      <c r="G214" s="47"/>
      <c r="H214" s="48"/>
      <c r="I214" s="48"/>
    </row>
    <row r="215" spans="1:9" ht="21" customHeight="1" x14ac:dyDescent="0.2">
      <c r="A215" s="46"/>
      <c r="B215" s="46"/>
      <c r="C215" s="46"/>
      <c r="D215" s="46"/>
      <c r="E215" s="46"/>
      <c r="F215" s="47"/>
      <c r="G215" s="47"/>
      <c r="H215" s="48"/>
      <c r="I215" s="48"/>
    </row>
    <row r="216" spans="1:9" ht="21" customHeight="1" x14ac:dyDescent="0.2">
      <c r="A216" s="46"/>
      <c r="B216" s="46"/>
      <c r="C216" s="46"/>
      <c r="D216" s="46"/>
      <c r="E216" s="46"/>
      <c r="F216" s="47"/>
      <c r="G216" s="47"/>
      <c r="H216" s="48"/>
      <c r="I216" s="48"/>
    </row>
    <row r="217" spans="1:9" ht="21" customHeight="1" x14ac:dyDescent="0.2">
      <c r="A217" s="46"/>
      <c r="B217" s="46"/>
      <c r="C217" s="46"/>
      <c r="D217" s="46"/>
      <c r="E217" s="46"/>
      <c r="F217" s="47"/>
      <c r="G217" s="47"/>
      <c r="H217" s="48"/>
      <c r="I217" s="48"/>
    </row>
    <row r="218" spans="1:9" ht="21" customHeight="1" x14ac:dyDescent="0.2">
      <c r="A218" s="46"/>
      <c r="B218" s="46"/>
      <c r="C218" s="46"/>
      <c r="D218" s="46"/>
      <c r="E218" s="46"/>
      <c r="F218" s="47"/>
      <c r="G218" s="47"/>
      <c r="H218" s="48"/>
      <c r="I218" s="48"/>
    </row>
    <row r="219" spans="1:9" ht="21" customHeight="1" x14ac:dyDescent="0.2">
      <c r="A219" s="46"/>
      <c r="B219" s="46"/>
      <c r="C219" s="46"/>
      <c r="D219" s="46"/>
      <c r="E219" s="46"/>
      <c r="F219" s="47"/>
      <c r="G219" s="47"/>
      <c r="H219" s="48"/>
      <c r="I219" s="48"/>
    </row>
    <row r="220" spans="1:9" ht="21" customHeight="1" x14ac:dyDescent="0.2">
      <c r="A220" s="46"/>
      <c r="B220" s="46"/>
      <c r="C220" s="46"/>
      <c r="D220" s="46"/>
      <c r="E220" s="46"/>
      <c r="F220" s="47"/>
      <c r="G220" s="47"/>
      <c r="H220" s="48"/>
      <c r="I220" s="48"/>
    </row>
    <row r="221" spans="1:9" ht="21" customHeight="1" x14ac:dyDescent="0.2">
      <c r="A221" s="46"/>
      <c r="B221" s="46"/>
      <c r="C221" s="46"/>
      <c r="D221" s="46"/>
      <c r="E221" s="46"/>
      <c r="F221" s="47"/>
      <c r="G221" s="47"/>
      <c r="H221" s="48"/>
      <c r="I221" s="48"/>
    </row>
    <row r="222" spans="1:9" ht="21" customHeight="1" x14ac:dyDescent="0.2">
      <c r="A222" s="46"/>
      <c r="B222" s="46"/>
      <c r="C222" s="46"/>
      <c r="D222" s="46"/>
      <c r="E222" s="46"/>
      <c r="F222" s="47"/>
      <c r="G222" s="47"/>
      <c r="H222" s="48"/>
      <c r="I222" s="48"/>
    </row>
    <row r="223" spans="1:9" ht="21" customHeight="1" x14ac:dyDescent="0.2">
      <c r="A223" s="46"/>
      <c r="B223" s="46"/>
      <c r="C223" s="46"/>
      <c r="D223" s="46"/>
      <c r="E223" s="46"/>
      <c r="F223" s="47"/>
      <c r="G223" s="47"/>
      <c r="H223" s="48"/>
      <c r="I223" s="48"/>
    </row>
    <row r="224" spans="1:9" ht="21" customHeight="1" x14ac:dyDescent="0.2">
      <c r="A224" s="46"/>
      <c r="B224" s="46"/>
      <c r="C224" s="46"/>
      <c r="D224" s="46"/>
      <c r="E224" s="46"/>
      <c r="F224" s="47"/>
      <c r="G224" s="47"/>
      <c r="H224" s="48"/>
      <c r="I224" s="48"/>
    </row>
    <row r="225" spans="1:9" ht="21" customHeight="1" x14ac:dyDescent="0.2">
      <c r="A225" s="46"/>
      <c r="B225" s="46"/>
      <c r="C225" s="46"/>
      <c r="D225" s="46"/>
      <c r="E225" s="46"/>
      <c r="F225" s="47"/>
      <c r="G225" s="47"/>
      <c r="H225" s="48"/>
      <c r="I225" s="48"/>
    </row>
    <row r="226" spans="1:9" ht="21" customHeight="1" x14ac:dyDescent="0.2">
      <c r="A226" s="46"/>
      <c r="B226" s="46"/>
      <c r="C226" s="46"/>
      <c r="D226" s="46"/>
      <c r="E226" s="46"/>
      <c r="F226" s="47"/>
      <c r="G226" s="47"/>
      <c r="H226" s="48"/>
      <c r="I226" s="48"/>
    </row>
    <row r="227" spans="1:9" ht="21" customHeight="1" x14ac:dyDescent="0.2">
      <c r="A227" s="46"/>
      <c r="B227" s="46"/>
      <c r="C227" s="46"/>
      <c r="D227" s="46"/>
      <c r="E227" s="46"/>
      <c r="F227" s="47"/>
      <c r="G227" s="47"/>
      <c r="H227" s="48"/>
      <c r="I227" s="48"/>
    </row>
    <row r="228" spans="1:9" ht="21" customHeight="1" x14ac:dyDescent="0.2">
      <c r="A228" s="46"/>
      <c r="B228" s="46"/>
      <c r="C228" s="46"/>
      <c r="D228" s="46"/>
      <c r="E228" s="46"/>
      <c r="F228" s="47"/>
      <c r="G228" s="47"/>
      <c r="H228" s="48"/>
      <c r="I228" s="48"/>
    </row>
    <row r="229" spans="1:9" ht="21" customHeight="1" x14ac:dyDescent="0.2">
      <c r="A229" s="46"/>
      <c r="B229" s="46"/>
      <c r="C229" s="46"/>
      <c r="D229" s="46"/>
      <c r="E229" s="46"/>
      <c r="F229" s="47"/>
      <c r="G229" s="47"/>
      <c r="H229" s="48"/>
      <c r="I229" s="48"/>
    </row>
    <row r="230" spans="1:9" ht="21" customHeight="1" x14ac:dyDescent="0.2">
      <c r="A230" s="46"/>
      <c r="B230" s="46"/>
      <c r="C230" s="46"/>
      <c r="D230" s="46"/>
      <c r="E230" s="46"/>
      <c r="F230" s="47"/>
      <c r="G230" s="47"/>
      <c r="H230" s="48"/>
      <c r="I230" s="48"/>
    </row>
    <row r="231" spans="1:9" ht="21" customHeight="1" x14ac:dyDescent="0.2">
      <c r="A231" s="46"/>
      <c r="B231" s="46"/>
      <c r="C231" s="46"/>
      <c r="D231" s="46"/>
      <c r="E231" s="46"/>
      <c r="F231" s="47"/>
      <c r="G231" s="47"/>
      <c r="H231" s="48"/>
      <c r="I231" s="48"/>
    </row>
    <row r="232" spans="1:9" ht="21" customHeight="1" x14ac:dyDescent="0.2">
      <c r="A232" s="46"/>
      <c r="B232" s="46"/>
      <c r="C232" s="46"/>
      <c r="D232" s="46"/>
      <c r="E232" s="46"/>
      <c r="F232" s="47"/>
      <c r="G232" s="47"/>
      <c r="H232" s="48"/>
      <c r="I232" s="48"/>
    </row>
    <row r="233" spans="1:9" ht="21" customHeight="1" x14ac:dyDescent="0.2">
      <c r="A233" s="46"/>
      <c r="B233" s="46"/>
      <c r="C233" s="46"/>
      <c r="D233" s="46"/>
      <c r="E233" s="46"/>
      <c r="F233" s="47"/>
      <c r="G233" s="47"/>
      <c r="H233" s="48"/>
      <c r="I233" s="48"/>
    </row>
    <row r="234" spans="1:9" ht="21" customHeight="1" x14ac:dyDescent="0.2">
      <c r="A234" s="46"/>
      <c r="B234" s="46"/>
      <c r="C234" s="46"/>
      <c r="D234" s="46"/>
      <c r="E234" s="46"/>
      <c r="F234" s="47"/>
      <c r="G234" s="47"/>
      <c r="H234" s="48"/>
      <c r="I234" s="48"/>
    </row>
    <row r="235" spans="1:9" ht="21" customHeight="1" x14ac:dyDescent="0.2">
      <c r="A235" s="46"/>
      <c r="B235" s="46"/>
      <c r="C235" s="46"/>
      <c r="D235" s="46"/>
      <c r="E235" s="46"/>
      <c r="F235" s="47"/>
      <c r="G235" s="47"/>
      <c r="H235" s="48"/>
      <c r="I235" s="48"/>
    </row>
    <row r="236" spans="1:9" ht="21" customHeight="1" x14ac:dyDescent="0.2">
      <c r="A236" s="46"/>
      <c r="B236" s="46"/>
      <c r="C236" s="46"/>
      <c r="D236" s="46"/>
      <c r="E236" s="46"/>
      <c r="F236" s="47"/>
      <c r="G236" s="47"/>
      <c r="H236" s="48"/>
      <c r="I236" s="48"/>
    </row>
    <row r="237" spans="1:9" ht="21" customHeight="1" x14ac:dyDescent="0.2">
      <c r="A237" s="46"/>
      <c r="B237" s="46"/>
      <c r="C237" s="46"/>
      <c r="D237" s="46"/>
      <c r="E237" s="46"/>
      <c r="F237" s="47"/>
      <c r="G237" s="47"/>
      <c r="H237" s="48"/>
      <c r="I237" s="48"/>
    </row>
    <row r="238" spans="1:9" ht="21" customHeight="1" x14ac:dyDescent="0.2">
      <c r="A238" s="46"/>
      <c r="B238" s="46"/>
      <c r="C238" s="46"/>
      <c r="D238" s="46"/>
      <c r="E238" s="46"/>
      <c r="F238" s="47"/>
      <c r="G238" s="47"/>
      <c r="H238" s="48"/>
      <c r="I238" s="48"/>
    </row>
    <row r="239" spans="1:9" ht="21" customHeight="1" x14ac:dyDescent="0.2">
      <c r="A239" s="46"/>
      <c r="B239" s="46"/>
      <c r="C239" s="46"/>
      <c r="D239" s="46"/>
      <c r="E239" s="46"/>
      <c r="F239" s="47"/>
      <c r="G239" s="47"/>
      <c r="H239" s="48"/>
      <c r="I239" s="48"/>
    </row>
    <row r="240" spans="1:9" ht="21" customHeight="1" x14ac:dyDescent="0.2">
      <c r="A240" s="46"/>
      <c r="B240" s="46"/>
      <c r="C240" s="46"/>
      <c r="D240" s="46"/>
      <c r="E240" s="46"/>
      <c r="F240" s="47"/>
      <c r="G240" s="47"/>
      <c r="H240" s="48"/>
      <c r="I240" s="48"/>
    </row>
    <row r="241" spans="1:9" ht="21" customHeight="1" x14ac:dyDescent="0.2">
      <c r="A241" s="46"/>
      <c r="B241" s="46"/>
      <c r="C241" s="46"/>
      <c r="D241" s="46"/>
      <c r="E241" s="46"/>
      <c r="F241" s="47"/>
      <c r="G241" s="47"/>
      <c r="H241" s="48"/>
      <c r="I241" s="48"/>
    </row>
    <row r="242" spans="1:9" ht="21" customHeight="1" x14ac:dyDescent="0.2">
      <c r="A242" s="46"/>
      <c r="B242" s="46"/>
      <c r="C242" s="46"/>
      <c r="D242" s="46"/>
      <c r="E242" s="46"/>
      <c r="F242" s="47"/>
      <c r="G242" s="47"/>
      <c r="H242" s="48"/>
      <c r="I242" s="48"/>
    </row>
    <row r="243" spans="1:9" ht="21" customHeight="1" x14ac:dyDescent="0.2">
      <c r="A243" s="46"/>
      <c r="B243" s="46"/>
      <c r="C243" s="46"/>
      <c r="D243" s="46"/>
      <c r="E243" s="46"/>
      <c r="F243" s="47"/>
      <c r="G243" s="47"/>
      <c r="H243" s="48"/>
      <c r="I243" s="48"/>
    </row>
    <row r="244" spans="1:9" ht="21" customHeight="1" x14ac:dyDescent="0.2">
      <c r="A244" s="46"/>
      <c r="B244" s="46"/>
      <c r="C244" s="46"/>
      <c r="D244" s="46"/>
      <c r="E244" s="46"/>
      <c r="F244" s="47"/>
      <c r="G244" s="47"/>
      <c r="H244" s="48"/>
      <c r="I244" s="48"/>
    </row>
    <row r="245" spans="1:9" ht="21" customHeight="1" x14ac:dyDescent="0.2">
      <c r="A245" s="46"/>
      <c r="B245" s="46"/>
      <c r="C245" s="46"/>
      <c r="D245" s="46"/>
      <c r="E245" s="46"/>
      <c r="F245" s="47"/>
      <c r="G245" s="47"/>
      <c r="H245" s="48"/>
      <c r="I245" s="48"/>
    </row>
    <row r="246" spans="1:9" ht="21" customHeight="1" x14ac:dyDescent="0.2">
      <c r="A246" s="46"/>
      <c r="B246" s="46"/>
      <c r="C246" s="46"/>
      <c r="D246" s="46"/>
      <c r="E246" s="46"/>
      <c r="F246" s="47"/>
      <c r="G246" s="47"/>
      <c r="H246" s="48"/>
      <c r="I246" s="48"/>
    </row>
    <row r="247" spans="1:9" ht="21" customHeight="1" x14ac:dyDescent="0.2">
      <c r="A247" s="46"/>
      <c r="B247" s="46"/>
      <c r="C247" s="46"/>
      <c r="D247" s="46"/>
      <c r="E247" s="46"/>
      <c r="F247" s="47"/>
      <c r="G247" s="47"/>
      <c r="H247" s="48"/>
      <c r="I247" s="48"/>
    </row>
    <row r="248" spans="1:9" ht="21" customHeight="1" x14ac:dyDescent="0.2">
      <c r="A248" s="46"/>
      <c r="B248" s="46"/>
      <c r="C248" s="46"/>
      <c r="D248" s="46"/>
      <c r="E248" s="46"/>
      <c r="F248" s="47"/>
      <c r="G248" s="47"/>
      <c r="H248" s="48"/>
      <c r="I248" s="48"/>
    </row>
    <row r="249" spans="1:9" ht="21" customHeight="1" x14ac:dyDescent="0.2">
      <c r="A249" s="46"/>
      <c r="B249" s="46"/>
      <c r="C249" s="46"/>
      <c r="D249" s="46"/>
      <c r="E249" s="46"/>
      <c r="F249" s="47"/>
      <c r="G249" s="47"/>
      <c r="H249" s="48"/>
      <c r="I249" s="48"/>
    </row>
    <row r="250" spans="1:9" ht="21" customHeight="1" x14ac:dyDescent="0.2">
      <c r="A250" s="46"/>
      <c r="B250" s="46"/>
      <c r="C250" s="46"/>
      <c r="D250" s="46"/>
      <c r="E250" s="46"/>
      <c r="F250" s="47"/>
      <c r="G250" s="47"/>
      <c r="H250" s="48"/>
      <c r="I250" s="48"/>
    </row>
    <row r="251" spans="1:9" ht="21" customHeight="1" x14ac:dyDescent="0.2">
      <c r="A251" s="46"/>
      <c r="B251" s="46"/>
      <c r="C251" s="46"/>
      <c r="D251" s="46"/>
      <c r="E251" s="46"/>
      <c r="F251" s="47"/>
      <c r="G251" s="47"/>
      <c r="H251" s="48"/>
      <c r="I251" s="48"/>
    </row>
    <row r="252" spans="1:9" ht="21" customHeight="1" x14ac:dyDescent="0.2">
      <c r="A252" s="46"/>
      <c r="B252" s="46"/>
      <c r="C252" s="46"/>
      <c r="D252" s="46"/>
      <c r="E252" s="46"/>
      <c r="F252" s="47"/>
      <c r="G252" s="47"/>
      <c r="H252" s="48"/>
      <c r="I252" s="48"/>
    </row>
    <row r="253" spans="1:9" ht="21" customHeight="1" x14ac:dyDescent="0.2">
      <c r="A253" s="46"/>
      <c r="B253" s="46"/>
      <c r="C253" s="46"/>
      <c r="D253" s="46"/>
      <c r="E253" s="46"/>
      <c r="F253" s="47"/>
      <c r="G253" s="47"/>
      <c r="H253" s="48"/>
      <c r="I253" s="48"/>
    </row>
    <row r="254" spans="1:9" ht="21" customHeight="1" x14ac:dyDescent="0.2">
      <c r="A254" s="46"/>
      <c r="B254" s="46"/>
      <c r="C254" s="46"/>
      <c r="D254" s="46"/>
      <c r="E254" s="46"/>
      <c r="F254" s="47"/>
      <c r="G254" s="47"/>
      <c r="H254" s="48"/>
      <c r="I254" s="48"/>
    </row>
    <row r="255" spans="1:9" ht="21" customHeight="1" x14ac:dyDescent="0.2">
      <c r="A255" s="46"/>
      <c r="B255" s="46"/>
      <c r="C255" s="46"/>
      <c r="D255" s="46"/>
      <c r="E255" s="46"/>
      <c r="F255" s="47"/>
      <c r="G255" s="47"/>
      <c r="H255" s="48"/>
      <c r="I255" s="48"/>
    </row>
    <row r="256" spans="1:9" ht="21" customHeight="1" x14ac:dyDescent="0.2">
      <c r="A256" s="46"/>
      <c r="B256" s="46"/>
      <c r="C256" s="46"/>
      <c r="D256" s="46"/>
      <c r="E256" s="46"/>
      <c r="F256" s="47"/>
      <c r="G256" s="47"/>
      <c r="H256" s="48"/>
      <c r="I256" s="48"/>
    </row>
    <row r="257" spans="1:9" ht="21" customHeight="1" x14ac:dyDescent="0.2">
      <c r="A257" s="46"/>
      <c r="B257" s="46"/>
      <c r="C257" s="46"/>
      <c r="D257" s="46"/>
      <c r="E257" s="46"/>
      <c r="F257" s="47"/>
      <c r="G257" s="47"/>
      <c r="H257" s="48"/>
      <c r="I257" s="48"/>
    </row>
    <row r="258" spans="1:9" ht="21" customHeight="1" x14ac:dyDescent="0.2">
      <c r="A258" s="46"/>
      <c r="B258" s="46"/>
      <c r="C258" s="46"/>
      <c r="D258" s="46"/>
      <c r="E258" s="46"/>
      <c r="F258" s="47"/>
      <c r="G258" s="47"/>
      <c r="H258" s="48"/>
      <c r="I258" s="48"/>
    </row>
    <row r="259" spans="1:9" ht="21" customHeight="1" x14ac:dyDescent="0.2">
      <c r="A259" s="46"/>
      <c r="B259" s="46"/>
      <c r="C259" s="46"/>
      <c r="D259" s="46"/>
      <c r="E259" s="46"/>
      <c r="F259" s="47"/>
      <c r="G259" s="47"/>
      <c r="H259" s="48"/>
      <c r="I259" s="48"/>
    </row>
    <row r="260" spans="1:9" ht="21" customHeight="1" x14ac:dyDescent="0.2">
      <c r="A260" s="46"/>
      <c r="B260" s="46"/>
      <c r="C260" s="46"/>
      <c r="D260" s="46"/>
      <c r="E260" s="46"/>
      <c r="F260" s="47"/>
      <c r="G260" s="47"/>
      <c r="H260" s="48"/>
      <c r="I260" s="48"/>
    </row>
    <row r="261" spans="1:9" ht="21" customHeight="1" x14ac:dyDescent="0.2">
      <c r="A261" s="46"/>
      <c r="B261" s="46"/>
      <c r="C261" s="46"/>
      <c r="D261" s="46"/>
      <c r="E261" s="46"/>
      <c r="F261" s="47"/>
      <c r="G261" s="47"/>
      <c r="H261" s="48"/>
      <c r="I261" s="48"/>
    </row>
    <row r="262" spans="1:9" ht="21" customHeight="1" x14ac:dyDescent="0.2">
      <c r="A262" s="46"/>
      <c r="B262" s="46"/>
      <c r="C262" s="46"/>
      <c r="D262" s="46"/>
      <c r="E262" s="46"/>
      <c r="F262" s="47"/>
      <c r="G262" s="47"/>
      <c r="H262" s="48"/>
      <c r="I262" s="48"/>
    </row>
    <row r="263" spans="1:9" ht="21" customHeight="1" x14ac:dyDescent="0.2">
      <c r="A263" s="46"/>
      <c r="B263" s="46"/>
      <c r="C263" s="46"/>
      <c r="D263" s="46"/>
      <c r="E263" s="46"/>
      <c r="F263" s="47"/>
      <c r="G263" s="47"/>
      <c r="H263" s="48"/>
      <c r="I263" s="48"/>
    </row>
    <row r="264" spans="1:9" ht="21" customHeight="1" x14ac:dyDescent="0.2">
      <c r="A264" s="46"/>
      <c r="B264" s="46"/>
      <c r="C264" s="46"/>
      <c r="D264" s="46"/>
      <c r="E264" s="46"/>
      <c r="F264" s="47"/>
      <c r="G264" s="47"/>
      <c r="H264" s="48"/>
      <c r="I264" s="48"/>
    </row>
    <row r="265" spans="1:9" ht="21" customHeight="1" x14ac:dyDescent="0.2">
      <c r="A265" s="46"/>
      <c r="B265" s="46"/>
      <c r="C265" s="46"/>
      <c r="D265" s="46"/>
      <c r="E265" s="46"/>
      <c r="F265" s="47"/>
      <c r="G265" s="47"/>
      <c r="H265" s="48"/>
      <c r="I265" s="48"/>
    </row>
    <row r="266" spans="1:9" ht="21" customHeight="1" x14ac:dyDescent="0.2">
      <c r="A266" s="46"/>
      <c r="B266" s="46"/>
      <c r="C266" s="46"/>
      <c r="D266" s="46"/>
      <c r="E266" s="46"/>
      <c r="F266" s="47"/>
      <c r="G266" s="47"/>
      <c r="H266" s="48"/>
      <c r="I266" s="48"/>
    </row>
    <row r="267" spans="1:9" ht="21" customHeight="1" x14ac:dyDescent="0.2">
      <c r="A267" s="46"/>
      <c r="B267" s="46"/>
      <c r="C267" s="46"/>
      <c r="D267" s="46"/>
      <c r="E267" s="46"/>
      <c r="F267" s="47"/>
      <c r="G267" s="47"/>
      <c r="H267" s="48"/>
      <c r="I267" s="48"/>
    </row>
    <row r="268" spans="1:9" ht="21" customHeight="1" x14ac:dyDescent="0.2">
      <c r="A268" s="46"/>
      <c r="B268" s="46"/>
      <c r="C268" s="46"/>
      <c r="D268" s="46"/>
      <c r="E268" s="46"/>
      <c r="F268" s="47"/>
      <c r="G268" s="47"/>
      <c r="H268" s="48"/>
      <c r="I268" s="48"/>
    </row>
    <row r="269" spans="1:9" ht="21" customHeight="1" x14ac:dyDescent="0.2">
      <c r="A269" s="46"/>
      <c r="B269" s="46"/>
      <c r="C269" s="46"/>
      <c r="D269" s="46"/>
      <c r="E269" s="46"/>
      <c r="F269" s="47"/>
      <c r="G269" s="47"/>
      <c r="H269" s="48"/>
      <c r="I269" s="48"/>
    </row>
    <row r="270" spans="1:9" ht="21" customHeight="1" x14ac:dyDescent="0.2">
      <c r="A270" s="46"/>
      <c r="B270" s="46"/>
      <c r="C270" s="46"/>
      <c r="D270" s="46"/>
      <c r="E270" s="46"/>
      <c r="F270" s="47"/>
      <c r="G270" s="47"/>
      <c r="H270" s="48"/>
      <c r="I270" s="48"/>
    </row>
    <row r="271" spans="1:9" ht="21" customHeight="1" x14ac:dyDescent="0.2">
      <c r="A271" s="46"/>
      <c r="B271" s="46"/>
      <c r="C271" s="46"/>
      <c r="D271" s="46"/>
      <c r="E271" s="46"/>
      <c r="F271" s="47"/>
      <c r="G271" s="47"/>
      <c r="H271" s="48"/>
      <c r="I271" s="48"/>
    </row>
    <row r="272" spans="1:9" ht="21" customHeight="1" x14ac:dyDescent="0.2">
      <c r="A272" s="46"/>
      <c r="B272" s="46"/>
      <c r="C272" s="46"/>
      <c r="D272" s="46"/>
      <c r="E272" s="46"/>
      <c r="F272" s="47"/>
      <c r="G272" s="47"/>
      <c r="H272" s="48"/>
      <c r="I272" s="48"/>
    </row>
    <row r="273" spans="1:9" ht="21" customHeight="1" x14ac:dyDescent="0.2">
      <c r="A273" s="46"/>
      <c r="B273" s="46"/>
      <c r="C273" s="46"/>
      <c r="D273" s="46"/>
      <c r="E273" s="46"/>
      <c r="F273" s="47"/>
      <c r="G273" s="47"/>
      <c r="H273" s="48"/>
      <c r="I273" s="48"/>
    </row>
    <row r="274" spans="1:9" ht="21" customHeight="1" x14ac:dyDescent="0.2">
      <c r="A274" s="46"/>
      <c r="B274" s="46"/>
      <c r="C274" s="46"/>
      <c r="D274" s="46"/>
      <c r="E274" s="46"/>
      <c r="F274" s="47"/>
      <c r="G274" s="47"/>
      <c r="H274" s="48"/>
      <c r="I274" s="48"/>
    </row>
    <row r="275" spans="1:9" ht="21" customHeight="1" x14ac:dyDescent="0.2">
      <c r="A275" s="46"/>
      <c r="B275" s="46"/>
      <c r="C275" s="46"/>
      <c r="D275" s="46"/>
      <c r="E275" s="46"/>
      <c r="F275" s="47"/>
      <c r="G275" s="47"/>
      <c r="H275" s="48"/>
      <c r="I275" s="48"/>
    </row>
    <row r="276" spans="1:9" ht="21" customHeight="1" x14ac:dyDescent="0.2">
      <c r="A276" s="46"/>
      <c r="B276" s="46"/>
      <c r="C276" s="46"/>
      <c r="D276" s="46"/>
      <c r="E276" s="46"/>
      <c r="F276" s="47"/>
      <c r="G276" s="47"/>
      <c r="H276" s="48"/>
      <c r="I276" s="48"/>
    </row>
    <row r="277" spans="1:9" ht="21" customHeight="1" x14ac:dyDescent="0.2">
      <c r="A277" s="46"/>
      <c r="B277" s="46"/>
      <c r="C277" s="46"/>
      <c r="D277" s="46"/>
      <c r="E277" s="46"/>
      <c r="F277" s="47"/>
      <c r="G277" s="47"/>
      <c r="H277" s="48"/>
      <c r="I277" s="48"/>
    </row>
    <row r="278" spans="1:9" ht="21" customHeight="1" x14ac:dyDescent="0.2">
      <c r="A278" s="46"/>
      <c r="B278" s="46"/>
      <c r="C278" s="46"/>
      <c r="D278" s="46"/>
      <c r="E278" s="46"/>
      <c r="F278" s="47"/>
      <c r="G278" s="47"/>
      <c r="H278" s="48"/>
      <c r="I278" s="48"/>
    </row>
    <row r="279" spans="1:9" ht="21" customHeight="1" x14ac:dyDescent="0.2">
      <c r="A279" s="46"/>
      <c r="B279" s="46"/>
      <c r="C279" s="46"/>
      <c r="D279" s="46"/>
      <c r="E279" s="46"/>
      <c r="F279" s="47"/>
      <c r="G279" s="47"/>
      <c r="H279" s="48"/>
      <c r="I279" s="48"/>
    </row>
    <row r="280" spans="1:9" ht="21" customHeight="1" x14ac:dyDescent="0.2">
      <c r="A280" s="46"/>
      <c r="B280" s="46"/>
      <c r="C280" s="46"/>
      <c r="D280" s="46"/>
      <c r="E280" s="46"/>
      <c r="F280" s="47"/>
      <c r="G280" s="47"/>
      <c r="H280" s="48"/>
      <c r="I280" s="48"/>
    </row>
    <row r="281" spans="1:9" ht="21" customHeight="1" x14ac:dyDescent="0.2">
      <c r="A281" s="46"/>
      <c r="B281" s="46"/>
      <c r="C281" s="46"/>
      <c r="D281" s="46"/>
      <c r="E281" s="46"/>
      <c r="F281" s="47"/>
      <c r="G281" s="47"/>
      <c r="H281" s="48"/>
      <c r="I281" s="48"/>
    </row>
    <row r="282" spans="1:9" ht="21" customHeight="1" x14ac:dyDescent="0.2">
      <c r="A282" s="46"/>
      <c r="B282" s="46"/>
      <c r="C282" s="46"/>
      <c r="D282" s="46"/>
      <c r="E282" s="46"/>
      <c r="F282" s="47"/>
      <c r="G282" s="47"/>
      <c r="H282" s="48"/>
      <c r="I282" s="48"/>
    </row>
    <row r="283" spans="1:9" ht="21" customHeight="1" x14ac:dyDescent="0.2">
      <c r="A283" s="46"/>
      <c r="B283" s="46"/>
      <c r="C283" s="46"/>
      <c r="D283" s="46"/>
      <c r="E283" s="46"/>
      <c r="F283" s="47"/>
      <c r="G283" s="47"/>
      <c r="H283" s="48"/>
      <c r="I283" s="48"/>
    </row>
    <row r="284" spans="1:9" ht="21" customHeight="1" x14ac:dyDescent="0.2">
      <c r="A284" s="46"/>
      <c r="B284" s="46"/>
      <c r="C284" s="46"/>
      <c r="D284" s="46"/>
      <c r="E284" s="46"/>
      <c r="F284" s="47"/>
      <c r="G284" s="47"/>
      <c r="H284" s="48"/>
      <c r="I284" s="48"/>
    </row>
    <row r="285" spans="1:9" ht="21" customHeight="1" x14ac:dyDescent="0.2">
      <c r="A285" s="46"/>
      <c r="B285" s="46"/>
      <c r="C285" s="46"/>
      <c r="D285" s="46"/>
      <c r="E285" s="46"/>
      <c r="F285" s="47"/>
      <c r="G285" s="47"/>
      <c r="H285" s="48"/>
      <c r="I285" s="48"/>
    </row>
    <row r="286" spans="1:9" ht="21" customHeight="1" x14ac:dyDescent="0.2">
      <c r="A286" s="46"/>
      <c r="B286" s="46"/>
      <c r="C286" s="46"/>
      <c r="D286" s="46"/>
      <c r="E286" s="46"/>
      <c r="F286" s="47"/>
      <c r="G286" s="47"/>
      <c r="H286" s="48"/>
      <c r="I286" s="48"/>
    </row>
    <row r="287" spans="1:9" ht="21" customHeight="1" x14ac:dyDescent="0.2">
      <c r="A287" s="46"/>
      <c r="B287" s="46"/>
      <c r="C287" s="46"/>
      <c r="D287" s="46"/>
      <c r="E287" s="46"/>
      <c r="F287" s="47"/>
      <c r="G287" s="47"/>
      <c r="H287" s="48"/>
      <c r="I287" s="48"/>
    </row>
    <row r="288" spans="1:9" ht="21" customHeight="1" x14ac:dyDescent="0.2">
      <c r="A288" s="46"/>
      <c r="B288" s="46"/>
      <c r="C288" s="46"/>
      <c r="D288" s="46"/>
      <c r="E288" s="46"/>
      <c r="F288" s="47"/>
      <c r="G288" s="47"/>
      <c r="H288" s="48"/>
      <c r="I288" s="48"/>
    </row>
    <row r="289" spans="1:9" ht="21" customHeight="1" x14ac:dyDescent="0.2">
      <c r="A289" s="46"/>
      <c r="B289" s="46"/>
      <c r="C289" s="46"/>
      <c r="D289" s="46"/>
      <c r="E289" s="46"/>
      <c r="F289" s="47"/>
      <c r="G289" s="47"/>
      <c r="H289" s="48"/>
      <c r="I289" s="48"/>
    </row>
    <row r="290" spans="1:9" ht="21" customHeight="1" x14ac:dyDescent="0.2">
      <c r="A290" s="46"/>
      <c r="B290" s="46"/>
      <c r="C290" s="46"/>
      <c r="D290" s="46"/>
      <c r="E290" s="46"/>
      <c r="F290" s="47"/>
      <c r="G290" s="47"/>
      <c r="H290" s="48"/>
      <c r="I290" s="48"/>
    </row>
    <row r="291" spans="1:9" ht="21" customHeight="1" x14ac:dyDescent="0.2">
      <c r="A291" s="46"/>
      <c r="B291" s="46"/>
      <c r="C291" s="46"/>
      <c r="D291" s="46"/>
      <c r="E291" s="46"/>
      <c r="F291" s="47"/>
      <c r="G291" s="47"/>
      <c r="H291" s="48"/>
      <c r="I291" s="48"/>
    </row>
    <row r="292" spans="1:9" ht="21" customHeight="1" x14ac:dyDescent="0.2">
      <c r="A292" s="46"/>
      <c r="B292" s="46"/>
      <c r="C292" s="46"/>
      <c r="D292" s="46"/>
      <c r="E292" s="46"/>
      <c r="F292" s="47"/>
      <c r="G292" s="47"/>
      <c r="H292" s="48"/>
      <c r="I292" s="48"/>
    </row>
    <row r="293" spans="1:9" ht="21" customHeight="1" x14ac:dyDescent="0.2">
      <c r="A293" s="46"/>
      <c r="B293" s="46"/>
      <c r="C293" s="46"/>
      <c r="D293" s="46"/>
      <c r="E293" s="46"/>
      <c r="F293" s="47"/>
      <c r="G293" s="47"/>
      <c r="H293" s="48"/>
      <c r="I293" s="48"/>
    </row>
    <row r="294" spans="1:9" ht="21" customHeight="1" x14ac:dyDescent="0.2">
      <c r="A294" s="46"/>
      <c r="B294" s="46"/>
      <c r="C294" s="46"/>
      <c r="D294" s="46"/>
      <c r="E294" s="46"/>
      <c r="F294" s="47"/>
      <c r="G294" s="47"/>
      <c r="H294" s="48"/>
      <c r="I294" s="48"/>
    </row>
    <row r="295" spans="1:9" ht="21" customHeight="1" x14ac:dyDescent="0.2">
      <c r="A295" s="46"/>
      <c r="B295" s="46"/>
      <c r="C295" s="46"/>
      <c r="D295" s="46"/>
      <c r="E295" s="46"/>
      <c r="F295" s="47"/>
      <c r="G295" s="47"/>
      <c r="H295" s="48"/>
      <c r="I295" s="48"/>
    </row>
    <row r="296" spans="1:9" ht="21" customHeight="1" x14ac:dyDescent="0.2">
      <c r="A296" s="46"/>
      <c r="B296" s="46"/>
      <c r="C296" s="46"/>
      <c r="D296" s="46"/>
      <c r="E296" s="46"/>
      <c r="F296" s="47"/>
      <c r="G296" s="47"/>
      <c r="H296" s="48"/>
      <c r="I296" s="48"/>
    </row>
    <row r="297" spans="1:9" ht="21" customHeight="1" x14ac:dyDescent="0.2">
      <c r="A297" s="46"/>
      <c r="B297" s="46"/>
      <c r="C297" s="46"/>
      <c r="D297" s="46"/>
      <c r="E297" s="46"/>
      <c r="F297" s="47"/>
      <c r="G297" s="47"/>
      <c r="H297" s="48"/>
      <c r="I297" s="48"/>
    </row>
    <row r="298" spans="1:9" ht="21" customHeight="1" x14ac:dyDescent="0.2">
      <c r="A298" s="46"/>
      <c r="B298" s="46"/>
      <c r="C298" s="46"/>
      <c r="D298" s="46"/>
      <c r="E298" s="46"/>
      <c r="F298" s="47"/>
      <c r="G298" s="47"/>
      <c r="H298" s="48"/>
      <c r="I298" s="48"/>
    </row>
    <row r="299" spans="1:9" ht="21" customHeight="1" x14ac:dyDescent="0.2">
      <c r="A299" s="46"/>
      <c r="B299" s="46"/>
      <c r="C299" s="46"/>
      <c r="D299" s="46"/>
      <c r="E299" s="46"/>
      <c r="F299" s="47"/>
      <c r="G299" s="47"/>
      <c r="H299" s="48"/>
      <c r="I299" s="48"/>
    </row>
    <row r="300" spans="1:9" ht="21" customHeight="1" x14ac:dyDescent="0.2">
      <c r="A300" s="46"/>
      <c r="B300" s="46"/>
      <c r="C300" s="46"/>
      <c r="D300" s="46"/>
      <c r="E300" s="46"/>
      <c r="F300" s="47"/>
      <c r="G300" s="47"/>
      <c r="H300" s="48"/>
      <c r="I300" s="48"/>
    </row>
    <row r="301" spans="1:9" ht="21" customHeight="1" x14ac:dyDescent="0.2">
      <c r="A301" s="46"/>
      <c r="B301" s="46"/>
      <c r="C301" s="46"/>
      <c r="D301" s="46"/>
      <c r="E301" s="46"/>
      <c r="F301" s="47"/>
      <c r="G301" s="47"/>
      <c r="H301" s="48"/>
      <c r="I301" s="48"/>
    </row>
    <row r="302" spans="1:9" ht="21" customHeight="1" x14ac:dyDescent="0.2">
      <c r="A302" s="46"/>
      <c r="B302" s="46"/>
      <c r="C302" s="46"/>
      <c r="D302" s="46"/>
      <c r="E302" s="46"/>
      <c r="F302" s="47"/>
      <c r="G302" s="47"/>
      <c r="H302" s="48"/>
      <c r="I302" s="48"/>
    </row>
    <row r="303" spans="1:9" ht="21" customHeight="1" x14ac:dyDescent="0.2">
      <c r="A303" s="46"/>
      <c r="B303" s="46"/>
      <c r="C303" s="46"/>
      <c r="D303" s="46"/>
      <c r="E303" s="46"/>
      <c r="F303" s="47"/>
      <c r="G303" s="47"/>
      <c r="H303" s="48"/>
      <c r="I303" s="48"/>
    </row>
    <row r="304" spans="1:9" ht="21" customHeight="1" x14ac:dyDescent="0.2">
      <c r="A304" s="46"/>
      <c r="B304" s="46"/>
      <c r="C304" s="46"/>
      <c r="D304" s="46"/>
      <c r="E304" s="46"/>
      <c r="F304" s="47"/>
      <c r="G304" s="47"/>
      <c r="H304" s="48"/>
      <c r="I304" s="48"/>
    </row>
    <row r="305" spans="1:9" ht="21" customHeight="1" x14ac:dyDescent="0.2">
      <c r="A305" s="46"/>
      <c r="B305" s="46"/>
      <c r="C305" s="46"/>
      <c r="D305" s="46"/>
      <c r="E305" s="46"/>
      <c r="F305" s="47"/>
      <c r="G305" s="47"/>
      <c r="H305" s="48"/>
      <c r="I305" s="48"/>
    </row>
    <row r="306" spans="1:9" ht="21" customHeight="1" x14ac:dyDescent="0.2">
      <c r="A306" s="46"/>
      <c r="B306" s="46"/>
      <c r="C306" s="46"/>
      <c r="D306" s="46"/>
      <c r="E306" s="46"/>
      <c r="F306" s="47"/>
      <c r="G306" s="47"/>
      <c r="H306" s="48"/>
      <c r="I306" s="48"/>
    </row>
    <row r="307" spans="1:9" ht="21" customHeight="1" x14ac:dyDescent="0.2">
      <c r="A307" s="46"/>
      <c r="B307" s="46"/>
      <c r="C307" s="46"/>
      <c r="D307" s="46"/>
      <c r="E307" s="46"/>
      <c r="F307" s="47"/>
      <c r="G307" s="47"/>
      <c r="H307" s="48"/>
      <c r="I307" s="48"/>
    </row>
    <row r="308" spans="1:9" ht="21" customHeight="1" x14ac:dyDescent="0.2">
      <c r="A308" s="46"/>
      <c r="B308" s="46"/>
      <c r="C308" s="46"/>
      <c r="D308" s="46"/>
      <c r="E308" s="46"/>
      <c r="F308" s="47"/>
      <c r="G308" s="47"/>
      <c r="H308" s="48"/>
      <c r="I308" s="48"/>
    </row>
    <row r="309" spans="1:9" ht="21" customHeight="1" x14ac:dyDescent="0.2">
      <c r="A309" s="46"/>
      <c r="B309" s="46"/>
      <c r="C309" s="46"/>
      <c r="D309" s="46"/>
      <c r="E309" s="46"/>
      <c r="F309" s="47"/>
      <c r="G309" s="47"/>
      <c r="H309" s="48"/>
      <c r="I309" s="48"/>
    </row>
    <row r="310" spans="1:9" ht="21" customHeight="1" x14ac:dyDescent="0.2">
      <c r="A310" s="46"/>
      <c r="B310" s="46"/>
      <c r="C310" s="46"/>
      <c r="D310" s="46"/>
      <c r="E310" s="46"/>
      <c r="F310" s="47"/>
      <c r="G310" s="47"/>
      <c r="H310" s="48"/>
      <c r="I310" s="48"/>
    </row>
    <row r="311" spans="1:9" ht="21" customHeight="1" x14ac:dyDescent="0.2">
      <c r="A311" s="46"/>
      <c r="B311" s="46"/>
      <c r="C311" s="46"/>
      <c r="D311" s="46"/>
      <c r="E311" s="46"/>
      <c r="F311" s="47"/>
      <c r="G311" s="47"/>
      <c r="H311" s="48"/>
      <c r="I311" s="48"/>
    </row>
    <row r="312" spans="1:9" ht="21" customHeight="1" x14ac:dyDescent="0.2">
      <c r="A312" s="46"/>
      <c r="B312" s="46"/>
      <c r="C312" s="46"/>
      <c r="D312" s="46"/>
      <c r="E312" s="46"/>
      <c r="F312" s="47"/>
      <c r="G312" s="47"/>
      <c r="H312" s="48"/>
      <c r="I312" s="48"/>
    </row>
    <row r="313" spans="1:9" ht="21" customHeight="1" x14ac:dyDescent="0.2">
      <c r="A313" s="46"/>
      <c r="B313" s="46"/>
      <c r="C313" s="46"/>
      <c r="D313" s="46"/>
      <c r="E313" s="46"/>
      <c r="F313" s="47"/>
      <c r="G313" s="47"/>
      <c r="H313" s="48"/>
      <c r="I313" s="48"/>
    </row>
    <row r="314" spans="1:9" ht="21" customHeight="1" x14ac:dyDescent="0.2">
      <c r="A314" s="46"/>
      <c r="B314" s="46"/>
      <c r="C314" s="46"/>
      <c r="D314" s="46"/>
      <c r="E314" s="46"/>
      <c r="F314" s="47"/>
      <c r="G314" s="47"/>
      <c r="H314" s="48"/>
      <c r="I314" s="48"/>
    </row>
    <row r="315" spans="1:9" ht="21" customHeight="1" x14ac:dyDescent="0.2">
      <c r="A315" s="46"/>
      <c r="B315" s="46"/>
      <c r="C315" s="46"/>
      <c r="D315" s="46"/>
      <c r="E315" s="46"/>
      <c r="F315" s="47"/>
      <c r="G315" s="47"/>
      <c r="H315" s="48"/>
      <c r="I315" s="48"/>
    </row>
    <row r="316" spans="1:9" ht="21" customHeight="1" x14ac:dyDescent="0.2">
      <c r="A316" s="46"/>
      <c r="B316" s="46"/>
      <c r="C316" s="46"/>
      <c r="D316" s="46"/>
      <c r="E316" s="46"/>
      <c r="F316" s="47"/>
      <c r="G316" s="47"/>
      <c r="H316" s="48"/>
      <c r="I316" s="48"/>
    </row>
    <row r="317" spans="1:9" ht="21" customHeight="1" x14ac:dyDescent="0.2">
      <c r="A317" s="46"/>
      <c r="B317" s="46"/>
      <c r="C317" s="46"/>
      <c r="D317" s="46"/>
      <c r="E317" s="46"/>
      <c r="F317" s="47"/>
      <c r="G317" s="47"/>
      <c r="H317" s="48"/>
      <c r="I317" s="48"/>
    </row>
    <row r="318" spans="1:9" ht="21" customHeight="1" x14ac:dyDescent="0.2">
      <c r="A318" s="46"/>
      <c r="B318" s="46"/>
      <c r="C318" s="46"/>
      <c r="D318" s="46"/>
      <c r="E318" s="46"/>
      <c r="F318" s="47"/>
      <c r="G318" s="47"/>
      <c r="H318" s="48"/>
      <c r="I318" s="48"/>
    </row>
    <row r="319" spans="1:9" ht="21" customHeight="1" x14ac:dyDescent="0.2">
      <c r="A319" s="46"/>
      <c r="B319" s="46"/>
      <c r="C319" s="46"/>
      <c r="D319" s="46"/>
      <c r="E319" s="46"/>
      <c r="F319" s="47"/>
      <c r="G319" s="47"/>
      <c r="H319" s="48"/>
      <c r="I319" s="48"/>
    </row>
    <row r="320" spans="1:9" ht="21" customHeight="1" x14ac:dyDescent="0.2">
      <c r="A320" s="46"/>
      <c r="B320" s="46"/>
      <c r="C320" s="46"/>
      <c r="D320" s="46"/>
      <c r="E320" s="46"/>
      <c r="F320" s="47"/>
      <c r="G320" s="47"/>
      <c r="H320" s="48"/>
      <c r="I320" s="48"/>
    </row>
    <row r="321" spans="1:9" ht="21" customHeight="1" x14ac:dyDescent="0.2">
      <c r="A321" s="46"/>
      <c r="B321" s="46"/>
      <c r="C321" s="46"/>
      <c r="D321" s="46"/>
      <c r="E321" s="46"/>
      <c r="F321" s="47"/>
      <c r="G321" s="47"/>
      <c r="H321" s="48"/>
      <c r="I321" s="48"/>
    </row>
    <row r="322" spans="1:9" ht="21" customHeight="1" x14ac:dyDescent="0.2">
      <c r="A322" s="46"/>
      <c r="B322" s="46"/>
      <c r="C322" s="46"/>
      <c r="D322" s="46"/>
      <c r="E322" s="46"/>
      <c r="F322" s="47"/>
      <c r="G322" s="47"/>
      <c r="H322" s="48"/>
      <c r="I322" s="48"/>
    </row>
    <row r="323" spans="1:9" ht="21" customHeight="1" x14ac:dyDescent="0.2">
      <c r="A323" s="46"/>
      <c r="B323" s="46"/>
      <c r="C323" s="46"/>
      <c r="D323" s="46"/>
      <c r="E323" s="46"/>
      <c r="F323" s="47"/>
      <c r="G323" s="47"/>
      <c r="H323" s="48"/>
      <c r="I323" s="48"/>
    </row>
    <row r="324" spans="1:9" ht="21" customHeight="1" x14ac:dyDescent="0.2">
      <c r="A324" s="46"/>
      <c r="B324" s="46"/>
      <c r="C324" s="46"/>
      <c r="D324" s="46"/>
      <c r="E324" s="46"/>
      <c r="F324" s="47"/>
      <c r="G324" s="47"/>
      <c r="H324" s="48"/>
      <c r="I324" s="48"/>
    </row>
    <row r="325" spans="1:9" ht="21" customHeight="1" x14ac:dyDescent="0.2">
      <c r="A325" s="46"/>
      <c r="B325" s="46"/>
      <c r="C325" s="46"/>
      <c r="D325" s="46"/>
      <c r="E325" s="46"/>
      <c r="F325" s="47"/>
      <c r="G325" s="47"/>
      <c r="H325" s="48"/>
      <c r="I325" s="48"/>
    </row>
    <row r="326" spans="1:9" ht="21" customHeight="1" x14ac:dyDescent="0.2">
      <c r="A326" s="46"/>
      <c r="B326" s="46"/>
      <c r="C326" s="46"/>
      <c r="D326" s="46"/>
      <c r="E326" s="46"/>
      <c r="F326" s="47"/>
      <c r="G326" s="47"/>
      <c r="H326" s="48"/>
      <c r="I326" s="48"/>
    </row>
    <row r="327" spans="1:9" ht="21" customHeight="1" x14ac:dyDescent="0.2">
      <c r="A327" s="46"/>
      <c r="B327" s="46"/>
      <c r="C327" s="46"/>
      <c r="D327" s="46"/>
      <c r="E327" s="46"/>
      <c r="F327" s="47"/>
      <c r="G327" s="47"/>
      <c r="H327" s="48"/>
      <c r="I327" s="48"/>
    </row>
    <row r="328" spans="1:9" ht="21" customHeight="1" x14ac:dyDescent="0.2">
      <c r="A328" s="46"/>
      <c r="B328" s="46"/>
      <c r="C328" s="46"/>
      <c r="D328" s="46"/>
      <c r="E328" s="46"/>
      <c r="F328" s="47"/>
      <c r="G328" s="47"/>
      <c r="H328" s="48"/>
      <c r="I328" s="48"/>
    </row>
    <row r="329" spans="1:9" ht="21" customHeight="1" x14ac:dyDescent="0.2">
      <c r="A329" s="46"/>
      <c r="B329" s="46"/>
      <c r="C329" s="46"/>
      <c r="D329" s="46"/>
      <c r="E329" s="46"/>
      <c r="F329" s="47"/>
      <c r="G329" s="47"/>
      <c r="H329" s="48"/>
      <c r="I329" s="48"/>
    </row>
    <row r="330" spans="1:9" ht="21" customHeight="1" x14ac:dyDescent="0.2">
      <c r="A330" s="46"/>
      <c r="B330" s="46"/>
      <c r="C330" s="46"/>
      <c r="D330" s="46"/>
      <c r="E330" s="46"/>
      <c r="F330" s="47"/>
      <c r="G330" s="47"/>
      <c r="H330" s="48"/>
      <c r="I330" s="48"/>
    </row>
    <row r="331" spans="1:9" ht="21" customHeight="1" x14ac:dyDescent="0.2">
      <c r="A331" s="46"/>
      <c r="B331" s="46"/>
      <c r="C331" s="46"/>
      <c r="D331" s="46"/>
      <c r="E331" s="46"/>
      <c r="F331" s="47"/>
      <c r="G331" s="47"/>
      <c r="H331" s="48"/>
      <c r="I331" s="48"/>
    </row>
    <row r="332" spans="1:9" ht="21" customHeight="1" x14ac:dyDescent="0.2">
      <c r="A332" s="46"/>
      <c r="B332" s="46"/>
      <c r="C332" s="46"/>
      <c r="D332" s="46"/>
      <c r="E332" s="46"/>
      <c r="F332" s="47"/>
      <c r="G332" s="47"/>
      <c r="H332" s="48"/>
      <c r="I332" s="48"/>
    </row>
    <row r="333" spans="1:9" ht="21" customHeight="1" x14ac:dyDescent="0.2">
      <c r="A333" s="46"/>
      <c r="B333" s="46"/>
      <c r="C333" s="46"/>
      <c r="D333" s="46"/>
      <c r="E333" s="46"/>
      <c r="F333" s="47"/>
      <c r="G333" s="47"/>
      <c r="H333" s="48"/>
      <c r="I333" s="48"/>
    </row>
    <row r="334" spans="1:9" ht="21" customHeight="1" x14ac:dyDescent="0.2">
      <c r="A334" s="46"/>
      <c r="B334" s="46"/>
      <c r="C334" s="46"/>
      <c r="D334" s="46"/>
      <c r="E334" s="46"/>
      <c r="F334" s="47"/>
      <c r="G334" s="47"/>
      <c r="H334" s="48"/>
      <c r="I334" s="48"/>
    </row>
    <row r="335" spans="1:9" ht="21" customHeight="1" x14ac:dyDescent="0.2">
      <c r="A335" s="46"/>
      <c r="B335" s="46"/>
      <c r="C335" s="46"/>
      <c r="D335" s="46"/>
      <c r="E335" s="46"/>
      <c r="F335" s="47"/>
      <c r="G335" s="47"/>
      <c r="H335" s="48"/>
      <c r="I335" s="48"/>
    </row>
    <row r="336" spans="1:9" ht="21" customHeight="1" x14ac:dyDescent="0.2">
      <c r="A336" s="46"/>
      <c r="B336" s="46"/>
      <c r="C336" s="46"/>
      <c r="D336" s="46"/>
      <c r="E336" s="46"/>
      <c r="F336" s="47"/>
      <c r="G336" s="47"/>
      <c r="H336" s="48"/>
      <c r="I336" s="48"/>
    </row>
    <row r="337" spans="1:9" ht="21" customHeight="1" x14ac:dyDescent="0.2">
      <c r="A337" s="46"/>
      <c r="B337" s="46"/>
      <c r="C337" s="46"/>
      <c r="D337" s="46"/>
      <c r="E337" s="46"/>
      <c r="F337" s="47"/>
      <c r="G337" s="47"/>
      <c r="H337" s="48"/>
      <c r="I337" s="48"/>
    </row>
    <row r="338" spans="1:9" ht="21" customHeight="1" x14ac:dyDescent="0.2">
      <c r="A338" s="46"/>
      <c r="B338" s="46"/>
      <c r="C338" s="46"/>
      <c r="D338" s="46"/>
      <c r="E338" s="46"/>
      <c r="F338" s="47"/>
      <c r="G338" s="47"/>
      <c r="H338" s="48"/>
      <c r="I338" s="48"/>
    </row>
    <row r="339" spans="1:9" ht="21" customHeight="1" x14ac:dyDescent="0.2">
      <c r="A339" s="46"/>
      <c r="B339" s="46"/>
      <c r="C339" s="46"/>
      <c r="D339" s="46"/>
      <c r="E339" s="46"/>
      <c r="F339" s="47"/>
      <c r="G339" s="47"/>
      <c r="H339" s="48"/>
      <c r="I339" s="48"/>
    </row>
    <row r="340" spans="1:9" ht="21" customHeight="1" x14ac:dyDescent="0.2">
      <c r="A340" s="46"/>
      <c r="B340" s="46"/>
      <c r="C340" s="46"/>
      <c r="D340" s="46"/>
      <c r="E340" s="46"/>
      <c r="F340" s="47"/>
      <c r="G340" s="47"/>
      <c r="H340" s="48"/>
      <c r="I340" s="48"/>
    </row>
    <row r="341" spans="1:9" ht="21" customHeight="1" x14ac:dyDescent="0.2">
      <c r="A341" s="46"/>
      <c r="B341" s="46"/>
      <c r="C341" s="46"/>
      <c r="D341" s="46"/>
      <c r="E341" s="46"/>
      <c r="F341" s="47"/>
      <c r="G341" s="47"/>
      <c r="H341" s="48"/>
      <c r="I341" s="48"/>
    </row>
    <row r="342" spans="1:9" ht="21" customHeight="1" x14ac:dyDescent="0.2">
      <c r="A342" s="46"/>
      <c r="B342" s="46"/>
      <c r="C342" s="46"/>
      <c r="D342" s="46"/>
      <c r="E342" s="46"/>
      <c r="F342" s="47"/>
      <c r="G342" s="47"/>
      <c r="H342" s="48"/>
      <c r="I342" s="48"/>
    </row>
    <row r="343" spans="1:9" ht="21" customHeight="1" x14ac:dyDescent="0.2">
      <c r="A343" s="46"/>
      <c r="B343" s="46"/>
      <c r="C343" s="46"/>
      <c r="D343" s="46"/>
      <c r="E343" s="46"/>
      <c r="F343" s="47"/>
      <c r="G343" s="47"/>
      <c r="H343" s="48"/>
      <c r="I343" s="48"/>
    </row>
    <row r="344" spans="1:9" ht="21" customHeight="1" x14ac:dyDescent="0.2">
      <c r="A344" s="46"/>
      <c r="B344" s="46"/>
      <c r="C344" s="46"/>
      <c r="D344" s="46"/>
      <c r="E344" s="46"/>
      <c r="F344" s="47"/>
      <c r="G344" s="47"/>
      <c r="H344" s="48"/>
      <c r="I344" s="48"/>
    </row>
    <row r="345" spans="1:9" ht="21" customHeight="1" x14ac:dyDescent="0.2">
      <c r="A345" s="46"/>
      <c r="B345" s="46"/>
      <c r="C345" s="46"/>
      <c r="D345" s="46"/>
      <c r="E345" s="46"/>
      <c r="F345" s="47"/>
      <c r="G345" s="47"/>
      <c r="H345" s="48"/>
      <c r="I345" s="48"/>
    </row>
    <row r="346" spans="1:9" ht="21" customHeight="1" x14ac:dyDescent="0.2">
      <c r="A346" s="46"/>
      <c r="B346" s="46"/>
      <c r="C346" s="46"/>
      <c r="D346" s="46"/>
      <c r="E346" s="46"/>
      <c r="F346" s="47"/>
      <c r="G346" s="47"/>
      <c r="H346" s="48"/>
      <c r="I346" s="48"/>
    </row>
    <row r="347" spans="1:9" ht="21" customHeight="1" x14ac:dyDescent="0.2">
      <c r="A347" s="46"/>
      <c r="B347" s="46"/>
      <c r="C347" s="46"/>
      <c r="D347" s="46"/>
      <c r="E347" s="46"/>
      <c r="F347" s="47"/>
      <c r="G347" s="47"/>
      <c r="H347" s="48"/>
      <c r="I347" s="48"/>
    </row>
    <row r="348" spans="1:9" ht="21" customHeight="1" x14ac:dyDescent="0.2">
      <c r="A348" s="46"/>
      <c r="B348" s="46"/>
      <c r="C348" s="46"/>
      <c r="D348" s="46"/>
      <c r="E348" s="46"/>
      <c r="F348" s="47"/>
      <c r="G348" s="47"/>
      <c r="H348" s="48"/>
      <c r="I348" s="48"/>
    </row>
    <row r="349" spans="1:9" ht="21" customHeight="1" x14ac:dyDescent="0.2">
      <c r="A349" s="46"/>
      <c r="B349" s="46"/>
      <c r="C349" s="46"/>
      <c r="D349" s="46"/>
      <c r="E349" s="46"/>
      <c r="F349" s="47"/>
      <c r="G349" s="47"/>
      <c r="H349" s="48"/>
      <c r="I349" s="48"/>
    </row>
    <row r="350" spans="1:9" ht="21" customHeight="1" x14ac:dyDescent="0.2">
      <c r="A350" s="46"/>
      <c r="B350" s="46"/>
      <c r="C350" s="46"/>
      <c r="D350" s="46"/>
      <c r="E350" s="46"/>
      <c r="F350" s="47"/>
      <c r="G350" s="47"/>
      <c r="H350" s="48"/>
      <c r="I350" s="48"/>
    </row>
    <row r="351" spans="1:9" ht="21" customHeight="1" x14ac:dyDescent="0.2">
      <c r="A351" s="46"/>
      <c r="B351" s="46"/>
      <c r="C351" s="46"/>
      <c r="D351" s="46"/>
      <c r="E351" s="46"/>
      <c r="F351" s="47"/>
      <c r="G351" s="47"/>
      <c r="H351" s="48"/>
      <c r="I351" s="48"/>
    </row>
    <row r="352" spans="1:9" ht="21" customHeight="1" x14ac:dyDescent="0.2">
      <c r="A352" s="46"/>
      <c r="B352" s="46"/>
      <c r="C352" s="46"/>
      <c r="D352" s="46"/>
      <c r="E352" s="46"/>
      <c r="F352" s="47"/>
      <c r="G352" s="47"/>
      <c r="H352" s="48"/>
      <c r="I352" s="48"/>
    </row>
    <row r="353" spans="1:9" ht="21" customHeight="1" x14ac:dyDescent="0.2">
      <c r="A353" s="46"/>
      <c r="B353" s="46"/>
      <c r="C353" s="46"/>
      <c r="D353" s="46"/>
      <c r="E353" s="46"/>
      <c r="F353" s="47"/>
      <c r="G353" s="47"/>
      <c r="H353" s="48"/>
      <c r="I353" s="48"/>
    </row>
    <row r="354" spans="1:9" ht="21" customHeight="1" x14ac:dyDescent="0.2">
      <c r="A354" s="46"/>
      <c r="B354" s="46"/>
      <c r="C354" s="46"/>
      <c r="D354" s="46"/>
      <c r="E354" s="46"/>
      <c r="F354" s="47"/>
      <c r="G354" s="47"/>
      <c r="H354" s="48"/>
      <c r="I354" s="48"/>
    </row>
    <row r="355" spans="1:9" ht="21" customHeight="1" x14ac:dyDescent="0.2">
      <c r="A355" s="46"/>
      <c r="B355" s="46"/>
      <c r="C355" s="46"/>
      <c r="D355" s="46"/>
      <c r="E355" s="46"/>
      <c r="F355" s="47"/>
      <c r="G355" s="47"/>
      <c r="H355" s="48"/>
      <c r="I355" s="48"/>
    </row>
    <row r="356" spans="1:9" ht="21" customHeight="1" x14ac:dyDescent="0.2">
      <c r="A356" s="46"/>
      <c r="B356" s="46"/>
      <c r="C356" s="46"/>
      <c r="D356" s="46"/>
      <c r="E356" s="46"/>
      <c r="F356" s="47"/>
      <c r="G356" s="47"/>
      <c r="H356" s="48"/>
      <c r="I356" s="48"/>
    </row>
    <row r="357" spans="1:9" ht="21" customHeight="1" x14ac:dyDescent="0.2">
      <c r="A357" s="46"/>
      <c r="B357" s="46"/>
      <c r="C357" s="46"/>
      <c r="D357" s="46"/>
      <c r="E357" s="46"/>
      <c r="F357" s="47"/>
      <c r="G357" s="47"/>
      <c r="H357" s="48"/>
      <c r="I357" s="48"/>
    </row>
    <row r="358" spans="1:9" ht="21" customHeight="1" x14ac:dyDescent="0.2">
      <c r="A358" s="46"/>
      <c r="B358" s="46"/>
      <c r="C358" s="46"/>
      <c r="D358" s="46"/>
      <c r="E358" s="46"/>
      <c r="F358" s="47"/>
      <c r="G358" s="47"/>
      <c r="H358" s="48"/>
      <c r="I358" s="48"/>
    </row>
    <row r="359" spans="1:9" ht="21" customHeight="1" x14ac:dyDescent="0.2">
      <c r="A359" s="46"/>
      <c r="B359" s="46"/>
      <c r="C359" s="46"/>
      <c r="D359" s="46"/>
      <c r="E359" s="46"/>
      <c r="F359" s="47"/>
      <c r="G359" s="47"/>
      <c r="H359" s="48"/>
      <c r="I359" s="48"/>
    </row>
    <row r="360" spans="1:9" ht="21" customHeight="1" x14ac:dyDescent="0.2">
      <c r="A360" s="46"/>
      <c r="B360" s="46"/>
      <c r="C360" s="46"/>
      <c r="D360" s="46"/>
      <c r="E360" s="46"/>
      <c r="F360" s="47"/>
      <c r="G360" s="47"/>
      <c r="H360" s="48"/>
      <c r="I360" s="48"/>
    </row>
    <row r="361" spans="1:9" ht="21" customHeight="1" x14ac:dyDescent="0.2">
      <c r="A361" s="46"/>
      <c r="B361" s="46"/>
      <c r="C361" s="46"/>
      <c r="D361" s="46"/>
      <c r="E361" s="46"/>
      <c r="F361" s="47"/>
      <c r="G361" s="47"/>
      <c r="H361" s="48"/>
      <c r="I361" s="48"/>
    </row>
    <row r="362" spans="1:9" ht="21" customHeight="1" x14ac:dyDescent="0.2">
      <c r="A362" s="46"/>
      <c r="B362" s="46"/>
      <c r="C362" s="46"/>
      <c r="D362" s="46"/>
      <c r="E362" s="46"/>
      <c r="F362" s="47"/>
      <c r="G362" s="47"/>
      <c r="H362" s="48"/>
      <c r="I362" s="48"/>
    </row>
    <row r="363" spans="1:9" ht="21" customHeight="1" x14ac:dyDescent="0.2">
      <c r="A363" s="46"/>
      <c r="B363" s="46"/>
      <c r="C363" s="46"/>
      <c r="D363" s="46"/>
      <c r="E363" s="46"/>
      <c r="F363" s="47"/>
      <c r="G363" s="47"/>
      <c r="H363" s="48"/>
      <c r="I363" s="48"/>
    </row>
    <row r="364" spans="1:9" ht="21" customHeight="1" x14ac:dyDescent="0.2">
      <c r="A364" s="46"/>
      <c r="B364" s="46"/>
      <c r="C364" s="46"/>
      <c r="D364" s="46"/>
      <c r="E364" s="46"/>
      <c r="F364" s="47"/>
      <c r="G364" s="47"/>
      <c r="H364" s="48"/>
      <c r="I364" s="48"/>
    </row>
    <row r="365" spans="1:9" ht="21" customHeight="1" x14ac:dyDescent="0.2">
      <c r="A365" s="46"/>
      <c r="B365" s="46"/>
      <c r="C365" s="46"/>
      <c r="D365" s="46"/>
      <c r="E365" s="46"/>
      <c r="F365" s="47"/>
      <c r="G365" s="47"/>
      <c r="H365" s="48"/>
      <c r="I365" s="48"/>
    </row>
    <row r="366" spans="1:9" ht="21" customHeight="1" x14ac:dyDescent="0.2">
      <c r="A366" s="46"/>
      <c r="B366" s="46"/>
      <c r="C366" s="46"/>
      <c r="D366" s="46"/>
      <c r="E366" s="46"/>
      <c r="F366" s="47"/>
      <c r="G366" s="47"/>
      <c r="H366" s="48"/>
      <c r="I366" s="48"/>
    </row>
    <row r="367" spans="1:9" ht="21" customHeight="1" x14ac:dyDescent="0.2">
      <c r="A367" s="46"/>
      <c r="B367" s="46"/>
      <c r="C367" s="46"/>
      <c r="D367" s="46"/>
      <c r="E367" s="46"/>
      <c r="F367" s="47"/>
      <c r="G367" s="47"/>
      <c r="H367" s="48"/>
      <c r="I367" s="48"/>
    </row>
    <row r="368" spans="1:9" ht="21" customHeight="1" x14ac:dyDescent="0.2">
      <c r="A368" s="46"/>
      <c r="B368" s="46"/>
      <c r="C368" s="46"/>
      <c r="D368" s="46"/>
      <c r="E368" s="46"/>
      <c r="F368" s="47"/>
      <c r="G368" s="47"/>
      <c r="H368" s="48"/>
      <c r="I368" s="48"/>
    </row>
    <row r="369" spans="1:9" ht="21" customHeight="1" x14ac:dyDescent="0.2">
      <c r="A369" s="46"/>
      <c r="B369" s="46"/>
      <c r="C369" s="46"/>
      <c r="D369" s="46"/>
      <c r="E369" s="46"/>
      <c r="F369" s="47"/>
      <c r="G369" s="47"/>
      <c r="H369" s="48"/>
      <c r="I369" s="48"/>
    </row>
    <row r="370" spans="1:9" ht="21" customHeight="1" x14ac:dyDescent="0.2">
      <c r="A370" s="46"/>
      <c r="B370" s="46"/>
      <c r="C370" s="46"/>
      <c r="D370" s="46"/>
      <c r="E370" s="46"/>
      <c r="F370" s="47"/>
      <c r="G370" s="47"/>
      <c r="H370" s="48"/>
      <c r="I370" s="48"/>
    </row>
    <row r="371" spans="1:9" ht="21" customHeight="1" x14ac:dyDescent="0.2">
      <c r="A371" s="46"/>
      <c r="B371" s="46"/>
      <c r="C371" s="46"/>
      <c r="D371" s="46"/>
      <c r="E371" s="46"/>
      <c r="F371" s="47"/>
      <c r="G371" s="47"/>
      <c r="H371" s="48"/>
      <c r="I371" s="48"/>
    </row>
    <row r="372" spans="1:9" ht="21" customHeight="1" x14ac:dyDescent="0.2">
      <c r="A372" s="46"/>
      <c r="B372" s="46"/>
      <c r="C372" s="46"/>
      <c r="D372" s="46"/>
      <c r="E372" s="46"/>
      <c r="F372" s="47"/>
      <c r="G372" s="47"/>
      <c r="H372" s="48"/>
      <c r="I372" s="48"/>
    </row>
    <row r="373" spans="1:9" ht="21" customHeight="1" x14ac:dyDescent="0.2">
      <c r="A373" s="46"/>
      <c r="B373" s="46"/>
      <c r="C373" s="46"/>
      <c r="D373" s="46"/>
      <c r="E373" s="46"/>
      <c r="F373" s="47"/>
      <c r="G373" s="47"/>
      <c r="H373" s="48"/>
      <c r="I373" s="48"/>
    </row>
    <row r="374" spans="1:9" ht="21" customHeight="1" x14ac:dyDescent="0.2">
      <c r="A374" s="46"/>
      <c r="B374" s="46"/>
      <c r="C374" s="46"/>
      <c r="D374" s="46"/>
      <c r="E374" s="46"/>
      <c r="F374" s="47"/>
      <c r="G374" s="47"/>
      <c r="H374" s="48"/>
      <c r="I374" s="48"/>
    </row>
    <row r="375" spans="1:9" ht="21" customHeight="1" x14ac:dyDescent="0.2">
      <c r="A375" s="46"/>
      <c r="B375" s="46"/>
      <c r="C375" s="46"/>
      <c r="D375" s="46"/>
      <c r="E375" s="46"/>
      <c r="F375" s="47"/>
      <c r="G375" s="47"/>
      <c r="H375" s="48"/>
      <c r="I375" s="48"/>
    </row>
    <row r="376" spans="1:9" ht="21" customHeight="1" x14ac:dyDescent="0.2">
      <c r="A376" s="46"/>
      <c r="B376" s="46"/>
      <c r="C376" s="46"/>
      <c r="D376" s="46"/>
      <c r="E376" s="46"/>
      <c r="F376" s="47"/>
      <c r="G376" s="47"/>
      <c r="H376" s="48"/>
      <c r="I376" s="48"/>
    </row>
    <row r="377" spans="1:9" ht="21" customHeight="1" x14ac:dyDescent="0.2">
      <c r="A377" s="46"/>
      <c r="B377" s="46"/>
      <c r="C377" s="46"/>
      <c r="D377" s="46"/>
      <c r="E377" s="46"/>
      <c r="F377" s="47"/>
      <c r="G377" s="47"/>
      <c r="H377" s="48"/>
      <c r="I377" s="48"/>
    </row>
    <row r="378" spans="1:9" ht="21" customHeight="1" x14ac:dyDescent="0.2">
      <c r="A378" s="46"/>
      <c r="B378" s="46"/>
      <c r="C378" s="46"/>
      <c r="D378" s="46"/>
      <c r="E378" s="46"/>
      <c r="F378" s="47"/>
      <c r="G378" s="47"/>
      <c r="H378" s="48"/>
      <c r="I378" s="48"/>
    </row>
    <row r="379" spans="1:9" ht="21" customHeight="1" x14ac:dyDescent="0.2">
      <c r="A379" s="46"/>
      <c r="B379" s="46"/>
      <c r="C379" s="46"/>
      <c r="D379" s="46"/>
      <c r="E379" s="46"/>
      <c r="F379" s="47"/>
      <c r="G379" s="47"/>
      <c r="H379" s="48"/>
      <c r="I379" s="48"/>
    </row>
    <row r="380" spans="1:9" ht="21" customHeight="1" x14ac:dyDescent="0.2">
      <c r="A380" s="46"/>
      <c r="B380" s="46"/>
      <c r="C380" s="46"/>
      <c r="D380" s="46"/>
      <c r="E380" s="46"/>
      <c r="F380" s="47"/>
      <c r="G380" s="47"/>
      <c r="H380" s="48"/>
      <c r="I380" s="48"/>
    </row>
    <row r="381" spans="1:9" ht="21" customHeight="1" x14ac:dyDescent="0.2">
      <c r="A381" s="46"/>
      <c r="B381" s="46"/>
      <c r="C381" s="46"/>
      <c r="D381" s="46"/>
      <c r="E381" s="46"/>
      <c r="F381" s="47"/>
      <c r="G381" s="47"/>
      <c r="H381" s="48"/>
      <c r="I381" s="48"/>
    </row>
    <row r="382" spans="1:9" ht="21" customHeight="1" x14ac:dyDescent="0.2">
      <c r="A382" s="46"/>
      <c r="B382" s="46"/>
      <c r="C382" s="46"/>
      <c r="D382" s="46"/>
      <c r="E382" s="46"/>
      <c r="F382" s="47"/>
      <c r="G382" s="47"/>
      <c r="H382" s="48"/>
      <c r="I382" s="48"/>
    </row>
    <row r="383" spans="1:9" ht="21" customHeight="1" x14ac:dyDescent="0.2">
      <c r="A383" s="46"/>
      <c r="B383" s="46"/>
      <c r="C383" s="46"/>
      <c r="D383" s="46"/>
      <c r="E383" s="46"/>
      <c r="F383" s="47"/>
      <c r="G383" s="47"/>
      <c r="H383" s="48"/>
      <c r="I383" s="48"/>
    </row>
    <row r="384" spans="1:9" ht="21" customHeight="1" x14ac:dyDescent="0.2">
      <c r="A384" s="46"/>
      <c r="B384" s="46"/>
      <c r="C384" s="46"/>
      <c r="D384" s="46"/>
      <c r="E384" s="46"/>
      <c r="F384" s="47"/>
      <c r="G384" s="47"/>
      <c r="H384" s="48"/>
      <c r="I384" s="48"/>
    </row>
    <row r="385" spans="1:9" ht="21" customHeight="1" x14ac:dyDescent="0.2">
      <c r="A385" s="46"/>
      <c r="B385" s="46"/>
      <c r="C385" s="46"/>
      <c r="D385" s="46"/>
      <c r="E385" s="46"/>
      <c r="F385" s="47"/>
      <c r="G385" s="47"/>
      <c r="H385" s="48"/>
      <c r="I385" s="48"/>
    </row>
    <row r="386" spans="1:9" ht="21" customHeight="1" x14ac:dyDescent="0.2">
      <c r="A386" s="46"/>
      <c r="B386" s="46"/>
      <c r="C386" s="46"/>
      <c r="D386" s="46"/>
      <c r="E386" s="46"/>
      <c r="F386" s="47"/>
      <c r="G386" s="47"/>
      <c r="H386" s="48"/>
      <c r="I386" s="48"/>
    </row>
    <row r="387" spans="1:9" ht="21" customHeight="1" x14ac:dyDescent="0.2">
      <c r="A387" s="46"/>
      <c r="B387" s="46"/>
      <c r="C387" s="46"/>
      <c r="D387" s="46"/>
      <c r="E387" s="46"/>
      <c r="F387" s="47"/>
      <c r="G387" s="47"/>
      <c r="H387" s="48"/>
      <c r="I387" s="48"/>
    </row>
    <row r="388" spans="1:9" ht="21" customHeight="1" x14ac:dyDescent="0.2">
      <c r="A388" s="46"/>
      <c r="B388" s="46"/>
      <c r="C388" s="46"/>
      <c r="D388" s="46"/>
      <c r="E388" s="46"/>
      <c r="F388" s="47"/>
      <c r="G388" s="47"/>
      <c r="H388" s="48"/>
      <c r="I388" s="48"/>
    </row>
    <row r="389" spans="1:9" ht="21" customHeight="1" x14ac:dyDescent="0.2">
      <c r="A389" s="46"/>
      <c r="B389" s="46"/>
      <c r="C389" s="46"/>
      <c r="D389" s="46"/>
      <c r="E389" s="46"/>
      <c r="F389" s="47"/>
      <c r="G389" s="47"/>
      <c r="H389" s="48"/>
      <c r="I389" s="48"/>
    </row>
    <row r="390" spans="1:9" ht="21" customHeight="1" x14ac:dyDescent="0.2">
      <c r="A390" s="46"/>
      <c r="B390" s="46"/>
      <c r="C390" s="46"/>
      <c r="D390" s="46"/>
      <c r="E390" s="46"/>
      <c r="F390" s="47"/>
      <c r="G390" s="47"/>
      <c r="H390" s="48"/>
      <c r="I390" s="48"/>
    </row>
    <row r="391" spans="1:9" ht="21" customHeight="1" x14ac:dyDescent="0.2">
      <c r="A391" s="46"/>
      <c r="B391" s="46"/>
      <c r="C391" s="46"/>
      <c r="D391" s="46"/>
      <c r="E391" s="46"/>
      <c r="F391" s="47"/>
      <c r="G391" s="47"/>
      <c r="H391" s="48"/>
      <c r="I391" s="48"/>
    </row>
    <row r="392" spans="1:9" ht="21" customHeight="1" x14ac:dyDescent="0.2">
      <c r="A392" s="46"/>
      <c r="B392" s="46"/>
      <c r="C392" s="46"/>
      <c r="D392" s="46"/>
      <c r="E392" s="46"/>
      <c r="F392" s="47"/>
      <c r="G392" s="47"/>
      <c r="H392" s="48"/>
      <c r="I392" s="48"/>
    </row>
    <row r="393" spans="1:9" ht="21" customHeight="1" x14ac:dyDescent="0.2">
      <c r="A393" s="46"/>
      <c r="B393" s="46"/>
      <c r="C393" s="46"/>
      <c r="D393" s="46"/>
      <c r="E393" s="46"/>
      <c r="F393" s="47"/>
      <c r="G393" s="47"/>
      <c r="H393" s="48"/>
      <c r="I393" s="48"/>
    </row>
    <row r="394" spans="1:9" ht="21" customHeight="1" x14ac:dyDescent="0.2">
      <c r="A394" s="46"/>
      <c r="B394" s="46"/>
      <c r="C394" s="46"/>
      <c r="D394" s="46"/>
      <c r="E394" s="46"/>
      <c r="F394" s="47"/>
      <c r="G394" s="47"/>
      <c r="H394" s="48"/>
      <c r="I394" s="48"/>
    </row>
    <row r="395" spans="1:9" ht="21" customHeight="1" x14ac:dyDescent="0.2">
      <c r="A395" s="46"/>
      <c r="B395" s="46"/>
      <c r="C395" s="46"/>
      <c r="D395" s="46"/>
      <c r="E395" s="46"/>
      <c r="F395" s="47"/>
      <c r="G395" s="47"/>
      <c r="H395" s="48"/>
      <c r="I395" s="48"/>
    </row>
    <row r="396" spans="1:9" ht="21" customHeight="1" x14ac:dyDescent="0.2">
      <c r="A396" s="46"/>
      <c r="B396" s="46"/>
      <c r="C396" s="46"/>
      <c r="D396" s="46"/>
      <c r="E396" s="46"/>
      <c r="F396" s="47"/>
      <c r="G396" s="47"/>
      <c r="H396" s="48"/>
      <c r="I396" s="48"/>
    </row>
    <row r="397" spans="1:9" ht="21" customHeight="1" x14ac:dyDescent="0.2">
      <c r="A397" s="46"/>
      <c r="B397" s="46"/>
      <c r="C397" s="46"/>
      <c r="D397" s="46"/>
      <c r="E397" s="46"/>
      <c r="F397" s="47"/>
      <c r="G397" s="47"/>
      <c r="H397" s="48"/>
      <c r="I397" s="48"/>
    </row>
    <row r="398" spans="1:9" ht="21" customHeight="1" x14ac:dyDescent="0.2">
      <c r="A398" s="46"/>
      <c r="B398" s="46"/>
      <c r="C398" s="46"/>
      <c r="D398" s="46"/>
      <c r="E398" s="46"/>
      <c r="F398" s="47"/>
      <c r="G398" s="47"/>
      <c r="H398" s="48"/>
      <c r="I398" s="48"/>
    </row>
    <row r="399" spans="1:9" ht="21" customHeight="1" x14ac:dyDescent="0.2">
      <c r="A399" s="46"/>
      <c r="B399" s="46"/>
      <c r="C399" s="46"/>
      <c r="D399" s="46"/>
      <c r="E399" s="46"/>
      <c r="F399" s="47"/>
      <c r="G399" s="47"/>
      <c r="H399" s="48"/>
      <c r="I399" s="48"/>
    </row>
    <row r="400" spans="1:9" ht="21" customHeight="1" x14ac:dyDescent="0.2">
      <c r="A400" s="46"/>
      <c r="B400" s="46"/>
      <c r="C400" s="46"/>
      <c r="D400" s="46"/>
      <c r="E400" s="46"/>
      <c r="F400" s="47"/>
      <c r="G400" s="47"/>
      <c r="H400" s="48"/>
      <c r="I400" s="48"/>
    </row>
    <row r="401" spans="1:9" ht="21" customHeight="1" x14ac:dyDescent="0.2">
      <c r="A401" s="46"/>
      <c r="B401" s="46"/>
      <c r="C401" s="46"/>
      <c r="D401" s="46"/>
      <c r="E401" s="46"/>
      <c r="F401" s="47"/>
      <c r="G401" s="47"/>
      <c r="H401" s="48"/>
      <c r="I401" s="48"/>
    </row>
    <row r="402" spans="1:9" ht="21" customHeight="1" x14ac:dyDescent="0.2">
      <c r="A402" s="46"/>
      <c r="B402" s="46"/>
      <c r="C402" s="46"/>
      <c r="D402" s="46"/>
      <c r="E402" s="46"/>
      <c r="F402" s="47"/>
      <c r="G402" s="47"/>
      <c r="H402" s="48"/>
      <c r="I402" s="48"/>
    </row>
    <row r="403" spans="1:9" ht="21" customHeight="1" x14ac:dyDescent="0.2">
      <c r="A403" s="46"/>
      <c r="B403" s="46"/>
      <c r="C403" s="46"/>
      <c r="D403" s="46"/>
      <c r="E403" s="46"/>
      <c r="F403" s="47"/>
      <c r="G403" s="47"/>
      <c r="H403" s="48"/>
      <c r="I403" s="48"/>
    </row>
    <row r="404" spans="1:9" ht="21" customHeight="1" x14ac:dyDescent="0.2">
      <c r="A404" s="46"/>
      <c r="B404" s="46"/>
      <c r="C404" s="46"/>
      <c r="D404" s="46"/>
      <c r="E404" s="46"/>
      <c r="F404" s="47"/>
      <c r="G404" s="47"/>
      <c r="H404" s="48"/>
      <c r="I404" s="48"/>
    </row>
    <row r="405" spans="1:9" ht="21" customHeight="1" x14ac:dyDescent="0.2">
      <c r="A405" s="46"/>
      <c r="B405" s="46"/>
      <c r="C405" s="46"/>
      <c r="D405" s="46"/>
      <c r="E405" s="46"/>
      <c r="F405" s="47"/>
      <c r="G405" s="47"/>
      <c r="H405" s="48"/>
      <c r="I405" s="48"/>
    </row>
    <row r="406" spans="1:9" ht="21" customHeight="1" x14ac:dyDescent="0.2">
      <c r="A406" s="46"/>
      <c r="B406" s="46"/>
      <c r="C406" s="46"/>
      <c r="D406" s="46"/>
      <c r="E406" s="46"/>
      <c r="F406" s="47"/>
      <c r="G406" s="47"/>
      <c r="H406" s="48"/>
      <c r="I406" s="48"/>
    </row>
    <row r="407" spans="1:9" ht="21" customHeight="1" x14ac:dyDescent="0.2">
      <c r="A407" s="46"/>
      <c r="B407" s="46"/>
      <c r="C407" s="46"/>
      <c r="D407" s="46"/>
      <c r="E407" s="46"/>
      <c r="F407" s="47"/>
      <c r="G407" s="47"/>
      <c r="H407" s="48"/>
      <c r="I407" s="48"/>
    </row>
    <row r="408" spans="1:9" ht="21" customHeight="1" x14ac:dyDescent="0.2">
      <c r="A408" s="46"/>
      <c r="B408" s="46"/>
      <c r="C408" s="46"/>
      <c r="D408" s="46"/>
      <c r="E408" s="46"/>
      <c r="F408" s="47"/>
      <c r="G408" s="47"/>
      <c r="H408" s="48"/>
      <c r="I408" s="48"/>
    </row>
    <row r="409" spans="1:9" ht="21" customHeight="1" x14ac:dyDescent="0.2">
      <c r="A409" s="46"/>
      <c r="B409" s="46"/>
      <c r="C409" s="46"/>
      <c r="D409" s="46"/>
      <c r="E409" s="46"/>
      <c r="F409" s="47"/>
      <c r="G409" s="47"/>
      <c r="H409" s="48"/>
      <c r="I409" s="48"/>
    </row>
    <row r="410" spans="1:9" ht="21" customHeight="1" x14ac:dyDescent="0.2">
      <c r="A410" s="46"/>
      <c r="B410" s="46"/>
      <c r="C410" s="46"/>
      <c r="D410" s="46"/>
      <c r="E410" s="46"/>
      <c r="F410" s="47"/>
      <c r="G410" s="47"/>
      <c r="H410" s="48"/>
      <c r="I410" s="48"/>
    </row>
    <row r="411" spans="1:9" ht="21" customHeight="1" x14ac:dyDescent="0.2">
      <c r="A411" s="46"/>
      <c r="B411" s="46"/>
      <c r="C411" s="46"/>
      <c r="D411" s="46"/>
      <c r="E411" s="46"/>
      <c r="F411" s="47"/>
      <c r="G411" s="47"/>
      <c r="H411" s="48"/>
      <c r="I411" s="48"/>
    </row>
    <row r="412" spans="1:9" ht="21" customHeight="1" x14ac:dyDescent="0.2">
      <c r="A412" s="46"/>
      <c r="B412" s="46"/>
      <c r="C412" s="46"/>
      <c r="D412" s="46"/>
      <c r="E412" s="46"/>
      <c r="F412" s="47"/>
      <c r="G412" s="47"/>
      <c r="H412" s="48"/>
      <c r="I412" s="48"/>
    </row>
    <row r="413" spans="1:9" ht="21" customHeight="1" x14ac:dyDescent="0.2">
      <c r="A413" s="46"/>
      <c r="B413" s="46"/>
      <c r="C413" s="46"/>
      <c r="D413" s="46"/>
      <c r="E413" s="46"/>
      <c r="F413" s="47"/>
      <c r="G413" s="47"/>
      <c r="H413" s="48"/>
      <c r="I413" s="48"/>
    </row>
    <row r="414" spans="1:9" ht="21" customHeight="1" x14ac:dyDescent="0.2">
      <c r="A414" s="46"/>
      <c r="B414" s="46"/>
      <c r="C414" s="46"/>
      <c r="D414" s="46"/>
      <c r="E414" s="46"/>
      <c r="F414" s="47"/>
      <c r="G414" s="47"/>
      <c r="H414" s="48"/>
      <c r="I414" s="48"/>
    </row>
    <row r="415" spans="1:9" ht="21" customHeight="1" x14ac:dyDescent="0.2">
      <c r="A415" s="46"/>
      <c r="B415" s="46"/>
      <c r="C415" s="46"/>
      <c r="D415" s="46"/>
      <c r="E415" s="46"/>
      <c r="F415" s="47"/>
      <c r="G415" s="47"/>
      <c r="H415" s="48"/>
      <c r="I415" s="48"/>
    </row>
    <row r="416" spans="1:9" ht="21" customHeight="1" x14ac:dyDescent="0.2">
      <c r="A416" s="46"/>
      <c r="B416" s="46"/>
      <c r="C416" s="46"/>
      <c r="D416" s="46"/>
      <c r="E416" s="46"/>
      <c r="F416" s="47"/>
      <c r="G416" s="47"/>
      <c r="H416" s="48"/>
      <c r="I416" s="48"/>
    </row>
    <row r="417" spans="1:9" ht="21" customHeight="1" x14ac:dyDescent="0.2">
      <c r="A417" s="46"/>
      <c r="B417" s="46"/>
      <c r="C417" s="46"/>
      <c r="D417" s="46"/>
      <c r="E417" s="46"/>
      <c r="F417" s="47"/>
      <c r="G417" s="47"/>
      <c r="H417" s="48"/>
      <c r="I417" s="48"/>
    </row>
    <row r="418" spans="1:9" ht="21" customHeight="1" x14ac:dyDescent="0.2">
      <c r="A418" s="46"/>
      <c r="B418" s="46"/>
      <c r="C418" s="46"/>
      <c r="D418" s="46"/>
      <c r="E418" s="46"/>
      <c r="F418" s="47"/>
      <c r="G418" s="47"/>
      <c r="H418" s="48"/>
      <c r="I418" s="48"/>
    </row>
    <row r="419" spans="1:9" ht="21" customHeight="1" x14ac:dyDescent="0.2">
      <c r="A419" s="46"/>
      <c r="B419" s="46"/>
      <c r="C419" s="46"/>
      <c r="D419" s="46"/>
      <c r="E419" s="46"/>
      <c r="F419" s="47"/>
      <c r="G419" s="47"/>
      <c r="H419" s="48"/>
      <c r="I419" s="48"/>
    </row>
    <row r="420" spans="1:9" ht="21" customHeight="1" x14ac:dyDescent="0.2">
      <c r="A420" s="46"/>
      <c r="B420" s="46"/>
      <c r="C420" s="46"/>
      <c r="D420" s="46"/>
      <c r="E420" s="46"/>
      <c r="F420" s="47"/>
      <c r="G420" s="47"/>
      <c r="H420" s="48"/>
      <c r="I420" s="48"/>
    </row>
    <row r="421" spans="1:9" ht="21" customHeight="1" x14ac:dyDescent="0.2">
      <c r="A421" s="46"/>
      <c r="B421" s="46"/>
      <c r="C421" s="46"/>
      <c r="D421" s="46"/>
      <c r="E421" s="46"/>
      <c r="F421" s="47"/>
      <c r="G421" s="47"/>
      <c r="H421" s="48"/>
      <c r="I421" s="48"/>
    </row>
    <row r="422" spans="1:9" ht="21" customHeight="1" x14ac:dyDescent="0.2">
      <c r="A422" s="46"/>
      <c r="B422" s="46"/>
      <c r="C422" s="46"/>
      <c r="D422" s="46"/>
      <c r="E422" s="46"/>
      <c r="F422" s="47"/>
      <c r="G422" s="47"/>
      <c r="H422" s="48"/>
      <c r="I422" s="48"/>
    </row>
    <row r="423" spans="1:9" ht="21" customHeight="1" x14ac:dyDescent="0.2">
      <c r="A423" s="46"/>
      <c r="B423" s="46"/>
      <c r="C423" s="46"/>
      <c r="D423" s="46"/>
      <c r="E423" s="46"/>
      <c r="F423" s="47"/>
      <c r="G423" s="47"/>
      <c r="H423" s="48"/>
      <c r="I423" s="48"/>
    </row>
    <row r="424" spans="1:9" ht="21" customHeight="1" x14ac:dyDescent="0.2">
      <c r="A424" s="46"/>
      <c r="B424" s="46"/>
      <c r="C424" s="46"/>
      <c r="D424" s="46"/>
      <c r="E424" s="46"/>
      <c r="F424" s="47"/>
      <c r="G424" s="47"/>
      <c r="H424" s="48"/>
      <c r="I424" s="48"/>
    </row>
    <row r="425" spans="1:9" ht="21" customHeight="1" x14ac:dyDescent="0.2">
      <c r="A425" s="46"/>
      <c r="B425" s="46"/>
      <c r="C425" s="46"/>
      <c r="D425" s="46"/>
      <c r="E425" s="46"/>
      <c r="F425" s="47"/>
      <c r="G425" s="47"/>
      <c r="H425" s="48"/>
      <c r="I425" s="48"/>
    </row>
    <row r="426" spans="1:9" ht="21" customHeight="1" x14ac:dyDescent="0.2">
      <c r="A426" s="46"/>
      <c r="B426" s="46"/>
      <c r="C426" s="46"/>
      <c r="D426" s="46"/>
      <c r="E426" s="46"/>
      <c r="F426" s="47"/>
      <c r="G426" s="47"/>
      <c r="H426" s="48"/>
      <c r="I426" s="48"/>
    </row>
    <row r="427" spans="1:9" ht="21" customHeight="1" x14ac:dyDescent="0.2">
      <c r="A427" s="46"/>
      <c r="B427" s="46"/>
      <c r="C427" s="46"/>
      <c r="D427" s="46"/>
      <c r="E427" s="46"/>
      <c r="F427" s="47"/>
      <c r="G427" s="47"/>
      <c r="H427" s="48"/>
      <c r="I427" s="48"/>
    </row>
    <row r="428" spans="1:9" ht="21" customHeight="1" x14ac:dyDescent="0.2">
      <c r="A428" s="46"/>
      <c r="B428" s="46"/>
      <c r="C428" s="46"/>
      <c r="D428" s="46"/>
      <c r="E428" s="46"/>
      <c r="F428" s="47"/>
      <c r="G428" s="47"/>
      <c r="H428" s="48"/>
      <c r="I428" s="48"/>
    </row>
    <row r="429" spans="1:9" ht="21" customHeight="1" x14ac:dyDescent="0.2">
      <c r="A429" s="46"/>
      <c r="B429" s="46"/>
      <c r="C429" s="46"/>
      <c r="D429" s="46"/>
      <c r="E429" s="46"/>
      <c r="F429" s="47"/>
      <c r="G429" s="47"/>
      <c r="H429" s="48"/>
      <c r="I429" s="48"/>
    </row>
    <row r="430" spans="1:9" ht="21" customHeight="1" x14ac:dyDescent="0.2">
      <c r="A430" s="46"/>
      <c r="B430" s="46"/>
      <c r="C430" s="46"/>
      <c r="D430" s="46"/>
      <c r="E430" s="46"/>
      <c r="F430" s="47"/>
      <c r="G430" s="47"/>
      <c r="H430" s="48"/>
      <c r="I430" s="48"/>
    </row>
    <row r="431" spans="1:9" ht="21" customHeight="1" x14ac:dyDescent="0.2">
      <c r="A431" s="46"/>
      <c r="B431" s="46"/>
      <c r="C431" s="46"/>
      <c r="D431" s="46"/>
      <c r="E431" s="46"/>
      <c r="F431" s="47"/>
      <c r="G431" s="47"/>
      <c r="H431" s="48"/>
      <c r="I431" s="48"/>
    </row>
    <row r="432" spans="1:9" ht="21" customHeight="1" x14ac:dyDescent="0.2">
      <c r="A432" s="46"/>
      <c r="B432" s="46"/>
      <c r="C432" s="46"/>
      <c r="D432" s="46"/>
      <c r="E432" s="46"/>
      <c r="F432" s="47"/>
      <c r="G432" s="47"/>
      <c r="H432" s="48"/>
      <c r="I432" s="48"/>
    </row>
    <row r="433" spans="1:9" ht="21" customHeight="1" x14ac:dyDescent="0.2">
      <c r="A433" s="46"/>
      <c r="B433" s="46"/>
      <c r="C433" s="46"/>
      <c r="D433" s="46"/>
      <c r="E433" s="46"/>
      <c r="F433" s="47"/>
      <c r="G433" s="47"/>
      <c r="H433" s="48"/>
      <c r="I433" s="48"/>
    </row>
    <row r="434" spans="1:9" ht="21" customHeight="1" x14ac:dyDescent="0.2">
      <c r="A434" s="46"/>
      <c r="B434" s="46"/>
      <c r="C434" s="46"/>
      <c r="D434" s="46"/>
      <c r="E434" s="46"/>
      <c r="F434" s="47"/>
      <c r="G434" s="47"/>
      <c r="H434" s="48"/>
      <c r="I434" s="48"/>
    </row>
    <row r="435" spans="1:9" ht="21" customHeight="1" x14ac:dyDescent="0.2">
      <c r="A435" s="46"/>
      <c r="B435" s="46"/>
      <c r="C435" s="46"/>
      <c r="D435" s="46"/>
      <c r="E435" s="46"/>
      <c r="F435" s="47"/>
      <c r="G435" s="47"/>
      <c r="H435" s="48"/>
      <c r="I435" s="48"/>
    </row>
    <row r="436" spans="1:9" ht="21" customHeight="1" x14ac:dyDescent="0.2">
      <c r="A436" s="46"/>
      <c r="B436" s="46"/>
      <c r="C436" s="46"/>
      <c r="D436" s="46"/>
      <c r="E436" s="46"/>
      <c r="F436" s="47"/>
      <c r="G436" s="47"/>
      <c r="H436" s="48"/>
      <c r="I436" s="48"/>
    </row>
    <row r="437" spans="1:9" ht="21" customHeight="1" x14ac:dyDescent="0.2">
      <c r="A437" s="46"/>
      <c r="B437" s="46"/>
      <c r="C437" s="46"/>
      <c r="D437" s="46"/>
      <c r="E437" s="46"/>
      <c r="F437" s="47"/>
      <c r="G437" s="47"/>
      <c r="H437" s="48"/>
      <c r="I437" s="48"/>
    </row>
    <row r="438" spans="1:9" ht="21" customHeight="1" x14ac:dyDescent="0.2">
      <c r="A438" s="46"/>
      <c r="B438" s="46"/>
      <c r="C438" s="46"/>
      <c r="D438" s="46"/>
      <c r="E438" s="46"/>
      <c r="F438" s="47"/>
      <c r="G438" s="47"/>
      <c r="H438" s="48"/>
      <c r="I438" s="48"/>
    </row>
    <row r="439" spans="1:9" ht="21" customHeight="1" x14ac:dyDescent="0.2">
      <c r="A439" s="46"/>
      <c r="B439" s="46"/>
      <c r="C439" s="46"/>
      <c r="D439" s="46"/>
      <c r="E439" s="46"/>
      <c r="F439" s="47"/>
      <c r="G439" s="47"/>
      <c r="H439" s="48"/>
      <c r="I439" s="48"/>
    </row>
    <row r="440" spans="1:9" ht="21" customHeight="1" x14ac:dyDescent="0.2">
      <c r="A440" s="46"/>
      <c r="B440" s="46"/>
      <c r="C440" s="46"/>
      <c r="D440" s="46"/>
      <c r="E440" s="46"/>
      <c r="F440" s="47"/>
      <c r="G440" s="47"/>
      <c r="H440" s="48"/>
      <c r="I440" s="48"/>
    </row>
    <row r="441" spans="1:9" ht="21" customHeight="1" x14ac:dyDescent="0.2">
      <c r="A441" s="46"/>
      <c r="B441" s="46"/>
      <c r="C441" s="46"/>
      <c r="D441" s="46"/>
      <c r="E441" s="46"/>
      <c r="F441" s="47"/>
      <c r="G441" s="47"/>
      <c r="H441" s="48"/>
      <c r="I441" s="48"/>
    </row>
    <row r="442" spans="1:9" ht="21" customHeight="1" x14ac:dyDescent="0.2">
      <c r="A442" s="46"/>
      <c r="B442" s="46"/>
      <c r="C442" s="46"/>
      <c r="D442" s="46"/>
      <c r="E442" s="46"/>
      <c r="F442" s="47"/>
      <c r="G442" s="47"/>
      <c r="H442" s="48"/>
      <c r="I442" s="48"/>
    </row>
    <row r="443" spans="1:9" ht="21" customHeight="1" x14ac:dyDescent="0.2">
      <c r="A443" s="46"/>
      <c r="B443" s="46"/>
      <c r="C443" s="46"/>
      <c r="D443" s="46"/>
      <c r="E443" s="46"/>
      <c r="F443" s="47"/>
      <c r="G443" s="47"/>
      <c r="H443" s="48"/>
      <c r="I443" s="48"/>
    </row>
    <row r="444" spans="1:9" ht="21" customHeight="1" x14ac:dyDescent="0.2">
      <c r="A444" s="46"/>
      <c r="B444" s="46"/>
      <c r="C444" s="46"/>
      <c r="D444" s="46"/>
      <c r="E444" s="46"/>
      <c r="F444" s="47"/>
      <c r="G444" s="47"/>
      <c r="H444" s="48"/>
      <c r="I444" s="48"/>
    </row>
    <row r="445" spans="1:9" ht="21" customHeight="1" x14ac:dyDescent="0.2">
      <c r="A445" s="46"/>
      <c r="B445" s="46"/>
      <c r="C445" s="46"/>
      <c r="D445" s="46"/>
      <c r="E445" s="46"/>
      <c r="F445" s="47"/>
      <c r="G445" s="47"/>
      <c r="H445" s="48"/>
      <c r="I445" s="48"/>
    </row>
    <row r="446" spans="1:9" ht="21" customHeight="1" x14ac:dyDescent="0.2">
      <c r="A446" s="46"/>
      <c r="B446" s="46"/>
      <c r="C446" s="46"/>
      <c r="D446" s="46"/>
      <c r="E446" s="46"/>
      <c r="F446" s="47"/>
      <c r="G446" s="47"/>
      <c r="H446" s="48"/>
      <c r="I446" s="48"/>
    </row>
    <row r="447" spans="1:9" ht="21" customHeight="1" x14ac:dyDescent="0.2">
      <c r="A447" s="46"/>
      <c r="B447" s="46"/>
      <c r="C447" s="46"/>
      <c r="D447" s="46"/>
      <c r="E447" s="46"/>
      <c r="F447" s="47"/>
      <c r="G447" s="47"/>
      <c r="H447" s="48"/>
      <c r="I447" s="48"/>
    </row>
    <row r="448" spans="1:9" ht="21" customHeight="1" x14ac:dyDescent="0.2">
      <c r="A448" s="46"/>
      <c r="B448" s="46"/>
      <c r="C448" s="46"/>
      <c r="D448" s="46"/>
      <c r="E448" s="46"/>
      <c r="F448" s="47"/>
      <c r="G448" s="47"/>
      <c r="H448" s="48"/>
      <c r="I448" s="48"/>
    </row>
    <row r="449" spans="1:9" ht="21" customHeight="1" x14ac:dyDescent="0.2">
      <c r="A449" s="46"/>
      <c r="B449" s="46"/>
      <c r="C449" s="46"/>
      <c r="D449" s="46"/>
      <c r="E449" s="46"/>
      <c r="F449" s="47"/>
      <c r="G449" s="47"/>
      <c r="H449" s="48"/>
      <c r="I449" s="48"/>
    </row>
    <row r="450" spans="1:9" ht="21" customHeight="1" x14ac:dyDescent="0.2">
      <c r="A450" s="46"/>
      <c r="B450" s="46"/>
      <c r="C450" s="46"/>
      <c r="D450" s="46"/>
      <c r="E450" s="46"/>
      <c r="F450" s="47"/>
      <c r="G450" s="47"/>
      <c r="H450" s="48"/>
      <c r="I450" s="48"/>
    </row>
    <row r="451" spans="1:9" ht="21" customHeight="1" x14ac:dyDescent="0.2">
      <c r="A451" s="46"/>
      <c r="B451" s="46"/>
      <c r="C451" s="46"/>
      <c r="D451" s="46"/>
      <c r="E451" s="46"/>
      <c r="F451" s="47"/>
      <c r="G451" s="47"/>
      <c r="H451" s="48"/>
      <c r="I451" s="48"/>
    </row>
    <row r="452" spans="1:9" ht="21" customHeight="1" x14ac:dyDescent="0.2">
      <c r="A452" s="46"/>
      <c r="B452" s="46"/>
      <c r="C452" s="46"/>
      <c r="D452" s="46"/>
      <c r="E452" s="46"/>
      <c r="F452" s="47"/>
      <c r="G452" s="47"/>
      <c r="H452" s="48"/>
      <c r="I452" s="48"/>
    </row>
    <row r="453" spans="1:9" ht="21" customHeight="1" x14ac:dyDescent="0.2">
      <c r="A453" s="46"/>
      <c r="B453" s="46"/>
      <c r="C453" s="46"/>
      <c r="D453" s="46"/>
      <c r="E453" s="46"/>
      <c r="F453" s="47"/>
      <c r="G453" s="47"/>
      <c r="H453" s="48"/>
      <c r="I453" s="48"/>
    </row>
    <row r="454" spans="1:9" ht="21" customHeight="1" x14ac:dyDescent="0.2">
      <c r="A454" s="46"/>
      <c r="B454" s="46"/>
      <c r="C454" s="46"/>
      <c r="D454" s="46"/>
      <c r="E454" s="46"/>
      <c r="F454" s="47"/>
      <c r="G454" s="47"/>
      <c r="H454" s="48"/>
      <c r="I454" s="48"/>
    </row>
    <row r="455" spans="1:9" ht="21" customHeight="1" x14ac:dyDescent="0.2">
      <c r="A455" s="46"/>
      <c r="B455" s="46"/>
      <c r="C455" s="46"/>
      <c r="D455" s="46"/>
      <c r="E455" s="46"/>
      <c r="F455" s="47"/>
      <c r="G455" s="47"/>
      <c r="H455" s="48"/>
      <c r="I455" s="48"/>
    </row>
    <row r="456" spans="1:9" ht="21" customHeight="1" x14ac:dyDescent="0.2">
      <c r="A456" s="46"/>
      <c r="B456" s="46"/>
      <c r="C456" s="46"/>
      <c r="D456" s="46"/>
      <c r="E456" s="46"/>
      <c r="F456" s="47"/>
      <c r="G456" s="47"/>
      <c r="H456" s="48"/>
      <c r="I456" s="48"/>
    </row>
    <row r="457" spans="1:9" ht="21" customHeight="1" x14ac:dyDescent="0.2">
      <c r="A457" s="46"/>
      <c r="B457" s="46"/>
      <c r="C457" s="46"/>
      <c r="D457" s="46"/>
      <c r="E457" s="46"/>
      <c r="F457" s="47"/>
      <c r="G457" s="47"/>
      <c r="H457" s="48"/>
      <c r="I457" s="48"/>
    </row>
    <row r="458" spans="1:9" ht="21" customHeight="1" x14ac:dyDescent="0.2">
      <c r="A458" s="46"/>
      <c r="B458" s="46"/>
      <c r="C458" s="46"/>
      <c r="D458" s="46"/>
      <c r="E458" s="46"/>
      <c r="F458" s="47"/>
      <c r="G458" s="47"/>
      <c r="H458" s="48"/>
      <c r="I458" s="48"/>
    </row>
    <row r="459" spans="1:9" ht="21" customHeight="1" x14ac:dyDescent="0.2">
      <c r="A459" s="46"/>
      <c r="B459" s="46"/>
      <c r="C459" s="46"/>
      <c r="D459" s="46"/>
      <c r="E459" s="46"/>
      <c r="F459" s="47"/>
      <c r="G459" s="47"/>
      <c r="H459" s="48"/>
      <c r="I459" s="48"/>
    </row>
    <row r="460" spans="1:9" ht="21" customHeight="1" x14ac:dyDescent="0.2">
      <c r="A460" s="46"/>
      <c r="B460" s="46"/>
      <c r="C460" s="46"/>
      <c r="D460" s="46"/>
      <c r="E460" s="46"/>
      <c r="F460" s="47"/>
      <c r="G460" s="47"/>
      <c r="H460" s="48"/>
      <c r="I460" s="48"/>
    </row>
    <row r="461" spans="1:9" ht="21" customHeight="1" x14ac:dyDescent="0.2">
      <c r="A461" s="46"/>
      <c r="B461" s="46"/>
      <c r="C461" s="46"/>
      <c r="D461" s="46"/>
      <c r="E461" s="46"/>
      <c r="F461" s="47"/>
      <c r="G461" s="47"/>
      <c r="H461" s="48"/>
      <c r="I461" s="48"/>
    </row>
    <row r="462" spans="1:9" ht="21" customHeight="1" x14ac:dyDescent="0.2">
      <c r="A462" s="46"/>
      <c r="B462" s="46"/>
      <c r="C462" s="46"/>
      <c r="D462" s="46"/>
      <c r="E462" s="46"/>
      <c r="F462" s="47"/>
      <c r="G462" s="47"/>
      <c r="H462" s="48"/>
      <c r="I462" s="48"/>
    </row>
    <row r="463" spans="1:9" ht="21" customHeight="1" x14ac:dyDescent="0.2">
      <c r="A463" s="46"/>
      <c r="B463" s="46"/>
      <c r="C463" s="46"/>
      <c r="D463" s="46"/>
      <c r="E463" s="46"/>
      <c r="F463" s="47"/>
      <c r="G463" s="47"/>
      <c r="H463" s="48"/>
      <c r="I463" s="48"/>
    </row>
    <row r="464" spans="1:9" ht="21" customHeight="1" x14ac:dyDescent="0.2">
      <c r="A464" s="46"/>
      <c r="B464" s="46"/>
      <c r="C464" s="46"/>
      <c r="D464" s="46"/>
      <c r="E464" s="46"/>
      <c r="F464" s="47"/>
      <c r="G464" s="47"/>
      <c r="H464" s="48"/>
      <c r="I464" s="48"/>
    </row>
    <row r="465" spans="1:9" ht="21" customHeight="1" x14ac:dyDescent="0.2">
      <c r="A465" s="46"/>
      <c r="B465" s="46"/>
      <c r="C465" s="46"/>
      <c r="D465" s="46"/>
      <c r="E465" s="46"/>
      <c r="F465" s="47"/>
      <c r="G465" s="47"/>
      <c r="H465" s="48"/>
      <c r="I465" s="48"/>
    </row>
    <row r="466" spans="1:9" ht="21" customHeight="1" x14ac:dyDescent="0.2">
      <c r="A466" s="46"/>
      <c r="B466" s="46"/>
      <c r="C466" s="46"/>
      <c r="D466" s="46"/>
      <c r="E466" s="46"/>
      <c r="F466" s="47"/>
      <c r="G466" s="47"/>
      <c r="H466" s="48"/>
      <c r="I466" s="48"/>
    </row>
    <row r="467" spans="1:9" ht="21" customHeight="1" x14ac:dyDescent="0.2">
      <c r="A467" s="46"/>
      <c r="B467" s="46"/>
      <c r="C467" s="46"/>
      <c r="D467" s="46"/>
      <c r="E467" s="46"/>
      <c r="F467" s="47"/>
      <c r="G467" s="47"/>
      <c r="H467" s="48"/>
      <c r="I467" s="48"/>
    </row>
    <row r="468" spans="1:9" ht="21" customHeight="1" x14ac:dyDescent="0.2">
      <c r="A468" s="46"/>
      <c r="B468" s="46"/>
      <c r="C468" s="46"/>
      <c r="D468" s="46"/>
      <c r="E468" s="46"/>
      <c r="F468" s="47"/>
      <c r="G468" s="47"/>
      <c r="H468" s="48"/>
      <c r="I468" s="48"/>
    </row>
    <row r="469" spans="1:9" ht="21" customHeight="1" x14ac:dyDescent="0.2">
      <c r="A469" s="46"/>
      <c r="B469" s="46"/>
      <c r="C469" s="46"/>
      <c r="D469" s="46"/>
      <c r="E469" s="46"/>
      <c r="F469" s="47"/>
      <c r="G469" s="47"/>
      <c r="H469" s="48"/>
      <c r="I469" s="48"/>
    </row>
    <row r="470" spans="1:9" ht="21" customHeight="1" x14ac:dyDescent="0.2">
      <c r="A470" s="46"/>
      <c r="B470" s="46"/>
      <c r="C470" s="46"/>
      <c r="D470" s="46"/>
      <c r="E470" s="46"/>
      <c r="F470" s="47"/>
      <c r="G470" s="47"/>
      <c r="H470" s="48"/>
      <c r="I470" s="48"/>
    </row>
    <row r="471" spans="1:9" ht="21" customHeight="1" x14ac:dyDescent="0.2">
      <c r="A471" s="46"/>
      <c r="B471" s="46"/>
      <c r="C471" s="46"/>
      <c r="D471" s="46"/>
      <c r="E471" s="46"/>
      <c r="F471" s="47"/>
      <c r="G471" s="47"/>
      <c r="H471" s="48"/>
      <c r="I471" s="48"/>
    </row>
    <row r="472" spans="1:9" ht="21" customHeight="1" x14ac:dyDescent="0.2">
      <c r="A472" s="46"/>
      <c r="B472" s="46"/>
      <c r="C472" s="46"/>
      <c r="D472" s="46"/>
      <c r="E472" s="46"/>
      <c r="F472" s="47"/>
      <c r="G472" s="47"/>
      <c r="H472" s="48"/>
      <c r="I472" s="48"/>
    </row>
    <row r="473" spans="1:9" ht="21" customHeight="1" x14ac:dyDescent="0.2">
      <c r="A473" s="46"/>
      <c r="B473" s="46"/>
      <c r="C473" s="46"/>
      <c r="D473" s="46"/>
      <c r="E473" s="46"/>
      <c r="F473" s="47"/>
      <c r="G473" s="47"/>
      <c r="H473" s="48"/>
      <c r="I473" s="48"/>
    </row>
    <row r="474" spans="1:9" ht="21" customHeight="1" x14ac:dyDescent="0.2">
      <c r="A474" s="46"/>
      <c r="B474" s="46"/>
      <c r="C474" s="46"/>
      <c r="D474" s="46"/>
      <c r="E474" s="46"/>
      <c r="F474" s="47"/>
      <c r="G474" s="47"/>
      <c r="H474" s="48"/>
      <c r="I474" s="48"/>
    </row>
    <row r="475" spans="1:9" ht="21" customHeight="1" x14ac:dyDescent="0.2">
      <c r="A475" s="46"/>
      <c r="B475" s="46"/>
      <c r="C475" s="46"/>
      <c r="D475" s="46"/>
      <c r="E475" s="46"/>
      <c r="F475" s="47"/>
      <c r="G475" s="47"/>
      <c r="H475" s="48"/>
      <c r="I475" s="48"/>
    </row>
    <row r="476" spans="1:9" ht="21" customHeight="1" x14ac:dyDescent="0.2">
      <c r="A476" s="46"/>
      <c r="B476" s="46"/>
      <c r="C476" s="46"/>
      <c r="D476" s="46"/>
      <c r="E476" s="46"/>
      <c r="F476" s="47"/>
      <c r="G476" s="47"/>
      <c r="H476" s="48"/>
      <c r="I476" s="48"/>
    </row>
    <row r="477" spans="1:9" ht="21" customHeight="1" x14ac:dyDescent="0.2">
      <c r="A477" s="46"/>
      <c r="B477" s="46"/>
      <c r="C477" s="46"/>
      <c r="D477" s="46"/>
      <c r="E477" s="46"/>
      <c r="F477" s="47"/>
      <c r="G477" s="47"/>
      <c r="H477" s="48"/>
      <c r="I477" s="48"/>
    </row>
    <row r="478" spans="1:9" ht="21" customHeight="1" x14ac:dyDescent="0.2">
      <c r="A478" s="46"/>
      <c r="B478" s="46"/>
      <c r="C478" s="46"/>
      <c r="D478" s="46"/>
      <c r="E478" s="46"/>
      <c r="F478" s="47"/>
      <c r="G478" s="47"/>
      <c r="H478" s="48"/>
      <c r="I478" s="48"/>
    </row>
    <row r="479" spans="1:9" ht="21" customHeight="1" x14ac:dyDescent="0.2">
      <c r="A479" s="46"/>
      <c r="B479" s="46"/>
      <c r="C479" s="46"/>
      <c r="D479" s="46"/>
      <c r="E479" s="46"/>
      <c r="F479" s="47"/>
      <c r="G479" s="47"/>
      <c r="H479" s="48"/>
      <c r="I479" s="48"/>
    </row>
    <row r="480" spans="1:9" ht="21" customHeight="1" x14ac:dyDescent="0.2">
      <c r="A480" s="46"/>
      <c r="B480" s="46"/>
      <c r="C480" s="46"/>
      <c r="D480" s="46"/>
      <c r="E480" s="46"/>
      <c r="F480" s="47"/>
      <c r="G480" s="47"/>
      <c r="H480" s="48"/>
      <c r="I480" s="48"/>
    </row>
    <row r="481" spans="1:9" ht="21" customHeight="1" x14ac:dyDescent="0.2">
      <c r="A481" s="46"/>
      <c r="B481" s="46"/>
      <c r="C481" s="46"/>
      <c r="D481" s="46"/>
      <c r="E481" s="46"/>
      <c r="F481" s="47"/>
      <c r="G481" s="47"/>
      <c r="H481" s="48"/>
      <c r="I481" s="48"/>
    </row>
    <row r="482" spans="1:9" ht="21" customHeight="1" x14ac:dyDescent="0.2">
      <c r="A482" s="46"/>
      <c r="B482" s="46"/>
      <c r="C482" s="46"/>
      <c r="D482" s="46"/>
      <c r="E482" s="46"/>
      <c r="F482" s="47"/>
      <c r="G482" s="47"/>
      <c r="H482" s="48"/>
      <c r="I482" s="48"/>
    </row>
    <row r="483" spans="1:9" ht="21" customHeight="1" x14ac:dyDescent="0.2">
      <c r="A483" s="46"/>
      <c r="B483" s="46"/>
      <c r="C483" s="46"/>
      <c r="D483" s="46"/>
      <c r="E483" s="46"/>
      <c r="F483" s="47"/>
      <c r="G483" s="47"/>
      <c r="H483" s="48"/>
      <c r="I483" s="48"/>
    </row>
    <row r="484" spans="1:9" ht="21" customHeight="1" x14ac:dyDescent="0.2">
      <c r="A484" s="46"/>
      <c r="B484" s="46"/>
      <c r="C484" s="46"/>
      <c r="D484" s="46"/>
      <c r="E484" s="46"/>
      <c r="F484" s="47"/>
      <c r="G484" s="47"/>
      <c r="H484" s="48"/>
      <c r="I484" s="48"/>
    </row>
    <row r="485" spans="1:9" ht="21" customHeight="1" x14ac:dyDescent="0.2">
      <c r="A485" s="46"/>
      <c r="B485" s="46"/>
      <c r="C485" s="46"/>
      <c r="D485" s="46"/>
      <c r="E485" s="46"/>
      <c r="F485" s="47"/>
      <c r="G485" s="47"/>
      <c r="H485" s="48"/>
      <c r="I485" s="48"/>
    </row>
    <row r="486" spans="1:9" ht="21" customHeight="1" x14ac:dyDescent="0.2">
      <c r="A486" s="46"/>
      <c r="B486" s="46"/>
      <c r="C486" s="46"/>
      <c r="D486" s="46"/>
      <c r="E486" s="46"/>
      <c r="F486" s="47"/>
      <c r="G486" s="47"/>
      <c r="H486" s="48"/>
      <c r="I486" s="48"/>
    </row>
    <row r="487" spans="1:9" ht="21" customHeight="1" x14ac:dyDescent="0.2">
      <c r="A487" s="46"/>
      <c r="B487" s="46"/>
      <c r="C487" s="46"/>
      <c r="D487" s="46"/>
      <c r="E487" s="46"/>
      <c r="F487" s="47"/>
      <c r="G487" s="47"/>
      <c r="H487" s="48"/>
      <c r="I487" s="48"/>
    </row>
    <row r="488" spans="1:9" ht="21" customHeight="1" x14ac:dyDescent="0.2">
      <c r="A488" s="46"/>
      <c r="B488" s="46"/>
      <c r="C488" s="46"/>
      <c r="D488" s="46"/>
      <c r="E488" s="46"/>
      <c r="F488" s="47"/>
      <c r="G488" s="47"/>
      <c r="H488" s="48"/>
      <c r="I488" s="48"/>
    </row>
    <row r="489" spans="1:9" ht="21" customHeight="1" x14ac:dyDescent="0.2">
      <c r="A489" s="46"/>
      <c r="B489" s="46"/>
      <c r="C489" s="46"/>
      <c r="D489" s="46"/>
      <c r="E489" s="46"/>
      <c r="F489" s="47"/>
      <c r="G489" s="47"/>
      <c r="H489" s="48"/>
      <c r="I489" s="48"/>
    </row>
    <row r="490" spans="1:9" ht="21" customHeight="1" x14ac:dyDescent="0.2">
      <c r="A490" s="46"/>
      <c r="B490" s="46"/>
      <c r="C490" s="46"/>
      <c r="D490" s="46"/>
      <c r="E490" s="46"/>
      <c r="F490" s="47"/>
      <c r="G490" s="47"/>
      <c r="H490" s="48"/>
      <c r="I490" s="48"/>
    </row>
    <row r="491" spans="1:9" ht="21" customHeight="1" x14ac:dyDescent="0.2">
      <c r="A491" s="46"/>
      <c r="B491" s="46"/>
      <c r="C491" s="46"/>
      <c r="D491" s="46"/>
      <c r="E491" s="46"/>
      <c r="F491" s="47"/>
      <c r="G491" s="47"/>
      <c r="H491" s="48"/>
      <c r="I491" s="48"/>
    </row>
    <row r="492" spans="1:9" ht="21" customHeight="1" x14ac:dyDescent="0.2">
      <c r="A492" s="46"/>
      <c r="B492" s="46"/>
      <c r="C492" s="46"/>
      <c r="D492" s="46"/>
      <c r="E492" s="46"/>
      <c r="F492" s="47"/>
      <c r="G492" s="47"/>
      <c r="H492" s="48"/>
      <c r="I492" s="48"/>
    </row>
    <row r="493" spans="1:9" ht="21" customHeight="1" x14ac:dyDescent="0.2">
      <c r="A493" s="46"/>
      <c r="B493" s="46"/>
      <c r="C493" s="46"/>
      <c r="D493" s="46"/>
      <c r="E493" s="46"/>
      <c r="F493" s="47"/>
      <c r="G493" s="47"/>
      <c r="H493" s="48"/>
      <c r="I493" s="48"/>
    </row>
    <row r="494" spans="1:9" ht="21" customHeight="1" x14ac:dyDescent="0.2">
      <c r="A494" s="46"/>
      <c r="B494" s="46"/>
      <c r="C494" s="46"/>
      <c r="D494" s="46"/>
      <c r="E494" s="46"/>
      <c r="F494" s="47"/>
      <c r="G494" s="47"/>
      <c r="H494" s="48"/>
      <c r="I494" s="48"/>
    </row>
    <row r="495" spans="1:9" ht="21" customHeight="1" x14ac:dyDescent="0.2">
      <c r="A495" s="46"/>
      <c r="B495" s="46"/>
      <c r="C495" s="46"/>
      <c r="D495" s="46"/>
      <c r="E495" s="46"/>
      <c r="F495" s="47"/>
      <c r="G495" s="47"/>
      <c r="H495" s="48"/>
      <c r="I495" s="48"/>
    </row>
    <row r="496" spans="1:9" ht="21" customHeight="1" x14ac:dyDescent="0.2">
      <c r="A496" s="46"/>
      <c r="B496" s="46"/>
      <c r="C496" s="46"/>
      <c r="D496" s="46"/>
      <c r="E496" s="46"/>
      <c r="F496" s="47"/>
      <c r="G496" s="47"/>
      <c r="H496" s="48"/>
      <c r="I496" s="48"/>
    </row>
    <row r="497" spans="1:9" ht="21" customHeight="1" x14ac:dyDescent="0.2">
      <c r="A497" s="46"/>
      <c r="B497" s="46"/>
      <c r="C497" s="46"/>
      <c r="D497" s="46"/>
      <c r="E497" s="46"/>
      <c r="F497" s="47"/>
      <c r="G497" s="47"/>
      <c r="H497" s="48"/>
      <c r="I497" s="48"/>
    </row>
    <row r="498" spans="1:9" ht="21" customHeight="1" x14ac:dyDescent="0.2">
      <c r="A498" s="46"/>
      <c r="B498" s="46"/>
      <c r="C498" s="46"/>
      <c r="D498" s="46"/>
      <c r="E498" s="46"/>
      <c r="F498" s="47"/>
      <c r="G498" s="47"/>
      <c r="H498" s="48"/>
      <c r="I498" s="48"/>
    </row>
    <row r="499" spans="1:9" ht="21" customHeight="1" x14ac:dyDescent="0.2">
      <c r="A499" s="46"/>
      <c r="B499" s="46"/>
      <c r="C499" s="46"/>
      <c r="D499" s="46"/>
      <c r="E499" s="46"/>
      <c r="F499" s="47"/>
      <c r="G499" s="47"/>
      <c r="H499" s="48"/>
      <c r="I499" s="48"/>
    </row>
    <row r="500" spans="1:9" ht="21" customHeight="1" x14ac:dyDescent="0.2">
      <c r="A500" s="46"/>
      <c r="B500" s="46"/>
      <c r="C500" s="46"/>
      <c r="D500" s="46"/>
      <c r="E500" s="46"/>
      <c r="F500" s="47"/>
      <c r="G500" s="47"/>
      <c r="H500" s="48"/>
      <c r="I500" s="48"/>
    </row>
    <row r="501" spans="1:9" ht="21" customHeight="1" x14ac:dyDescent="0.2">
      <c r="A501" s="46"/>
      <c r="B501" s="46"/>
      <c r="C501" s="46"/>
      <c r="D501" s="46"/>
      <c r="E501" s="46"/>
      <c r="F501" s="47"/>
      <c r="G501" s="47"/>
      <c r="H501" s="48"/>
      <c r="I501" s="48"/>
    </row>
    <row r="502" spans="1:9" ht="21" customHeight="1" x14ac:dyDescent="0.2">
      <c r="A502" s="46"/>
      <c r="B502" s="46"/>
      <c r="C502" s="46"/>
      <c r="D502" s="46"/>
      <c r="E502" s="46"/>
      <c r="F502" s="47"/>
      <c r="G502" s="47"/>
      <c r="H502" s="48"/>
      <c r="I502" s="48"/>
    </row>
    <row r="503" spans="1:9" ht="21" customHeight="1" x14ac:dyDescent="0.2">
      <c r="A503" s="46"/>
      <c r="B503" s="46"/>
      <c r="C503" s="46"/>
      <c r="D503" s="46"/>
      <c r="E503" s="46"/>
      <c r="F503" s="47"/>
      <c r="G503" s="47"/>
      <c r="H503" s="48"/>
      <c r="I503" s="48"/>
    </row>
    <row r="504" spans="1:9" ht="21" customHeight="1" x14ac:dyDescent="0.2">
      <c r="A504" s="46"/>
      <c r="B504" s="46"/>
      <c r="C504" s="46"/>
      <c r="D504" s="46"/>
      <c r="E504" s="46"/>
      <c r="F504" s="47"/>
      <c r="G504" s="47"/>
      <c r="H504" s="48"/>
      <c r="I504" s="48"/>
    </row>
    <row r="505" spans="1:9" ht="21" customHeight="1" x14ac:dyDescent="0.2">
      <c r="A505" s="46"/>
      <c r="B505" s="46"/>
      <c r="C505" s="46"/>
      <c r="D505" s="46"/>
      <c r="E505" s="46"/>
      <c r="F505" s="47"/>
      <c r="G505" s="47"/>
      <c r="H505" s="48"/>
      <c r="I505" s="48"/>
    </row>
    <row r="506" spans="1:9" ht="21" customHeight="1" x14ac:dyDescent="0.2">
      <c r="A506" s="46"/>
      <c r="B506" s="46"/>
      <c r="C506" s="46"/>
      <c r="D506" s="46"/>
      <c r="E506" s="46"/>
      <c r="F506" s="47"/>
      <c r="G506" s="47"/>
      <c r="H506" s="48"/>
      <c r="I506" s="48"/>
    </row>
    <row r="507" spans="1:9" ht="21" customHeight="1" x14ac:dyDescent="0.2">
      <c r="A507" s="46"/>
      <c r="B507" s="46"/>
      <c r="C507" s="46"/>
      <c r="D507" s="46"/>
      <c r="E507" s="46"/>
      <c r="F507" s="47"/>
      <c r="G507" s="47"/>
      <c r="H507" s="48"/>
      <c r="I507" s="48"/>
    </row>
    <row r="508" spans="1:9" ht="21" customHeight="1" x14ac:dyDescent="0.2">
      <c r="A508" s="46"/>
      <c r="B508" s="46"/>
      <c r="C508" s="46"/>
      <c r="D508" s="46"/>
      <c r="E508" s="46"/>
      <c r="F508" s="47"/>
      <c r="G508" s="47"/>
      <c r="H508" s="48"/>
      <c r="I508" s="48"/>
    </row>
    <row r="509" spans="1:9" ht="21" customHeight="1" x14ac:dyDescent="0.2">
      <c r="A509" s="49"/>
      <c r="B509" s="49"/>
      <c r="C509" s="49"/>
      <c r="D509" s="49"/>
      <c r="E509" s="49"/>
      <c r="F509" s="50"/>
      <c r="G509" s="50"/>
      <c r="H509" s="51"/>
      <c r="I509" s="51"/>
    </row>
  </sheetData>
  <mergeCells count="4">
    <mergeCell ref="A1:I1"/>
    <mergeCell ref="A2:I2"/>
    <mergeCell ref="B5:I6"/>
    <mergeCell ref="A8:I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09"/>
  <sheetViews>
    <sheetView showGridLines="0" workbookViewId="0">
      <pane ySplit="9" topLeftCell="A10" activePane="bottomLeft" state="frozen"/>
      <selection pane="bottomLeft"/>
    </sheetView>
  </sheetViews>
  <sheetFormatPr baseColWidth="10" defaultColWidth="8.83203125" defaultRowHeight="13" x14ac:dyDescent="0.15"/>
  <cols>
    <col min="1" max="1" width="10" customWidth="1"/>
    <col min="2" max="2" width="11" customWidth="1"/>
    <col min="3" max="3" width="48" customWidth="1"/>
    <col min="4" max="4" width="30" customWidth="1"/>
    <col min="5" max="5" width="18" customWidth="1"/>
    <col min="6" max="7" width="15" customWidth="1"/>
    <col min="8" max="8" width="18" customWidth="1"/>
    <col min="9" max="9" width="22" customWidth="1"/>
  </cols>
  <sheetData>
    <row r="1" spans="1:10" ht="32" customHeight="1" x14ac:dyDescent="0.15">
      <c r="A1" s="58" t="s">
        <v>52</v>
      </c>
      <c r="B1" s="58"/>
      <c r="C1" s="58"/>
      <c r="D1" s="58"/>
      <c r="E1" s="58"/>
      <c r="F1" s="58"/>
      <c r="G1" s="58"/>
      <c r="H1" s="58"/>
      <c r="I1" s="58"/>
    </row>
    <row r="2" spans="1:10" ht="27" customHeight="1" x14ac:dyDescent="0.15">
      <c r="A2" s="59" t="s">
        <v>53</v>
      </c>
      <c r="B2" s="59"/>
      <c r="C2" s="59"/>
      <c r="D2" s="59"/>
      <c r="E2" s="59"/>
      <c r="F2" s="59"/>
      <c r="G2" s="59"/>
      <c r="H2" s="59"/>
      <c r="I2" s="59"/>
    </row>
    <row r="4" spans="1:10" ht="14" x14ac:dyDescent="0.15">
      <c r="A4" s="42" t="s">
        <v>2</v>
      </c>
      <c r="B4" s="42">
        <v>6</v>
      </c>
      <c r="C4" s="42"/>
      <c r="D4" s="42" t="s">
        <v>22</v>
      </c>
      <c r="E4" s="43">
        <v>46344</v>
      </c>
      <c r="F4" s="42"/>
      <c r="G4" s="42" t="s">
        <v>23</v>
      </c>
      <c r="H4" s="43">
        <v>46358</v>
      </c>
    </row>
    <row r="5" spans="1:10" ht="24" customHeight="1" x14ac:dyDescent="0.15">
      <c r="A5" s="42" t="s">
        <v>36</v>
      </c>
      <c r="B5" s="62" t="s">
        <v>47</v>
      </c>
      <c r="C5" s="62"/>
      <c r="D5" s="62"/>
      <c r="E5" s="62"/>
      <c r="F5" s="62"/>
      <c r="G5" s="62"/>
      <c r="H5" s="62"/>
      <c r="I5" s="62"/>
    </row>
    <row r="6" spans="1:10" ht="24" customHeight="1" x14ac:dyDescent="0.15">
      <c r="A6" s="42"/>
      <c r="B6" s="62"/>
      <c r="C6" s="62"/>
      <c r="D6" s="62"/>
      <c r="E6" s="62"/>
      <c r="F6" s="62"/>
      <c r="G6" s="62"/>
      <c r="H6" s="62"/>
      <c r="I6" s="62"/>
    </row>
    <row r="7" spans="1:10" ht="14" x14ac:dyDescent="0.15">
      <c r="A7" s="44" t="s">
        <v>38</v>
      </c>
      <c r="B7" s="44">
        <f>COUNTIFS('Product Backlog'!$B$5:$B$504,6,'Product Backlog'!$C$5:$C$504,"&lt;&gt;")</f>
        <v>0</v>
      </c>
      <c r="C7" s="44" t="s">
        <v>17</v>
      </c>
      <c r="D7" s="44">
        <f>COUNTIFS('Product Backlog'!$B$5:$B$504,6,'Product Backlog'!$D$5:$D$504,"Done")+COUNTIFS('Product Backlog'!$B$5:$B$504,6,'Product Backlog'!$D$5:$D$504,"Completed")</f>
        <v>0</v>
      </c>
      <c r="E7" s="44" t="s">
        <v>39</v>
      </c>
      <c r="F7" s="44">
        <f>SUMIFS('Product Backlog'!$H$5:$H$504,'Product Backlog'!$B$5:$B$504,6)</f>
        <v>0</v>
      </c>
      <c r="G7" s="44" t="s">
        <v>40</v>
      </c>
      <c r="H7" s="44">
        <f>SUMIFS('Product Backlog'!$I$5:$I$504,'Product Backlog'!$B$5:$B$504,6)</f>
        <v>0</v>
      </c>
    </row>
    <row r="8" spans="1:10" ht="14" customHeight="1" x14ac:dyDescent="0.2">
      <c r="A8" s="63" t="s">
        <v>41</v>
      </c>
      <c r="B8" s="63"/>
      <c r="C8" s="63"/>
      <c r="D8" s="63"/>
      <c r="E8" s="63"/>
      <c r="F8" s="63"/>
      <c r="G8" s="63"/>
      <c r="H8" s="63"/>
      <c r="I8" s="63"/>
    </row>
    <row r="9" spans="1:10" ht="30" customHeight="1" x14ac:dyDescent="0.15">
      <c r="A9" s="45" t="s">
        <v>1</v>
      </c>
      <c r="B9" s="45" t="s">
        <v>2</v>
      </c>
      <c r="C9" s="45" t="s">
        <v>3</v>
      </c>
      <c r="D9" s="45" t="s">
        <v>4</v>
      </c>
      <c r="E9" s="45" t="s">
        <v>5</v>
      </c>
      <c r="F9" s="45" t="s">
        <v>6</v>
      </c>
      <c r="G9" s="45" t="s">
        <v>7</v>
      </c>
      <c r="H9" s="45" t="s">
        <v>8</v>
      </c>
      <c r="I9" s="45" t="s">
        <v>9</v>
      </c>
    </row>
    <row r="10" spans="1:10" ht="21" customHeight="1" x14ac:dyDescent="0.2">
      <c r="A10" s="46" t="str">
        <f>IF($J10="","",IF(ISBLANK(INDEX('Product Backlog'!$A$5:$A$504,$J10)),"",INDEX('Product Backlog'!$A$5:$A$504,$J10)))</f>
        <v/>
      </c>
      <c r="B10" s="46" t="str">
        <f>IF($J10="","",IF(ISBLANK(INDEX('Product Backlog'!$B$5:$B$504,$J10)),"",INDEX('Product Backlog'!$B$5:$B$504,$J10)))</f>
        <v/>
      </c>
      <c r="C10" s="46" t="str">
        <f>IF($J10="","",IF(ISBLANK(INDEX('Product Backlog'!$C$5:$C$504,$J10)),"",INDEX('Product Backlog'!$C$5:$C$504,$J10)))</f>
        <v/>
      </c>
      <c r="D10" s="46" t="str">
        <f>IF($J10="","",IF(ISBLANK(INDEX('Product Backlog'!$D$5:$D$504,$J10)),"",INDEX('Product Backlog'!$D$5:$D$504,$J10)))</f>
        <v/>
      </c>
      <c r="E10" s="46" t="str">
        <f>IF($J10="","",IF(ISBLANK(INDEX('Product Backlog'!$E$5:$E$504,$J10)),"",INDEX('Product Backlog'!$E$5:$E$504,$J10)))</f>
        <v/>
      </c>
      <c r="F10" s="47" t="str">
        <f>IF($J10="","",IF(ISBLANK(INDEX('Product Backlog'!$F$5:$F$504,$J10)),"",INDEX('Product Backlog'!$F$5:$F$504,$J10)))</f>
        <v/>
      </c>
      <c r="G10" s="47" t="str">
        <f>IF($J10="","",IF(ISBLANK(INDEX('Product Backlog'!$G$5:$G$504,$J10)),"",INDEX('Product Backlog'!$G$5:$G$504,$J10)))</f>
        <v/>
      </c>
      <c r="H10" s="48" t="str">
        <f>IF($J10="","",IF(ISBLANK(INDEX('Product Backlog'!$H$5:$H$504,$J10)),"",INDEX('Product Backlog'!$H$5:$H$504,$J10)))</f>
        <v/>
      </c>
      <c r="I10" s="48" t="str">
        <f>IF($J10="","",IF(ISBLANK(INDEX('Product Backlog'!$I$5:$I$504,$J10)),"",INDEX('Product Backlog'!$I$5:$I$504,$J10)))</f>
        <v/>
      </c>
      <c r="J10" t="str">
        <f>IFERROR(MATCH($B$4&amp;"-"&amp;ROWS($A$10:A10),'Product Backlog'!$J$5:$J$504,0),"")</f>
        <v/>
      </c>
    </row>
    <row r="11" spans="1:10" ht="21" customHeight="1" x14ac:dyDescent="0.2">
      <c r="A11" s="46" t="str">
        <f>IF($J11="","",IF(ISBLANK(INDEX('Product Backlog'!$A$5:$A$504,$J11)),"",INDEX('Product Backlog'!$A$5:$A$504,$J11)))</f>
        <v/>
      </c>
      <c r="B11" s="46" t="str">
        <f>IF($J11="","",IF(ISBLANK(INDEX('Product Backlog'!$B$5:$B$504,$J11)),"",INDEX('Product Backlog'!$B$5:$B$504,$J11)))</f>
        <v/>
      </c>
      <c r="C11" s="46" t="str">
        <f>IF($J11="","",IF(ISBLANK(INDEX('Product Backlog'!$C$5:$C$504,$J11)),"",INDEX('Product Backlog'!$C$5:$C$504,$J11)))</f>
        <v/>
      </c>
      <c r="D11" s="46" t="str">
        <f>IF($J11="","",IF(ISBLANK(INDEX('Product Backlog'!$D$5:$D$504,$J11)),"",INDEX('Product Backlog'!$D$5:$D$504,$J11)))</f>
        <v/>
      </c>
      <c r="E11" s="46" t="str">
        <f>IF($J11="","",IF(ISBLANK(INDEX('Product Backlog'!$E$5:$E$504,$J11)),"",INDEX('Product Backlog'!$E$5:$E$504,$J11)))</f>
        <v/>
      </c>
      <c r="F11" s="47" t="str">
        <f>IF($J11="","",IF(ISBLANK(INDEX('Product Backlog'!$F$5:$F$504,$J11)),"",INDEX('Product Backlog'!$F$5:$F$504,$J11)))</f>
        <v/>
      </c>
      <c r="G11" s="47" t="str">
        <f>IF($J11="","",IF(ISBLANK(INDEX('Product Backlog'!$G$5:$G$504,$J11)),"",INDEX('Product Backlog'!$G$5:$G$504,$J11)))</f>
        <v/>
      </c>
      <c r="H11" s="48" t="str">
        <f>IF($J11="","",IF(ISBLANK(INDEX('Product Backlog'!$H$5:$H$504,$J11)),"",INDEX('Product Backlog'!$H$5:$H$504,$J11)))</f>
        <v/>
      </c>
      <c r="I11" s="48" t="str">
        <f>IF($J11="","",IF(ISBLANK(INDEX('Product Backlog'!$I$5:$I$504,$J11)),"",INDEX('Product Backlog'!$I$5:$I$504,$J11)))</f>
        <v/>
      </c>
      <c r="J11" t="str">
        <f>IFERROR(MATCH($B$4&amp;"-"&amp;ROWS($A$10:A11),'Product Backlog'!$J$5:$J$504,0),"")</f>
        <v/>
      </c>
    </row>
    <row r="12" spans="1:10" ht="21" customHeight="1" x14ac:dyDescent="0.2">
      <c r="A12" s="46" t="str">
        <f>IF($J12="","",IF(ISBLANK(INDEX('Product Backlog'!$A$5:$A$504,$J12)),"",INDEX('Product Backlog'!$A$5:$A$504,$J12)))</f>
        <v/>
      </c>
      <c r="B12" s="46" t="str">
        <f>IF($J12="","",IF(ISBLANK(INDEX('Product Backlog'!$B$5:$B$504,$J12)),"",INDEX('Product Backlog'!$B$5:$B$504,$J12)))</f>
        <v/>
      </c>
      <c r="C12" s="46" t="str">
        <f>IF($J12="","",IF(ISBLANK(INDEX('Product Backlog'!$C$5:$C$504,$J12)),"",INDEX('Product Backlog'!$C$5:$C$504,$J12)))</f>
        <v/>
      </c>
      <c r="D12" s="46" t="str">
        <f>IF($J12="","",IF(ISBLANK(INDEX('Product Backlog'!$D$5:$D$504,$J12)),"",INDEX('Product Backlog'!$D$5:$D$504,$J12)))</f>
        <v/>
      </c>
      <c r="E12" s="46" t="str">
        <f>IF($J12="","",IF(ISBLANK(INDEX('Product Backlog'!$E$5:$E$504,$J12)),"",INDEX('Product Backlog'!$E$5:$E$504,$J12)))</f>
        <v/>
      </c>
      <c r="F12" s="47" t="str">
        <f>IF($J12="","",IF(ISBLANK(INDEX('Product Backlog'!$F$5:$F$504,$J12)),"",INDEX('Product Backlog'!$F$5:$F$504,$J12)))</f>
        <v/>
      </c>
      <c r="G12" s="47" t="str">
        <f>IF($J12="","",IF(ISBLANK(INDEX('Product Backlog'!$G$5:$G$504,$J12)),"",INDEX('Product Backlog'!$G$5:$G$504,$J12)))</f>
        <v/>
      </c>
      <c r="H12" s="48" t="str">
        <f>IF($J12="","",IF(ISBLANK(INDEX('Product Backlog'!$H$5:$H$504,$J12)),"",INDEX('Product Backlog'!$H$5:$H$504,$J12)))</f>
        <v/>
      </c>
      <c r="I12" s="48" t="str">
        <f>IF($J12="","",IF(ISBLANK(INDEX('Product Backlog'!$I$5:$I$504,$J12)),"",INDEX('Product Backlog'!$I$5:$I$504,$J12)))</f>
        <v/>
      </c>
      <c r="J12" t="str">
        <f>IFERROR(MATCH($B$4&amp;"-"&amp;ROWS($A$10:A12),'Product Backlog'!$J$5:$J$504,0),"")</f>
        <v/>
      </c>
    </row>
    <row r="13" spans="1:10" ht="21" customHeight="1" x14ac:dyDescent="0.2">
      <c r="A13" s="46" t="str">
        <f>IF($J13="","",IF(ISBLANK(INDEX('Product Backlog'!$A$5:$A$504,$J13)),"",INDEX('Product Backlog'!$A$5:$A$504,$J13)))</f>
        <v/>
      </c>
      <c r="B13" s="46" t="str">
        <f>IF($J13="","",IF(ISBLANK(INDEX('Product Backlog'!$B$5:$B$504,$J13)),"",INDEX('Product Backlog'!$B$5:$B$504,$J13)))</f>
        <v/>
      </c>
      <c r="C13" s="46" t="str">
        <f>IF($J13="","",IF(ISBLANK(INDEX('Product Backlog'!$C$5:$C$504,$J13)),"",INDEX('Product Backlog'!$C$5:$C$504,$J13)))</f>
        <v/>
      </c>
      <c r="D13" s="46" t="str">
        <f>IF($J13="","",IF(ISBLANK(INDEX('Product Backlog'!$D$5:$D$504,$J13)),"",INDEX('Product Backlog'!$D$5:$D$504,$J13)))</f>
        <v/>
      </c>
      <c r="E13" s="46" t="str">
        <f>IF($J13="","",IF(ISBLANK(INDEX('Product Backlog'!$E$5:$E$504,$J13)),"",INDEX('Product Backlog'!$E$5:$E$504,$J13)))</f>
        <v/>
      </c>
      <c r="F13" s="47" t="str">
        <f>IF($J13="","",IF(ISBLANK(INDEX('Product Backlog'!$F$5:$F$504,$J13)),"",INDEX('Product Backlog'!$F$5:$F$504,$J13)))</f>
        <v/>
      </c>
      <c r="G13" s="47" t="str">
        <f>IF($J13="","",IF(ISBLANK(INDEX('Product Backlog'!$G$5:$G$504,$J13)),"",INDEX('Product Backlog'!$G$5:$G$504,$J13)))</f>
        <v/>
      </c>
      <c r="H13" s="48" t="str">
        <f>IF($J13="","",IF(ISBLANK(INDEX('Product Backlog'!$H$5:$H$504,$J13)),"",INDEX('Product Backlog'!$H$5:$H$504,$J13)))</f>
        <v/>
      </c>
      <c r="I13" s="48" t="str">
        <f>IF($J13="","",IF(ISBLANK(INDEX('Product Backlog'!$I$5:$I$504,$J13)),"",INDEX('Product Backlog'!$I$5:$I$504,$J13)))</f>
        <v/>
      </c>
      <c r="J13" t="str">
        <f>IFERROR(MATCH($B$4&amp;"-"&amp;ROWS($A$10:A13),'Product Backlog'!$J$5:$J$504,0),"")</f>
        <v/>
      </c>
    </row>
    <row r="14" spans="1:10" ht="21" customHeight="1" x14ac:dyDescent="0.2">
      <c r="A14" s="46" t="str">
        <f>IF($J14="","",IF(ISBLANK(INDEX('Product Backlog'!$A$5:$A$504,$J14)),"",INDEX('Product Backlog'!$A$5:$A$504,$J14)))</f>
        <v/>
      </c>
      <c r="B14" s="46" t="str">
        <f>IF($J14="","",IF(ISBLANK(INDEX('Product Backlog'!$B$5:$B$504,$J14)),"",INDEX('Product Backlog'!$B$5:$B$504,$J14)))</f>
        <v/>
      </c>
      <c r="C14" s="46" t="str">
        <f>IF($J14="","",IF(ISBLANK(INDEX('Product Backlog'!$C$5:$C$504,$J14)),"",INDEX('Product Backlog'!$C$5:$C$504,$J14)))</f>
        <v/>
      </c>
      <c r="D14" s="46" t="str">
        <f>IF($J14="","",IF(ISBLANK(INDEX('Product Backlog'!$D$5:$D$504,$J14)),"",INDEX('Product Backlog'!$D$5:$D$504,$J14)))</f>
        <v/>
      </c>
      <c r="E14" s="46" t="str">
        <f>IF($J14="","",IF(ISBLANK(INDEX('Product Backlog'!$E$5:$E$504,$J14)),"",INDEX('Product Backlog'!$E$5:$E$504,$J14)))</f>
        <v/>
      </c>
      <c r="F14" s="47" t="str">
        <f>IF($J14="","",IF(ISBLANK(INDEX('Product Backlog'!$F$5:$F$504,$J14)),"",INDEX('Product Backlog'!$F$5:$F$504,$J14)))</f>
        <v/>
      </c>
      <c r="G14" s="47" t="str">
        <f>IF($J14="","",IF(ISBLANK(INDEX('Product Backlog'!$G$5:$G$504,$J14)),"",INDEX('Product Backlog'!$G$5:$G$504,$J14)))</f>
        <v/>
      </c>
      <c r="H14" s="48" t="str">
        <f>IF($J14="","",IF(ISBLANK(INDEX('Product Backlog'!$H$5:$H$504,$J14)),"",INDEX('Product Backlog'!$H$5:$H$504,$J14)))</f>
        <v/>
      </c>
      <c r="I14" s="48" t="str">
        <f>IF($J14="","",IF(ISBLANK(INDEX('Product Backlog'!$I$5:$I$504,$J14)),"",INDEX('Product Backlog'!$I$5:$I$504,$J14)))</f>
        <v/>
      </c>
      <c r="J14" t="str">
        <f>IFERROR(MATCH($B$4&amp;"-"&amp;ROWS($A$10:A14),'Product Backlog'!$J$5:$J$504,0),"")</f>
        <v/>
      </c>
    </row>
    <row r="15" spans="1:10" ht="21" customHeight="1" x14ac:dyDescent="0.2">
      <c r="A15" s="46" t="str">
        <f>IF($J15="","",IF(ISBLANK(INDEX('Product Backlog'!$A$5:$A$504,$J15)),"",INDEX('Product Backlog'!$A$5:$A$504,$J15)))</f>
        <v/>
      </c>
      <c r="B15" s="46" t="str">
        <f>IF($J15="","",IF(ISBLANK(INDEX('Product Backlog'!$B$5:$B$504,$J15)),"",INDEX('Product Backlog'!$B$5:$B$504,$J15)))</f>
        <v/>
      </c>
      <c r="C15" s="46" t="str">
        <f>IF($J15="","",IF(ISBLANK(INDEX('Product Backlog'!$C$5:$C$504,$J15)),"",INDEX('Product Backlog'!$C$5:$C$504,$J15)))</f>
        <v/>
      </c>
      <c r="D15" s="46" t="str">
        <f>IF($J15="","",IF(ISBLANK(INDEX('Product Backlog'!$D$5:$D$504,$J15)),"",INDEX('Product Backlog'!$D$5:$D$504,$J15)))</f>
        <v/>
      </c>
      <c r="E15" s="46" t="str">
        <f>IF($J15="","",IF(ISBLANK(INDEX('Product Backlog'!$E$5:$E$504,$J15)),"",INDEX('Product Backlog'!$E$5:$E$504,$J15)))</f>
        <v/>
      </c>
      <c r="F15" s="47" t="str">
        <f>IF($J15="","",IF(ISBLANK(INDEX('Product Backlog'!$F$5:$F$504,$J15)),"",INDEX('Product Backlog'!$F$5:$F$504,$J15)))</f>
        <v/>
      </c>
      <c r="G15" s="47" t="str">
        <f>IF($J15="","",IF(ISBLANK(INDEX('Product Backlog'!$G$5:$G$504,$J15)),"",INDEX('Product Backlog'!$G$5:$G$504,$J15)))</f>
        <v/>
      </c>
      <c r="H15" s="48" t="str">
        <f>IF($J15="","",IF(ISBLANK(INDEX('Product Backlog'!$H$5:$H$504,$J15)),"",INDEX('Product Backlog'!$H$5:$H$504,$J15)))</f>
        <v/>
      </c>
      <c r="I15" s="48" t="str">
        <f>IF($J15="","",IF(ISBLANK(INDEX('Product Backlog'!$I$5:$I$504,$J15)),"",INDEX('Product Backlog'!$I$5:$I$504,$J15)))</f>
        <v/>
      </c>
      <c r="J15" t="str">
        <f>IFERROR(MATCH($B$4&amp;"-"&amp;ROWS($A$10:A15),'Product Backlog'!$J$5:$J$504,0),"")</f>
        <v/>
      </c>
    </row>
    <row r="16" spans="1:10" ht="21" customHeight="1" x14ac:dyDescent="0.2">
      <c r="A16" s="46" t="str">
        <f>IF($J16="","",IF(ISBLANK(INDEX('Product Backlog'!$A$5:$A$504,$J16)),"",INDEX('Product Backlog'!$A$5:$A$504,$J16)))</f>
        <v/>
      </c>
      <c r="B16" s="46" t="str">
        <f>IF($J16="","",IF(ISBLANK(INDEX('Product Backlog'!$B$5:$B$504,$J16)),"",INDEX('Product Backlog'!$B$5:$B$504,$J16)))</f>
        <v/>
      </c>
      <c r="C16" s="46" t="str">
        <f>IF($J16="","",IF(ISBLANK(INDEX('Product Backlog'!$C$5:$C$504,$J16)),"",INDEX('Product Backlog'!$C$5:$C$504,$J16)))</f>
        <v/>
      </c>
      <c r="D16" s="46" t="str">
        <f>IF($J16="","",IF(ISBLANK(INDEX('Product Backlog'!$D$5:$D$504,$J16)),"",INDEX('Product Backlog'!$D$5:$D$504,$J16)))</f>
        <v/>
      </c>
      <c r="E16" s="46" t="str">
        <f>IF($J16="","",IF(ISBLANK(INDEX('Product Backlog'!$E$5:$E$504,$J16)),"",INDEX('Product Backlog'!$E$5:$E$504,$J16)))</f>
        <v/>
      </c>
      <c r="F16" s="47" t="str">
        <f>IF($J16="","",IF(ISBLANK(INDEX('Product Backlog'!$F$5:$F$504,$J16)),"",INDEX('Product Backlog'!$F$5:$F$504,$J16)))</f>
        <v/>
      </c>
      <c r="G16" s="47" t="str">
        <f>IF($J16="","",IF(ISBLANK(INDEX('Product Backlog'!$G$5:$G$504,$J16)),"",INDEX('Product Backlog'!$G$5:$G$504,$J16)))</f>
        <v/>
      </c>
      <c r="H16" s="48" t="str">
        <f>IF($J16="","",IF(ISBLANK(INDEX('Product Backlog'!$H$5:$H$504,$J16)),"",INDEX('Product Backlog'!$H$5:$H$504,$J16)))</f>
        <v/>
      </c>
      <c r="I16" s="48" t="str">
        <f>IF($J16="","",IF(ISBLANK(INDEX('Product Backlog'!$I$5:$I$504,$J16)),"",INDEX('Product Backlog'!$I$5:$I$504,$J16)))</f>
        <v/>
      </c>
      <c r="J16" t="str">
        <f>IFERROR(MATCH($B$4&amp;"-"&amp;ROWS($A$10:A16),'Product Backlog'!$J$5:$J$504,0),"")</f>
        <v/>
      </c>
    </row>
    <row r="17" spans="1:10" ht="21" customHeight="1" x14ac:dyDescent="0.2">
      <c r="A17" s="46" t="str">
        <f>IF($J17="","",IF(ISBLANK(INDEX('Product Backlog'!$A$5:$A$504,$J17)),"",INDEX('Product Backlog'!$A$5:$A$504,$J17)))</f>
        <v/>
      </c>
      <c r="B17" s="46" t="str">
        <f>IF($J17="","",IF(ISBLANK(INDEX('Product Backlog'!$B$5:$B$504,$J17)),"",INDEX('Product Backlog'!$B$5:$B$504,$J17)))</f>
        <v/>
      </c>
      <c r="C17" s="46" t="str">
        <f>IF($J17="","",IF(ISBLANK(INDEX('Product Backlog'!$C$5:$C$504,$J17)),"",INDEX('Product Backlog'!$C$5:$C$504,$J17)))</f>
        <v/>
      </c>
      <c r="D17" s="46" t="str">
        <f>IF($J17="","",IF(ISBLANK(INDEX('Product Backlog'!$D$5:$D$504,$J17)),"",INDEX('Product Backlog'!$D$5:$D$504,$J17)))</f>
        <v/>
      </c>
      <c r="E17" s="46" t="str">
        <f>IF($J17="","",IF(ISBLANK(INDEX('Product Backlog'!$E$5:$E$504,$J17)),"",INDEX('Product Backlog'!$E$5:$E$504,$J17)))</f>
        <v/>
      </c>
      <c r="F17" s="47" t="str">
        <f>IF($J17="","",IF(ISBLANK(INDEX('Product Backlog'!$F$5:$F$504,$J17)),"",INDEX('Product Backlog'!$F$5:$F$504,$J17)))</f>
        <v/>
      </c>
      <c r="G17" s="47" t="str">
        <f>IF($J17="","",IF(ISBLANK(INDEX('Product Backlog'!$G$5:$G$504,$J17)),"",INDEX('Product Backlog'!$G$5:$G$504,$J17)))</f>
        <v/>
      </c>
      <c r="H17" s="48" t="str">
        <f>IF($J17="","",IF(ISBLANK(INDEX('Product Backlog'!$H$5:$H$504,$J17)),"",INDEX('Product Backlog'!$H$5:$H$504,$J17)))</f>
        <v/>
      </c>
      <c r="I17" s="48" t="str">
        <f>IF($J17="","",IF(ISBLANK(INDEX('Product Backlog'!$I$5:$I$504,$J17)),"",INDEX('Product Backlog'!$I$5:$I$504,$J17)))</f>
        <v/>
      </c>
      <c r="J17" t="str">
        <f>IFERROR(MATCH($B$4&amp;"-"&amp;ROWS($A$10:A17),'Product Backlog'!$J$5:$J$504,0),"")</f>
        <v/>
      </c>
    </row>
    <row r="18" spans="1:10" ht="21" customHeight="1" x14ac:dyDescent="0.2">
      <c r="A18" s="46" t="str">
        <f>IF($J18="","",IF(ISBLANK(INDEX('Product Backlog'!$A$5:$A$504,$J18)),"",INDEX('Product Backlog'!$A$5:$A$504,$J18)))</f>
        <v/>
      </c>
      <c r="B18" s="46" t="str">
        <f>IF($J18="","",IF(ISBLANK(INDEX('Product Backlog'!$B$5:$B$504,$J18)),"",INDEX('Product Backlog'!$B$5:$B$504,$J18)))</f>
        <v/>
      </c>
      <c r="C18" s="46" t="str">
        <f>IF($J18="","",IF(ISBLANK(INDEX('Product Backlog'!$C$5:$C$504,$J18)),"",INDEX('Product Backlog'!$C$5:$C$504,$J18)))</f>
        <v/>
      </c>
      <c r="D18" s="46" t="str">
        <f>IF($J18="","",IF(ISBLANK(INDEX('Product Backlog'!$D$5:$D$504,$J18)),"",INDEX('Product Backlog'!$D$5:$D$504,$J18)))</f>
        <v/>
      </c>
      <c r="E18" s="46" t="str">
        <f>IF($J18="","",IF(ISBLANK(INDEX('Product Backlog'!$E$5:$E$504,$J18)),"",INDEX('Product Backlog'!$E$5:$E$504,$J18)))</f>
        <v/>
      </c>
      <c r="F18" s="47" t="str">
        <f>IF($J18="","",IF(ISBLANK(INDEX('Product Backlog'!$F$5:$F$504,$J18)),"",INDEX('Product Backlog'!$F$5:$F$504,$J18)))</f>
        <v/>
      </c>
      <c r="G18" s="47" t="str">
        <f>IF($J18="","",IF(ISBLANK(INDEX('Product Backlog'!$G$5:$G$504,$J18)),"",INDEX('Product Backlog'!$G$5:$G$504,$J18)))</f>
        <v/>
      </c>
      <c r="H18" s="48" t="str">
        <f>IF($J18="","",IF(ISBLANK(INDEX('Product Backlog'!$H$5:$H$504,$J18)),"",INDEX('Product Backlog'!$H$5:$H$504,$J18)))</f>
        <v/>
      </c>
      <c r="I18" s="48" t="str">
        <f>IF($J18="","",IF(ISBLANK(INDEX('Product Backlog'!$I$5:$I$504,$J18)),"",INDEX('Product Backlog'!$I$5:$I$504,$J18)))</f>
        <v/>
      </c>
      <c r="J18" t="str">
        <f>IFERROR(MATCH($B$4&amp;"-"&amp;ROWS($A$10:A18),'Product Backlog'!$J$5:$J$504,0),"")</f>
        <v/>
      </c>
    </row>
    <row r="19" spans="1:10" ht="21" customHeight="1" x14ac:dyDescent="0.2">
      <c r="A19" s="46" t="str">
        <f>IF($J19="","",IF(ISBLANK(INDEX('Product Backlog'!$A$5:$A$504,$J19)),"",INDEX('Product Backlog'!$A$5:$A$504,$J19)))</f>
        <v/>
      </c>
      <c r="B19" s="46" t="str">
        <f>IF($J19="","",IF(ISBLANK(INDEX('Product Backlog'!$B$5:$B$504,$J19)),"",INDEX('Product Backlog'!$B$5:$B$504,$J19)))</f>
        <v/>
      </c>
      <c r="C19" s="46" t="str">
        <f>IF($J19="","",IF(ISBLANK(INDEX('Product Backlog'!$C$5:$C$504,$J19)),"",INDEX('Product Backlog'!$C$5:$C$504,$J19)))</f>
        <v/>
      </c>
      <c r="D19" s="46" t="str">
        <f>IF($J19="","",IF(ISBLANK(INDEX('Product Backlog'!$D$5:$D$504,$J19)),"",INDEX('Product Backlog'!$D$5:$D$504,$J19)))</f>
        <v/>
      </c>
      <c r="E19" s="46" t="str">
        <f>IF($J19="","",IF(ISBLANK(INDEX('Product Backlog'!$E$5:$E$504,$J19)),"",INDEX('Product Backlog'!$E$5:$E$504,$J19)))</f>
        <v/>
      </c>
      <c r="F19" s="47" t="str">
        <f>IF($J19="","",IF(ISBLANK(INDEX('Product Backlog'!$F$5:$F$504,$J19)),"",INDEX('Product Backlog'!$F$5:$F$504,$J19)))</f>
        <v/>
      </c>
      <c r="G19" s="47" t="str">
        <f>IF($J19="","",IF(ISBLANK(INDEX('Product Backlog'!$G$5:$G$504,$J19)),"",INDEX('Product Backlog'!$G$5:$G$504,$J19)))</f>
        <v/>
      </c>
      <c r="H19" s="48" t="str">
        <f>IF($J19="","",IF(ISBLANK(INDEX('Product Backlog'!$H$5:$H$504,$J19)),"",INDEX('Product Backlog'!$H$5:$H$504,$J19)))</f>
        <v/>
      </c>
      <c r="I19" s="48" t="str">
        <f>IF($J19="","",IF(ISBLANK(INDEX('Product Backlog'!$I$5:$I$504,$J19)),"",INDEX('Product Backlog'!$I$5:$I$504,$J19)))</f>
        <v/>
      </c>
      <c r="J19" t="str">
        <f>IFERROR(MATCH($B$4&amp;"-"&amp;ROWS($A$10:A19),'Product Backlog'!$J$5:$J$504,0),"")</f>
        <v/>
      </c>
    </row>
    <row r="20" spans="1:10" ht="21" customHeight="1" x14ac:dyDescent="0.2">
      <c r="A20" s="46" t="str">
        <f>IF($J20="","",IF(ISBLANK(INDEX('Product Backlog'!$A$5:$A$504,$J20)),"",INDEX('Product Backlog'!$A$5:$A$504,$J20)))</f>
        <v/>
      </c>
      <c r="B20" s="46" t="str">
        <f>IF($J20="","",IF(ISBLANK(INDEX('Product Backlog'!$B$5:$B$504,$J20)),"",INDEX('Product Backlog'!$B$5:$B$504,$J20)))</f>
        <v/>
      </c>
      <c r="C20" s="46" t="str">
        <f>IF($J20="","",IF(ISBLANK(INDEX('Product Backlog'!$C$5:$C$504,$J20)),"",INDEX('Product Backlog'!$C$5:$C$504,$J20)))</f>
        <v/>
      </c>
      <c r="D20" s="46" t="str">
        <f>IF($J20="","",IF(ISBLANK(INDEX('Product Backlog'!$D$5:$D$504,$J20)),"",INDEX('Product Backlog'!$D$5:$D$504,$J20)))</f>
        <v/>
      </c>
      <c r="E20" s="46" t="str">
        <f>IF($J20="","",IF(ISBLANK(INDEX('Product Backlog'!$E$5:$E$504,$J20)),"",INDEX('Product Backlog'!$E$5:$E$504,$J20)))</f>
        <v/>
      </c>
      <c r="F20" s="47" t="str">
        <f>IF($J20="","",IF(ISBLANK(INDEX('Product Backlog'!$F$5:$F$504,$J20)),"",INDEX('Product Backlog'!$F$5:$F$504,$J20)))</f>
        <v/>
      </c>
      <c r="G20" s="47" t="str">
        <f>IF($J20="","",IF(ISBLANK(INDEX('Product Backlog'!$G$5:$G$504,$J20)),"",INDEX('Product Backlog'!$G$5:$G$504,$J20)))</f>
        <v/>
      </c>
      <c r="H20" s="48" t="str">
        <f>IF($J20="","",IF(ISBLANK(INDEX('Product Backlog'!$H$5:$H$504,$J20)),"",INDEX('Product Backlog'!$H$5:$H$504,$J20)))</f>
        <v/>
      </c>
      <c r="I20" s="48" t="str">
        <f>IF($J20="","",IF(ISBLANK(INDEX('Product Backlog'!$I$5:$I$504,$J20)),"",INDEX('Product Backlog'!$I$5:$I$504,$J20)))</f>
        <v/>
      </c>
      <c r="J20" t="str">
        <f>IFERROR(MATCH($B$4&amp;"-"&amp;ROWS($A$10:A20),'Product Backlog'!$J$5:$J$504,0),"")</f>
        <v/>
      </c>
    </row>
    <row r="21" spans="1:10" ht="21" customHeight="1" x14ac:dyDescent="0.2">
      <c r="A21" s="46" t="str">
        <f>IF($J21="","",IF(ISBLANK(INDEX('Product Backlog'!$A$5:$A$504,$J21)),"",INDEX('Product Backlog'!$A$5:$A$504,$J21)))</f>
        <v/>
      </c>
      <c r="B21" s="46" t="str">
        <f>IF($J21="","",IF(ISBLANK(INDEX('Product Backlog'!$B$5:$B$504,$J21)),"",INDEX('Product Backlog'!$B$5:$B$504,$J21)))</f>
        <v/>
      </c>
      <c r="C21" s="46" t="str">
        <f>IF($J21="","",IF(ISBLANK(INDEX('Product Backlog'!$C$5:$C$504,$J21)),"",INDEX('Product Backlog'!$C$5:$C$504,$J21)))</f>
        <v/>
      </c>
      <c r="D21" s="46" t="str">
        <f>IF($J21="","",IF(ISBLANK(INDEX('Product Backlog'!$D$5:$D$504,$J21)),"",INDEX('Product Backlog'!$D$5:$D$504,$J21)))</f>
        <v/>
      </c>
      <c r="E21" s="46" t="str">
        <f>IF($J21="","",IF(ISBLANK(INDEX('Product Backlog'!$E$5:$E$504,$J21)),"",INDEX('Product Backlog'!$E$5:$E$504,$J21)))</f>
        <v/>
      </c>
      <c r="F21" s="47" t="str">
        <f>IF($J21="","",IF(ISBLANK(INDEX('Product Backlog'!$F$5:$F$504,$J21)),"",INDEX('Product Backlog'!$F$5:$F$504,$J21)))</f>
        <v/>
      </c>
      <c r="G21" s="47" t="str">
        <f>IF($J21="","",IF(ISBLANK(INDEX('Product Backlog'!$G$5:$G$504,$J21)),"",INDEX('Product Backlog'!$G$5:$G$504,$J21)))</f>
        <v/>
      </c>
      <c r="H21" s="48" t="str">
        <f>IF($J21="","",IF(ISBLANK(INDEX('Product Backlog'!$H$5:$H$504,$J21)),"",INDEX('Product Backlog'!$H$5:$H$504,$J21)))</f>
        <v/>
      </c>
      <c r="I21" s="48" t="str">
        <f>IF($J21="","",IF(ISBLANK(INDEX('Product Backlog'!$I$5:$I$504,$J21)),"",INDEX('Product Backlog'!$I$5:$I$504,$J21)))</f>
        <v/>
      </c>
      <c r="J21" t="str">
        <f>IFERROR(MATCH($B$4&amp;"-"&amp;ROWS($A$10:A21),'Product Backlog'!$J$5:$J$504,0),"")</f>
        <v/>
      </c>
    </row>
    <row r="22" spans="1:10" ht="21" customHeight="1" x14ac:dyDescent="0.2">
      <c r="A22" s="46" t="str">
        <f>IF($J22="","",IF(ISBLANK(INDEX('Product Backlog'!$A$5:$A$504,$J22)),"",INDEX('Product Backlog'!$A$5:$A$504,$J22)))</f>
        <v/>
      </c>
      <c r="B22" s="46" t="str">
        <f>IF($J22="","",IF(ISBLANK(INDEX('Product Backlog'!$B$5:$B$504,$J22)),"",INDEX('Product Backlog'!$B$5:$B$504,$J22)))</f>
        <v/>
      </c>
      <c r="C22" s="46" t="str">
        <f>IF($J22="","",IF(ISBLANK(INDEX('Product Backlog'!$C$5:$C$504,$J22)),"",INDEX('Product Backlog'!$C$5:$C$504,$J22)))</f>
        <v/>
      </c>
      <c r="D22" s="46" t="str">
        <f>IF($J22="","",IF(ISBLANK(INDEX('Product Backlog'!$D$5:$D$504,$J22)),"",INDEX('Product Backlog'!$D$5:$D$504,$J22)))</f>
        <v/>
      </c>
      <c r="E22" s="46" t="str">
        <f>IF($J22="","",IF(ISBLANK(INDEX('Product Backlog'!$E$5:$E$504,$J22)),"",INDEX('Product Backlog'!$E$5:$E$504,$J22)))</f>
        <v/>
      </c>
      <c r="F22" s="47" t="str">
        <f>IF($J22="","",IF(ISBLANK(INDEX('Product Backlog'!$F$5:$F$504,$J22)),"",INDEX('Product Backlog'!$F$5:$F$504,$J22)))</f>
        <v/>
      </c>
      <c r="G22" s="47" t="str">
        <f>IF($J22="","",IF(ISBLANK(INDEX('Product Backlog'!$G$5:$G$504,$J22)),"",INDEX('Product Backlog'!$G$5:$G$504,$J22)))</f>
        <v/>
      </c>
      <c r="H22" s="48" t="str">
        <f>IF($J22="","",IF(ISBLANK(INDEX('Product Backlog'!$H$5:$H$504,$J22)),"",INDEX('Product Backlog'!$H$5:$H$504,$J22)))</f>
        <v/>
      </c>
      <c r="I22" s="48" t="str">
        <f>IF($J22="","",IF(ISBLANK(INDEX('Product Backlog'!$I$5:$I$504,$J22)),"",INDEX('Product Backlog'!$I$5:$I$504,$J22)))</f>
        <v/>
      </c>
      <c r="J22" t="str">
        <f>IFERROR(MATCH($B$4&amp;"-"&amp;ROWS($A$10:A22),'Product Backlog'!$J$5:$J$504,0),"")</f>
        <v/>
      </c>
    </row>
    <row r="23" spans="1:10" ht="21" customHeight="1" x14ac:dyDescent="0.2">
      <c r="A23" s="46" t="str">
        <f>IF($J23="","",IF(ISBLANK(INDEX('Product Backlog'!$A$5:$A$504,$J23)),"",INDEX('Product Backlog'!$A$5:$A$504,$J23)))</f>
        <v/>
      </c>
      <c r="B23" s="46" t="str">
        <f>IF($J23="","",IF(ISBLANK(INDEX('Product Backlog'!$B$5:$B$504,$J23)),"",INDEX('Product Backlog'!$B$5:$B$504,$J23)))</f>
        <v/>
      </c>
      <c r="C23" s="46" t="str">
        <f>IF($J23="","",IF(ISBLANK(INDEX('Product Backlog'!$C$5:$C$504,$J23)),"",INDEX('Product Backlog'!$C$5:$C$504,$J23)))</f>
        <v/>
      </c>
      <c r="D23" s="46" t="str">
        <f>IF($J23="","",IF(ISBLANK(INDEX('Product Backlog'!$D$5:$D$504,$J23)),"",INDEX('Product Backlog'!$D$5:$D$504,$J23)))</f>
        <v/>
      </c>
      <c r="E23" s="46" t="str">
        <f>IF($J23="","",IF(ISBLANK(INDEX('Product Backlog'!$E$5:$E$504,$J23)),"",INDEX('Product Backlog'!$E$5:$E$504,$J23)))</f>
        <v/>
      </c>
      <c r="F23" s="47" t="str">
        <f>IF($J23="","",IF(ISBLANK(INDEX('Product Backlog'!$F$5:$F$504,$J23)),"",INDEX('Product Backlog'!$F$5:$F$504,$J23)))</f>
        <v/>
      </c>
      <c r="G23" s="47" t="str">
        <f>IF($J23="","",IF(ISBLANK(INDEX('Product Backlog'!$G$5:$G$504,$J23)),"",INDEX('Product Backlog'!$G$5:$G$504,$J23)))</f>
        <v/>
      </c>
      <c r="H23" s="48" t="str">
        <f>IF($J23="","",IF(ISBLANK(INDEX('Product Backlog'!$H$5:$H$504,$J23)),"",INDEX('Product Backlog'!$H$5:$H$504,$J23)))</f>
        <v/>
      </c>
      <c r="I23" s="48" t="str">
        <f>IF($J23="","",IF(ISBLANK(INDEX('Product Backlog'!$I$5:$I$504,$J23)),"",INDEX('Product Backlog'!$I$5:$I$504,$J23)))</f>
        <v/>
      </c>
      <c r="J23" t="str">
        <f>IFERROR(MATCH($B$4&amp;"-"&amp;ROWS($A$10:A23),'Product Backlog'!$J$5:$J$504,0),"")</f>
        <v/>
      </c>
    </row>
    <row r="24" spans="1:10" ht="21" customHeight="1" x14ac:dyDescent="0.2">
      <c r="A24" s="46" t="str">
        <f>IF($J24="","",IF(ISBLANK(INDEX('Product Backlog'!$A$5:$A$504,$J24)),"",INDEX('Product Backlog'!$A$5:$A$504,$J24)))</f>
        <v/>
      </c>
      <c r="B24" s="46" t="str">
        <f>IF($J24="","",IF(ISBLANK(INDEX('Product Backlog'!$B$5:$B$504,$J24)),"",INDEX('Product Backlog'!$B$5:$B$504,$J24)))</f>
        <v/>
      </c>
      <c r="C24" s="46" t="str">
        <f>IF($J24="","",IF(ISBLANK(INDEX('Product Backlog'!$C$5:$C$504,$J24)),"",INDEX('Product Backlog'!$C$5:$C$504,$J24)))</f>
        <v/>
      </c>
      <c r="D24" s="46" t="str">
        <f>IF($J24="","",IF(ISBLANK(INDEX('Product Backlog'!$D$5:$D$504,$J24)),"",INDEX('Product Backlog'!$D$5:$D$504,$J24)))</f>
        <v/>
      </c>
      <c r="E24" s="46" t="str">
        <f>IF($J24="","",IF(ISBLANK(INDEX('Product Backlog'!$E$5:$E$504,$J24)),"",INDEX('Product Backlog'!$E$5:$E$504,$J24)))</f>
        <v/>
      </c>
      <c r="F24" s="47" t="str">
        <f>IF($J24="","",IF(ISBLANK(INDEX('Product Backlog'!$F$5:$F$504,$J24)),"",INDEX('Product Backlog'!$F$5:$F$504,$J24)))</f>
        <v/>
      </c>
      <c r="G24" s="47" t="str">
        <f>IF($J24="","",IF(ISBLANK(INDEX('Product Backlog'!$G$5:$G$504,$J24)),"",INDEX('Product Backlog'!$G$5:$G$504,$J24)))</f>
        <v/>
      </c>
      <c r="H24" s="48" t="str">
        <f>IF($J24="","",IF(ISBLANK(INDEX('Product Backlog'!$H$5:$H$504,$J24)),"",INDEX('Product Backlog'!$H$5:$H$504,$J24)))</f>
        <v/>
      </c>
      <c r="I24" s="48" t="str">
        <f>IF($J24="","",IF(ISBLANK(INDEX('Product Backlog'!$I$5:$I$504,$J24)),"",INDEX('Product Backlog'!$I$5:$I$504,$J24)))</f>
        <v/>
      </c>
      <c r="J24" t="str">
        <f>IFERROR(MATCH($B$4&amp;"-"&amp;ROWS($A$10:A24),'Product Backlog'!$J$5:$J$504,0),"")</f>
        <v/>
      </c>
    </row>
    <row r="25" spans="1:10" ht="21" customHeight="1" x14ac:dyDescent="0.2">
      <c r="A25" s="46" t="str">
        <f>IF($J25="","",IF(ISBLANK(INDEX('Product Backlog'!$A$5:$A$504,$J25)),"",INDEX('Product Backlog'!$A$5:$A$504,$J25)))</f>
        <v/>
      </c>
      <c r="B25" s="46" t="str">
        <f>IF($J25="","",IF(ISBLANK(INDEX('Product Backlog'!$B$5:$B$504,$J25)),"",INDEX('Product Backlog'!$B$5:$B$504,$J25)))</f>
        <v/>
      </c>
      <c r="C25" s="46" t="str">
        <f>IF($J25="","",IF(ISBLANK(INDEX('Product Backlog'!$C$5:$C$504,$J25)),"",INDEX('Product Backlog'!$C$5:$C$504,$J25)))</f>
        <v/>
      </c>
      <c r="D25" s="46" t="str">
        <f>IF($J25="","",IF(ISBLANK(INDEX('Product Backlog'!$D$5:$D$504,$J25)),"",INDEX('Product Backlog'!$D$5:$D$504,$J25)))</f>
        <v/>
      </c>
      <c r="E25" s="46" t="str">
        <f>IF($J25="","",IF(ISBLANK(INDEX('Product Backlog'!$E$5:$E$504,$J25)),"",INDEX('Product Backlog'!$E$5:$E$504,$J25)))</f>
        <v/>
      </c>
      <c r="F25" s="47" t="str">
        <f>IF($J25="","",IF(ISBLANK(INDEX('Product Backlog'!$F$5:$F$504,$J25)),"",INDEX('Product Backlog'!$F$5:$F$504,$J25)))</f>
        <v/>
      </c>
      <c r="G25" s="47" t="str">
        <f>IF($J25="","",IF(ISBLANK(INDEX('Product Backlog'!$G$5:$G$504,$J25)),"",INDEX('Product Backlog'!$G$5:$G$504,$J25)))</f>
        <v/>
      </c>
      <c r="H25" s="48" t="str">
        <f>IF($J25="","",IF(ISBLANK(INDEX('Product Backlog'!$H$5:$H$504,$J25)),"",INDEX('Product Backlog'!$H$5:$H$504,$J25)))</f>
        <v/>
      </c>
      <c r="I25" s="48" t="str">
        <f>IF($J25="","",IF(ISBLANK(INDEX('Product Backlog'!$I$5:$I$504,$J25)),"",INDEX('Product Backlog'!$I$5:$I$504,$J25)))</f>
        <v/>
      </c>
      <c r="J25" t="str">
        <f>IFERROR(MATCH($B$4&amp;"-"&amp;ROWS($A$10:A25),'Product Backlog'!$J$5:$J$504,0),"")</f>
        <v/>
      </c>
    </row>
    <row r="26" spans="1:10" ht="21" customHeight="1" x14ac:dyDescent="0.2">
      <c r="A26" s="46" t="str">
        <f>IF($J26="","",IF(ISBLANK(INDEX('Product Backlog'!$A$5:$A$504,$J26)),"",INDEX('Product Backlog'!$A$5:$A$504,$J26)))</f>
        <v/>
      </c>
      <c r="B26" s="46" t="str">
        <f>IF($J26="","",IF(ISBLANK(INDEX('Product Backlog'!$B$5:$B$504,$J26)),"",INDEX('Product Backlog'!$B$5:$B$504,$J26)))</f>
        <v/>
      </c>
      <c r="C26" s="46" t="str">
        <f>IF($J26="","",IF(ISBLANK(INDEX('Product Backlog'!$C$5:$C$504,$J26)),"",INDEX('Product Backlog'!$C$5:$C$504,$J26)))</f>
        <v/>
      </c>
      <c r="D26" s="46" t="str">
        <f>IF($J26="","",IF(ISBLANK(INDEX('Product Backlog'!$D$5:$D$504,$J26)),"",INDEX('Product Backlog'!$D$5:$D$504,$J26)))</f>
        <v/>
      </c>
      <c r="E26" s="46" t="str">
        <f>IF($J26="","",IF(ISBLANK(INDEX('Product Backlog'!$E$5:$E$504,$J26)),"",INDEX('Product Backlog'!$E$5:$E$504,$J26)))</f>
        <v/>
      </c>
      <c r="F26" s="47" t="str">
        <f>IF($J26="","",IF(ISBLANK(INDEX('Product Backlog'!$F$5:$F$504,$J26)),"",INDEX('Product Backlog'!$F$5:$F$504,$J26)))</f>
        <v/>
      </c>
      <c r="G26" s="47" t="str">
        <f>IF($J26="","",IF(ISBLANK(INDEX('Product Backlog'!$G$5:$G$504,$J26)),"",INDEX('Product Backlog'!$G$5:$G$504,$J26)))</f>
        <v/>
      </c>
      <c r="H26" s="48" t="str">
        <f>IF($J26="","",IF(ISBLANK(INDEX('Product Backlog'!$H$5:$H$504,$J26)),"",INDEX('Product Backlog'!$H$5:$H$504,$J26)))</f>
        <v/>
      </c>
      <c r="I26" s="48" t="str">
        <f>IF($J26="","",IF(ISBLANK(INDEX('Product Backlog'!$I$5:$I$504,$J26)),"",INDEX('Product Backlog'!$I$5:$I$504,$J26)))</f>
        <v/>
      </c>
      <c r="J26" t="str">
        <f>IFERROR(MATCH($B$4&amp;"-"&amp;ROWS($A$10:A26),'Product Backlog'!$J$5:$J$504,0),"")</f>
        <v/>
      </c>
    </row>
    <row r="27" spans="1:10" ht="21" customHeight="1" x14ac:dyDescent="0.2">
      <c r="A27" s="46" t="str">
        <f>IF($J27="","",IF(ISBLANK(INDEX('Product Backlog'!$A$5:$A$504,$J27)),"",INDEX('Product Backlog'!$A$5:$A$504,$J27)))</f>
        <v/>
      </c>
      <c r="B27" s="46" t="str">
        <f>IF($J27="","",IF(ISBLANK(INDEX('Product Backlog'!$B$5:$B$504,$J27)),"",INDEX('Product Backlog'!$B$5:$B$504,$J27)))</f>
        <v/>
      </c>
      <c r="C27" s="46" t="str">
        <f>IF($J27="","",IF(ISBLANK(INDEX('Product Backlog'!$C$5:$C$504,$J27)),"",INDEX('Product Backlog'!$C$5:$C$504,$J27)))</f>
        <v/>
      </c>
      <c r="D27" s="46" t="str">
        <f>IF($J27="","",IF(ISBLANK(INDEX('Product Backlog'!$D$5:$D$504,$J27)),"",INDEX('Product Backlog'!$D$5:$D$504,$J27)))</f>
        <v/>
      </c>
      <c r="E27" s="46" t="str">
        <f>IF($J27="","",IF(ISBLANK(INDEX('Product Backlog'!$E$5:$E$504,$J27)),"",INDEX('Product Backlog'!$E$5:$E$504,$J27)))</f>
        <v/>
      </c>
      <c r="F27" s="47" t="str">
        <f>IF($J27="","",IF(ISBLANK(INDEX('Product Backlog'!$F$5:$F$504,$J27)),"",INDEX('Product Backlog'!$F$5:$F$504,$J27)))</f>
        <v/>
      </c>
      <c r="G27" s="47" t="str">
        <f>IF($J27="","",IF(ISBLANK(INDEX('Product Backlog'!$G$5:$G$504,$J27)),"",INDEX('Product Backlog'!$G$5:$G$504,$J27)))</f>
        <v/>
      </c>
      <c r="H27" s="48" t="str">
        <f>IF($J27="","",IF(ISBLANK(INDEX('Product Backlog'!$H$5:$H$504,$J27)),"",INDEX('Product Backlog'!$H$5:$H$504,$J27)))</f>
        <v/>
      </c>
      <c r="I27" s="48" t="str">
        <f>IF($J27="","",IF(ISBLANK(INDEX('Product Backlog'!$I$5:$I$504,$J27)),"",INDEX('Product Backlog'!$I$5:$I$504,$J27)))</f>
        <v/>
      </c>
      <c r="J27" t="str">
        <f>IFERROR(MATCH($B$4&amp;"-"&amp;ROWS($A$10:A27),'Product Backlog'!$J$5:$J$504,0),"")</f>
        <v/>
      </c>
    </row>
    <row r="28" spans="1:10" ht="21" customHeight="1" x14ac:dyDescent="0.2">
      <c r="A28" s="46" t="str">
        <f>IF($J28="","",IF(ISBLANK(INDEX('Product Backlog'!$A$5:$A$504,$J28)),"",INDEX('Product Backlog'!$A$5:$A$504,$J28)))</f>
        <v/>
      </c>
      <c r="B28" s="46" t="str">
        <f>IF($J28="","",IF(ISBLANK(INDEX('Product Backlog'!$B$5:$B$504,$J28)),"",INDEX('Product Backlog'!$B$5:$B$504,$J28)))</f>
        <v/>
      </c>
      <c r="C28" s="46" t="str">
        <f>IF($J28="","",IF(ISBLANK(INDEX('Product Backlog'!$C$5:$C$504,$J28)),"",INDEX('Product Backlog'!$C$5:$C$504,$J28)))</f>
        <v/>
      </c>
      <c r="D28" s="46" t="str">
        <f>IF($J28="","",IF(ISBLANK(INDEX('Product Backlog'!$D$5:$D$504,$J28)),"",INDEX('Product Backlog'!$D$5:$D$504,$J28)))</f>
        <v/>
      </c>
      <c r="E28" s="46" t="str">
        <f>IF($J28="","",IF(ISBLANK(INDEX('Product Backlog'!$E$5:$E$504,$J28)),"",INDEX('Product Backlog'!$E$5:$E$504,$J28)))</f>
        <v/>
      </c>
      <c r="F28" s="47" t="str">
        <f>IF($J28="","",IF(ISBLANK(INDEX('Product Backlog'!$F$5:$F$504,$J28)),"",INDEX('Product Backlog'!$F$5:$F$504,$J28)))</f>
        <v/>
      </c>
      <c r="G28" s="47" t="str">
        <f>IF($J28="","",IF(ISBLANK(INDEX('Product Backlog'!$G$5:$G$504,$J28)),"",INDEX('Product Backlog'!$G$5:$G$504,$J28)))</f>
        <v/>
      </c>
      <c r="H28" s="48" t="str">
        <f>IF($J28="","",IF(ISBLANK(INDEX('Product Backlog'!$H$5:$H$504,$J28)),"",INDEX('Product Backlog'!$H$5:$H$504,$J28)))</f>
        <v/>
      </c>
      <c r="I28" s="48" t="str">
        <f>IF($J28="","",IF(ISBLANK(INDEX('Product Backlog'!$I$5:$I$504,$J28)),"",INDEX('Product Backlog'!$I$5:$I$504,$J28)))</f>
        <v/>
      </c>
      <c r="J28" t="str">
        <f>IFERROR(MATCH($B$4&amp;"-"&amp;ROWS($A$10:A28),'Product Backlog'!$J$5:$J$504,0),"")</f>
        <v/>
      </c>
    </row>
    <row r="29" spans="1:10" ht="21" customHeight="1" x14ac:dyDescent="0.2">
      <c r="A29" s="46" t="str">
        <f>IF($J29="","",IF(ISBLANK(INDEX('Product Backlog'!$A$5:$A$504,$J29)),"",INDEX('Product Backlog'!$A$5:$A$504,$J29)))</f>
        <v/>
      </c>
      <c r="B29" s="46" t="str">
        <f>IF($J29="","",IF(ISBLANK(INDEX('Product Backlog'!$B$5:$B$504,$J29)),"",INDEX('Product Backlog'!$B$5:$B$504,$J29)))</f>
        <v/>
      </c>
      <c r="C29" s="46" t="str">
        <f>IF($J29="","",IF(ISBLANK(INDEX('Product Backlog'!$C$5:$C$504,$J29)),"",INDEX('Product Backlog'!$C$5:$C$504,$J29)))</f>
        <v/>
      </c>
      <c r="D29" s="46" t="str">
        <f>IF($J29="","",IF(ISBLANK(INDEX('Product Backlog'!$D$5:$D$504,$J29)),"",INDEX('Product Backlog'!$D$5:$D$504,$J29)))</f>
        <v/>
      </c>
      <c r="E29" s="46" t="str">
        <f>IF($J29="","",IF(ISBLANK(INDEX('Product Backlog'!$E$5:$E$504,$J29)),"",INDEX('Product Backlog'!$E$5:$E$504,$J29)))</f>
        <v/>
      </c>
      <c r="F29" s="47" t="str">
        <f>IF($J29="","",IF(ISBLANK(INDEX('Product Backlog'!$F$5:$F$504,$J29)),"",INDEX('Product Backlog'!$F$5:$F$504,$J29)))</f>
        <v/>
      </c>
      <c r="G29" s="47" t="str">
        <f>IF($J29="","",IF(ISBLANK(INDEX('Product Backlog'!$G$5:$G$504,$J29)),"",INDEX('Product Backlog'!$G$5:$G$504,$J29)))</f>
        <v/>
      </c>
      <c r="H29" s="48" t="str">
        <f>IF($J29="","",IF(ISBLANK(INDEX('Product Backlog'!$H$5:$H$504,$J29)),"",INDEX('Product Backlog'!$H$5:$H$504,$J29)))</f>
        <v/>
      </c>
      <c r="I29" s="48" t="str">
        <f>IF($J29="","",IF(ISBLANK(INDEX('Product Backlog'!$I$5:$I$504,$J29)),"",INDEX('Product Backlog'!$I$5:$I$504,$J29)))</f>
        <v/>
      </c>
      <c r="J29" t="str">
        <f>IFERROR(MATCH($B$4&amp;"-"&amp;ROWS($A$10:A29),'Product Backlog'!$J$5:$J$504,0),"")</f>
        <v/>
      </c>
    </row>
    <row r="30" spans="1:10" ht="21" customHeight="1" x14ac:dyDescent="0.2">
      <c r="A30" s="46" t="str">
        <f>IF($J30="","",IF(ISBLANK(INDEX('Product Backlog'!$A$5:$A$504,$J30)),"",INDEX('Product Backlog'!$A$5:$A$504,$J30)))</f>
        <v/>
      </c>
      <c r="B30" s="46" t="str">
        <f>IF($J30="","",IF(ISBLANK(INDEX('Product Backlog'!$B$5:$B$504,$J30)),"",INDEX('Product Backlog'!$B$5:$B$504,$J30)))</f>
        <v/>
      </c>
      <c r="C30" s="46" t="str">
        <f>IF($J30="","",IF(ISBLANK(INDEX('Product Backlog'!$C$5:$C$504,$J30)),"",INDEX('Product Backlog'!$C$5:$C$504,$J30)))</f>
        <v/>
      </c>
      <c r="D30" s="46" t="str">
        <f>IF($J30="","",IF(ISBLANK(INDEX('Product Backlog'!$D$5:$D$504,$J30)),"",INDEX('Product Backlog'!$D$5:$D$504,$J30)))</f>
        <v/>
      </c>
      <c r="E30" s="46" t="str">
        <f>IF($J30="","",IF(ISBLANK(INDEX('Product Backlog'!$E$5:$E$504,$J30)),"",INDEX('Product Backlog'!$E$5:$E$504,$J30)))</f>
        <v/>
      </c>
      <c r="F30" s="47" t="str">
        <f>IF($J30="","",IF(ISBLANK(INDEX('Product Backlog'!$F$5:$F$504,$J30)),"",INDEX('Product Backlog'!$F$5:$F$504,$J30)))</f>
        <v/>
      </c>
      <c r="G30" s="47" t="str">
        <f>IF($J30="","",IF(ISBLANK(INDEX('Product Backlog'!$G$5:$G$504,$J30)),"",INDEX('Product Backlog'!$G$5:$G$504,$J30)))</f>
        <v/>
      </c>
      <c r="H30" s="48" t="str">
        <f>IF($J30="","",IF(ISBLANK(INDEX('Product Backlog'!$H$5:$H$504,$J30)),"",INDEX('Product Backlog'!$H$5:$H$504,$J30)))</f>
        <v/>
      </c>
      <c r="I30" s="48" t="str">
        <f>IF($J30="","",IF(ISBLANK(INDEX('Product Backlog'!$I$5:$I$504,$J30)),"",INDEX('Product Backlog'!$I$5:$I$504,$J30)))</f>
        <v/>
      </c>
      <c r="J30" t="str">
        <f>IFERROR(MATCH($B$4&amp;"-"&amp;ROWS($A$10:A30),'Product Backlog'!$J$5:$J$504,0),"")</f>
        <v/>
      </c>
    </row>
    <row r="31" spans="1:10" ht="21" customHeight="1" x14ac:dyDescent="0.2">
      <c r="A31" s="46" t="str">
        <f>IF($J31="","",IF(ISBLANK(INDEX('Product Backlog'!$A$5:$A$504,$J31)),"",INDEX('Product Backlog'!$A$5:$A$504,$J31)))</f>
        <v/>
      </c>
      <c r="B31" s="46" t="str">
        <f>IF($J31="","",IF(ISBLANK(INDEX('Product Backlog'!$B$5:$B$504,$J31)),"",INDEX('Product Backlog'!$B$5:$B$504,$J31)))</f>
        <v/>
      </c>
      <c r="C31" s="46" t="str">
        <f>IF($J31="","",IF(ISBLANK(INDEX('Product Backlog'!$C$5:$C$504,$J31)),"",INDEX('Product Backlog'!$C$5:$C$504,$J31)))</f>
        <v/>
      </c>
      <c r="D31" s="46" t="str">
        <f>IF($J31="","",IF(ISBLANK(INDEX('Product Backlog'!$D$5:$D$504,$J31)),"",INDEX('Product Backlog'!$D$5:$D$504,$J31)))</f>
        <v/>
      </c>
      <c r="E31" s="46" t="str">
        <f>IF($J31="","",IF(ISBLANK(INDEX('Product Backlog'!$E$5:$E$504,$J31)),"",INDEX('Product Backlog'!$E$5:$E$504,$J31)))</f>
        <v/>
      </c>
      <c r="F31" s="47" t="str">
        <f>IF($J31="","",IF(ISBLANK(INDEX('Product Backlog'!$F$5:$F$504,$J31)),"",INDEX('Product Backlog'!$F$5:$F$504,$J31)))</f>
        <v/>
      </c>
      <c r="G31" s="47" t="str">
        <f>IF($J31="","",IF(ISBLANK(INDEX('Product Backlog'!$G$5:$G$504,$J31)),"",INDEX('Product Backlog'!$G$5:$G$504,$J31)))</f>
        <v/>
      </c>
      <c r="H31" s="48" t="str">
        <f>IF($J31="","",IF(ISBLANK(INDEX('Product Backlog'!$H$5:$H$504,$J31)),"",INDEX('Product Backlog'!$H$5:$H$504,$J31)))</f>
        <v/>
      </c>
      <c r="I31" s="48" t="str">
        <f>IF($J31="","",IF(ISBLANK(INDEX('Product Backlog'!$I$5:$I$504,$J31)),"",INDEX('Product Backlog'!$I$5:$I$504,$J31)))</f>
        <v/>
      </c>
      <c r="J31" t="str">
        <f>IFERROR(MATCH($B$4&amp;"-"&amp;ROWS($A$10:A31),'Product Backlog'!$J$5:$J$504,0),"")</f>
        <v/>
      </c>
    </row>
    <row r="32" spans="1:10" ht="21" customHeight="1" x14ac:dyDescent="0.2">
      <c r="A32" s="46" t="str">
        <f>IF($J32="","",IF(ISBLANK(INDEX('Product Backlog'!$A$5:$A$504,$J32)),"",INDEX('Product Backlog'!$A$5:$A$504,$J32)))</f>
        <v/>
      </c>
      <c r="B32" s="46" t="str">
        <f>IF($J32="","",IF(ISBLANK(INDEX('Product Backlog'!$B$5:$B$504,$J32)),"",INDEX('Product Backlog'!$B$5:$B$504,$J32)))</f>
        <v/>
      </c>
      <c r="C32" s="46" t="str">
        <f>IF($J32="","",IF(ISBLANK(INDEX('Product Backlog'!$C$5:$C$504,$J32)),"",INDEX('Product Backlog'!$C$5:$C$504,$J32)))</f>
        <v/>
      </c>
      <c r="D32" s="46" t="str">
        <f>IF($J32="","",IF(ISBLANK(INDEX('Product Backlog'!$D$5:$D$504,$J32)),"",INDEX('Product Backlog'!$D$5:$D$504,$J32)))</f>
        <v/>
      </c>
      <c r="E32" s="46" t="str">
        <f>IF($J32="","",IF(ISBLANK(INDEX('Product Backlog'!$E$5:$E$504,$J32)),"",INDEX('Product Backlog'!$E$5:$E$504,$J32)))</f>
        <v/>
      </c>
      <c r="F32" s="47" t="str">
        <f>IF($J32="","",IF(ISBLANK(INDEX('Product Backlog'!$F$5:$F$504,$J32)),"",INDEX('Product Backlog'!$F$5:$F$504,$J32)))</f>
        <v/>
      </c>
      <c r="G32" s="47" t="str">
        <f>IF($J32="","",IF(ISBLANK(INDEX('Product Backlog'!$G$5:$G$504,$J32)),"",INDEX('Product Backlog'!$G$5:$G$504,$J32)))</f>
        <v/>
      </c>
      <c r="H32" s="48" t="str">
        <f>IF($J32="","",IF(ISBLANK(INDEX('Product Backlog'!$H$5:$H$504,$J32)),"",INDEX('Product Backlog'!$H$5:$H$504,$J32)))</f>
        <v/>
      </c>
      <c r="I32" s="48" t="str">
        <f>IF($J32="","",IF(ISBLANK(INDEX('Product Backlog'!$I$5:$I$504,$J32)),"",INDEX('Product Backlog'!$I$5:$I$504,$J32)))</f>
        <v/>
      </c>
      <c r="J32" t="str">
        <f>IFERROR(MATCH($B$4&amp;"-"&amp;ROWS($A$10:A32),'Product Backlog'!$J$5:$J$504,0),"")</f>
        <v/>
      </c>
    </row>
    <row r="33" spans="1:10" ht="21" customHeight="1" x14ac:dyDescent="0.2">
      <c r="A33" s="46" t="str">
        <f>IF($J33="","",IF(ISBLANK(INDEX('Product Backlog'!$A$5:$A$504,$J33)),"",INDEX('Product Backlog'!$A$5:$A$504,$J33)))</f>
        <v/>
      </c>
      <c r="B33" s="46" t="str">
        <f>IF($J33="","",IF(ISBLANK(INDEX('Product Backlog'!$B$5:$B$504,$J33)),"",INDEX('Product Backlog'!$B$5:$B$504,$J33)))</f>
        <v/>
      </c>
      <c r="C33" s="46" t="str">
        <f>IF($J33="","",IF(ISBLANK(INDEX('Product Backlog'!$C$5:$C$504,$J33)),"",INDEX('Product Backlog'!$C$5:$C$504,$J33)))</f>
        <v/>
      </c>
      <c r="D33" s="46" t="str">
        <f>IF($J33="","",IF(ISBLANK(INDEX('Product Backlog'!$D$5:$D$504,$J33)),"",INDEX('Product Backlog'!$D$5:$D$504,$J33)))</f>
        <v/>
      </c>
      <c r="E33" s="46" t="str">
        <f>IF($J33="","",IF(ISBLANK(INDEX('Product Backlog'!$E$5:$E$504,$J33)),"",INDEX('Product Backlog'!$E$5:$E$504,$J33)))</f>
        <v/>
      </c>
      <c r="F33" s="47" t="str">
        <f>IF($J33="","",IF(ISBLANK(INDEX('Product Backlog'!$F$5:$F$504,$J33)),"",INDEX('Product Backlog'!$F$5:$F$504,$J33)))</f>
        <v/>
      </c>
      <c r="G33" s="47" t="str">
        <f>IF($J33="","",IF(ISBLANK(INDEX('Product Backlog'!$G$5:$G$504,$J33)),"",INDEX('Product Backlog'!$G$5:$G$504,$J33)))</f>
        <v/>
      </c>
      <c r="H33" s="48" t="str">
        <f>IF($J33="","",IF(ISBLANK(INDEX('Product Backlog'!$H$5:$H$504,$J33)),"",INDEX('Product Backlog'!$H$5:$H$504,$J33)))</f>
        <v/>
      </c>
      <c r="I33" s="48" t="str">
        <f>IF($J33="","",IF(ISBLANK(INDEX('Product Backlog'!$I$5:$I$504,$J33)),"",INDEX('Product Backlog'!$I$5:$I$504,$J33)))</f>
        <v/>
      </c>
      <c r="J33" t="str">
        <f>IFERROR(MATCH($B$4&amp;"-"&amp;ROWS($A$10:A33),'Product Backlog'!$J$5:$J$504,0),"")</f>
        <v/>
      </c>
    </row>
    <row r="34" spans="1:10" ht="21" customHeight="1" x14ac:dyDescent="0.2">
      <c r="A34" s="46" t="str">
        <f>IF($J34="","",IF(ISBLANK(INDEX('Product Backlog'!$A$5:$A$504,$J34)),"",INDEX('Product Backlog'!$A$5:$A$504,$J34)))</f>
        <v/>
      </c>
      <c r="B34" s="46" t="str">
        <f>IF($J34="","",IF(ISBLANK(INDEX('Product Backlog'!$B$5:$B$504,$J34)),"",INDEX('Product Backlog'!$B$5:$B$504,$J34)))</f>
        <v/>
      </c>
      <c r="C34" s="46" t="str">
        <f>IF($J34="","",IF(ISBLANK(INDEX('Product Backlog'!$C$5:$C$504,$J34)),"",INDEX('Product Backlog'!$C$5:$C$504,$J34)))</f>
        <v/>
      </c>
      <c r="D34" s="46" t="str">
        <f>IF($J34="","",IF(ISBLANK(INDEX('Product Backlog'!$D$5:$D$504,$J34)),"",INDEX('Product Backlog'!$D$5:$D$504,$J34)))</f>
        <v/>
      </c>
      <c r="E34" s="46" t="str">
        <f>IF($J34="","",IF(ISBLANK(INDEX('Product Backlog'!$E$5:$E$504,$J34)),"",INDEX('Product Backlog'!$E$5:$E$504,$J34)))</f>
        <v/>
      </c>
      <c r="F34" s="47" t="str">
        <f>IF($J34="","",IF(ISBLANK(INDEX('Product Backlog'!$F$5:$F$504,$J34)),"",INDEX('Product Backlog'!$F$5:$F$504,$J34)))</f>
        <v/>
      </c>
      <c r="G34" s="47" t="str">
        <f>IF($J34="","",IF(ISBLANK(INDEX('Product Backlog'!$G$5:$G$504,$J34)),"",INDEX('Product Backlog'!$G$5:$G$504,$J34)))</f>
        <v/>
      </c>
      <c r="H34" s="48" t="str">
        <f>IF($J34="","",IF(ISBLANK(INDEX('Product Backlog'!$H$5:$H$504,$J34)),"",INDEX('Product Backlog'!$H$5:$H$504,$J34)))</f>
        <v/>
      </c>
      <c r="I34" s="48" t="str">
        <f>IF($J34="","",IF(ISBLANK(INDEX('Product Backlog'!$I$5:$I$504,$J34)),"",INDEX('Product Backlog'!$I$5:$I$504,$J34)))</f>
        <v/>
      </c>
      <c r="J34" t="str">
        <f>IFERROR(MATCH($B$4&amp;"-"&amp;ROWS($A$10:A34),'Product Backlog'!$J$5:$J$504,0),"")</f>
        <v/>
      </c>
    </row>
    <row r="35" spans="1:10" ht="21" customHeight="1" x14ac:dyDescent="0.2">
      <c r="A35" s="46" t="str">
        <f>IF($J35="","",IF(ISBLANK(INDEX('Product Backlog'!$A$5:$A$504,$J35)),"",INDEX('Product Backlog'!$A$5:$A$504,$J35)))</f>
        <v/>
      </c>
      <c r="B35" s="46" t="str">
        <f>IF($J35="","",IF(ISBLANK(INDEX('Product Backlog'!$B$5:$B$504,$J35)),"",INDEX('Product Backlog'!$B$5:$B$504,$J35)))</f>
        <v/>
      </c>
      <c r="C35" s="46" t="str">
        <f>IF($J35="","",IF(ISBLANK(INDEX('Product Backlog'!$C$5:$C$504,$J35)),"",INDEX('Product Backlog'!$C$5:$C$504,$J35)))</f>
        <v/>
      </c>
      <c r="D35" s="46" t="str">
        <f>IF($J35="","",IF(ISBLANK(INDEX('Product Backlog'!$D$5:$D$504,$J35)),"",INDEX('Product Backlog'!$D$5:$D$504,$J35)))</f>
        <v/>
      </c>
      <c r="E35" s="46" t="str">
        <f>IF($J35="","",IF(ISBLANK(INDEX('Product Backlog'!$E$5:$E$504,$J35)),"",INDEX('Product Backlog'!$E$5:$E$504,$J35)))</f>
        <v/>
      </c>
      <c r="F35" s="47" t="str">
        <f>IF($J35="","",IF(ISBLANK(INDEX('Product Backlog'!$F$5:$F$504,$J35)),"",INDEX('Product Backlog'!$F$5:$F$504,$J35)))</f>
        <v/>
      </c>
      <c r="G35" s="47" t="str">
        <f>IF($J35="","",IF(ISBLANK(INDEX('Product Backlog'!$G$5:$G$504,$J35)),"",INDEX('Product Backlog'!$G$5:$G$504,$J35)))</f>
        <v/>
      </c>
      <c r="H35" s="48" t="str">
        <f>IF($J35="","",IF(ISBLANK(INDEX('Product Backlog'!$H$5:$H$504,$J35)),"",INDEX('Product Backlog'!$H$5:$H$504,$J35)))</f>
        <v/>
      </c>
      <c r="I35" s="48" t="str">
        <f>IF($J35="","",IF(ISBLANK(INDEX('Product Backlog'!$I$5:$I$504,$J35)),"",INDEX('Product Backlog'!$I$5:$I$504,$J35)))</f>
        <v/>
      </c>
      <c r="J35" t="str">
        <f>IFERROR(MATCH($B$4&amp;"-"&amp;ROWS($A$10:A35),'Product Backlog'!$J$5:$J$504,0),"")</f>
        <v/>
      </c>
    </row>
    <row r="36" spans="1:10" ht="21" customHeight="1" x14ac:dyDescent="0.2">
      <c r="A36" s="46" t="str">
        <f>IF($J36="","",IF(ISBLANK(INDEX('Product Backlog'!$A$5:$A$504,$J36)),"",INDEX('Product Backlog'!$A$5:$A$504,$J36)))</f>
        <v/>
      </c>
      <c r="B36" s="46" t="str">
        <f>IF($J36="","",IF(ISBLANK(INDEX('Product Backlog'!$B$5:$B$504,$J36)),"",INDEX('Product Backlog'!$B$5:$B$504,$J36)))</f>
        <v/>
      </c>
      <c r="C36" s="46" t="str">
        <f>IF($J36="","",IF(ISBLANK(INDEX('Product Backlog'!$C$5:$C$504,$J36)),"",INDEX('Product Backlog'!$C$5:$C$504,$J36)))</f>
        <v/>
      </c>
      <c r="D36" s="46" t="str">
        <f>IF($J36="","",IF(ISBLANK(INDEX('Product Backlog'!$D$5:$D$504,$J36)),"",INDEX('Product Backlog'!$D$5:$D$504,$J36)))</f>
        <v/>
      </c>
      <c r="E36" s="46" t="str">
        <f>IF($J36="","",IF(ISBLANK(INDEX('Product Backlog'!$E$5:$E$504,$J36)),"",INDEX('Product Backlog'!$E$5:$E$504,$J36)))</f>
        <v/>
      </c>
      <c r="F36" s="47" t="str">
        <f>IF($J36="","",IF(ISBLANK(INDEX('Product Backlog'!$F$5:$F$504,$J36)),"",INDEX('Product Backlog'!$F$5:$F$504,$J36)))</f>
        <v/>
      </c>
      <c r="G36" s="47" t="str">
        <f>IF($J36="","",IF(ISBLANK(INDEX('Product Backlog'!$G$5:$G$504,$J36)),"",INDEX('Product Backlog'!$G$5:$G$504,$J36)))</f>
        <v/>
      </c>
      <c r="H36" s="48" t="str">
        <f>IF($J36="","",IF(ISBLANK(INDEX('Product Backlog'!$H$5:$H$504,$J36)),"",INDEX('Product Backlog'!$H$5:$H$504,$J36)))</f>
        <v/>
      </c>
      <c r="I36" s="48" t="str">
        <f>IF($J36="","",IF(ISBLANK(INDEX('Product Backlog'!$I$5:$I$504,$J36)),"",INDEX('Product Backlog'!$I$5:$I$504,$J36)))</f>
        <v/>
      </c>
      <c r="J36" t="str">
        <f>IFERROR(MATCH($B$4&amp;"-"&amp;ROWS($A$10:A36),'Product Backlog'!$J$5:$J$504,0),"")</f>
        <v/>
      </c>
    </row>
    <row r="37" spans="1:10" ht="21" customHeight="1" x14ac:dyDescent="0.2">
      <c r="A37" s="46" t="str">
        <f>IF($J37="","",IF(ISBLANK(INDEX('Product Backlog'!$A$5:$A$504,$J37)),"",INDEX('Product Backlog'!$A$5:$A$504,$J37)))</f>
        <v/>
      </c>
      <c r="B37" s="46" t="str">
        <f>IF($J37="","",IF(ISBLANK(INDEX('Product Backlog'!$B$5:$B$504,$J37)),"",INDEX('Product Backlog'!$B$5:$B$504,$J37)))</f>
        <v/>
      </c>
      <c r="C37" s="46" t="str">
        <f>IF($J37="","",IF(ISBLANK(INDEX('Product Backlog'!$C$5:$C$504,$J37)),"",INDEX('Product Backlog'!$C$5:$C$504,$J37)))</f>
        <v/>
      </c>
      <c r="D37" s="46" t="str">
        <f>IF($J37="","",IF(ISBLANK(INDEX('Product Backlog'!$D$5:$D$504,$J37)),"",INDEX('Product Backlog'!$D$5:$D$504,$J37)))</f>
        <v/>
      </c>
      <c r="E37" s="46" t="str">
        <f>IF($J37="","",IF(ISBLANK(INDEX('Product Backlog'!$E$5:$E$504,$J37)),"",INDEX('Product Backlog'!$E$5:$E$504,$J37)))</f>
        <v/>
      </c>
      <c r="F37" s="47" t="str">
        <f>IF($J37="","",IF(ISBLANK(INDEX('Product Backlog'!$F$5:$F$504,$J37)),"",INDEX('Product Backlog'!$F$5:$F$504,$J37)))</f>
        <v/>
      </c>
      <c r="G37" s="47" t="str">
        <f>IF($J37="","",IF(ISBLANK(INDEX('Product Backlog'!$G$5:$G$504,$J37)),"",INDEX('Product Backlog'!$G$5:$G$504,$J37)))</f>
        <v/>
      </c>
      <c r="H37" s="48" t="str">
        <f>IF($J37="","",IF(ISBLANK(INDEX('Product Backlog'!$H$5:$H$504,$J37)),"",INDEX('Product Backlog'!$H$5:$H$504,$J37)))</f>
        <v/>
      </c>
      <c r="I37" s="48" t="str">
        <f>IF($J37="","",IF(ISBLANK(INDEX('Product Backlog'!$I$5:$I$504,$J37)),"",INDEX('Product Backlog'!$I$5:$I$504,$J37)))</f>
        <v/>
      </c>
      <c r="J37" t="str">
        <f>IFERROR(MATCH($B$4&amp;"-"&amp;ROWS($A$10:A37),'Product Backlog'!$J$5:$J$504,0),"")</f>
        <v/>
      </c>
    </row>
    <row r="38" spans="1:10" ht="21" customHeight="1" x14ac:dyDescent="0.2">
      <c r="A38" s="46" t="str">
        <f>IF($J38="","",IF(ISBLANK(INDEX('Product Backlog'!$A$5:$A$504,$J38)),"",INDEX('Product Backlog'!$A$5:$A$504,$J38)))</f>
        <v/>
      </c>
      <c r="B38" s="46" t="str">
        <f>IF($J38="","",IF(ISBLANK(INDEX('Product Backlog'!$B$5:$B$504,$J38)),"",INDEX('Product Backlog'!$B$5:$B$504,$J38)))</f>
        <v/>
      </c>
      <c r="C38" s="46" t="str">
        <f>IF($J38="","",IF(ISBLANK(INDEX('Product Backlog'!$C$5:$C$504,$J38)),"",INDEX('Product Backlog'!$C$5:$C$504,$J38)))</f>
        <v/>
      </c>
      <c r="D38" s="46" t="str">
        <f>IF($J38="","",IF(ISBLANK(INDEX('Product Backlog'!$D$5:$D$504,$J38)),"",INDEX('Product Backlog'!$D$5:$D$504,$J38)))</f>
        <v/>
      </c>
      <c r="E38" s="46" t="str">
        <f>IF($J38="","",IF(ISBLANK(INDEX('Product Backlog'!$E$5:$E$504,$J38)),"",INDEX('Product Backlog'!$E$5:$E$504,$J38)))</f>
        <v/>
      </c>
      <c r="F38" s="47" t="str">
        <f>IF($J38="","",IF(ISBLANK(INDEX('Product Backlog'!$F$5:$F$504,$J38)),"",INDEX('Product Backlog'!$F$5:$F$504,$J38)))</f>
        <v/>
      </c>
      <c r="G38" s="47" t="str">
        <f>IF($J38="","",IF(ISBLANK(INDEX('Product Backlog'!$G$5:$G$504,$J38)),"",INDEX('Product Backlog'!$G$5:$G$504,$J38)))</f>
        <v/>
      </c>
      <c r="H38" s="48" t="str">
        <f>IF($J38="","",IF(ISBLANK(INDEX('Product Backlog'!$H$5:$H$504,$J38)),"",INDEX('Product Backlog'!$H$5:$H$504,$J38)))</f>
        <v/>
      </c>
      <c r="I38" s="48" t="str">
        <f>IF($J38="","",IF(ISBLANK(INDEX('Product Backlog'!$I$5:$I$504,$J38)),"",INDEX('Product Backlog'!$I$5:$I$504,$J38)))</f>
        <v/>
      </c>
      <c r="J38" t="str">
        <f>IFERROR(MATCH($B$4&amp;"-"&amp;ROWS($A$10:A38),'Product Backlog'!$J$5:$J$504,0),"")</f>
        <v/>
      </c>
    </row>
    <row r="39" spans="1:10" ht="21" customHeight="1" x14ac:dyDescent="0.2">
      <c r="A39" s="46" t="str">
        <f>IF($J39="","",IF(ISBLANK(INDEX('Product Backlog'!$A$5:$A$504,$J39)),"",INDEX('Product Backlog'!$A$5:$A$504,$J39)))</f>
        <v/>
      </c>
      <c r="B39" s="46" t="str">
        <f>IF($J39="","",IF(ISBLANK(INDEX('Product Backlog'!$B$5:$B$504,$J39)),"",INDEX('Product Backlog'!$B$5:$B$504,$J39)))</f>
        <v/>
      </c>
      <c r="C39" s="46" t="str">
        <f>IF($J39="","",IF(ISBLANK(INDEX('Product Backlog'!$C$5:$C$504,$J39)),"",INDEX('Product Backlog'!$C$5:$C$504,$J39)))</f>
        <v/>
      </c>
      <c r="D39" s="46" t="str">
        <f>IF($J39="","",IF(ISBLANK(INDEX('Product Backlog'!$D$5:$D$504,$J39)),"",INDEX('Product Backlog'!$D$5:$D$504,$J39)))</f>
        <v/>
      </c>
      <c r="E39" s="46" t="str">
        <f>IF($J39="","",IF(ISBLANK(INDEX('Product Backlog'!$E$5:$E$504,$J39)),"",INDEX('Product Backlog'!$E$5:$E$504,$J39)))</f>
        <v/>
      </c>
      <c r="F39" s="47" t="str">
        <f>IF($J39="","",IF(ISBLANK(INDEX('Product Backlog'!$F$5:$F$504,$J39)),"",INDEX('Product Backlog'!$F$5:$F$504,$J39)))</f>
        <v/>
      </c>
      <c r="G39" s="47" t="str">
        <f>IF($J39="","",IF(ISBLANK(INDEX('Product Backlog'!$G$5:$G$504,$J39)),"",INDEX('Product Backlog'!$G$5:$G$504,$J39)))</f>
        <v/>
      </c>
      <c r="H39" s="48" t="str">
        <f>IF($J39="","",IF(ISBLANK(INDEX('Product Backlog'!$H$5:$H$504,$J39)),"",INDEX('Product Backlog'!$H$5:$H$504,$J39)))</f>
        <v/>
      </c>
      <c r="I39" s="48" t="str">
        <f>IF($J39="","",IF(ISBLANK(INDEX('Product Backlog'!$I$5:$I$504,$J39)),"",INDEX('Product Backlog'!$I$5:$I$504,$J39)))</f>
        <v/>
      </c>
      <c r="J39" t="str">
        <f>IFERROR(MATCH($B$4&amp;"-"&amp;ROWS($A$10:A39),'Product Backlog'!$J$5:$J$504,0),"")</f>
        <v/>
      </c>
    </row>
    <row r="40" spans="1:10" ht="21" customHeight="1" x14ac:dyDescent="0.2">
      <c r="A40" s="46" t="str">
        <f>IF($J40="","",IF(ISBLANK(INDEX('Product Backlog'!$A$5:$A$504,$J40)),"",INDEX('Product Backlog'!$A$5:$A$504,$J40)))</f>
        <v/>
      </c>
      <c r="B40" s="46" t="str">
        <f>IF($J40="","",IF(ISBLANK(INDEX('Product Backlog'!$B$5:$B$504,$J40)),"",INDEX('Product Backlog'!$B$5:$B$504,$J40)))</f>
        <v/>
      </c>
      <c r="C40" s="46" t="str">
        <f>IF($J40="","",IF(ISBLANK(INDEX('Product Backlog'!$C$5:$C$504,$J40)),"",INDEX('Product Backlog'!$C$5:$C$504,$J40)))</f>
        <v/>
      </c>
      <c r="D40" s="46" t="str">
        <f>IF($J40="","",IF(ISBLANK(INDEX('Product Backlog'!$D$5:$D$504,$J40)),"",INDEX('Product Backlog'!$D$5:$D$504,$J40)))</f>
        <v/>
      </c>
      <c r="E40" s="46" t="str">
        <f>IF($J40="","",IF(ISBLANK(INDEX('Product Backlog'!$E$5:$E$504,$J40)),"",INDEX('Product Backlog'!$E$5:$E$504,$J40)))</f>
        <v/>
      </c>
      <c r="F40" s="47" t="str">
        <f>IF($J40="","",IF(ISBLANK(INDEX('Product Backlog'!$F$5:$F$504,$J40)),"",INDEX('Product Backlog'!$F$5:$F$504,$J40)))</f>
        <v/>
      </c>
      <c r="G40" s="47" t="str">
        <f>IF($J40="","",IF(ISBLANK(INDEX('Product Backlog'!$G$5:$G$504,$J40)),"",INDEX('Product Backlog'!$G$5:$G$504,$J40)))</f>
        <v/>
      </c>
      <c r="H40" s="48" t="str">
        <f>IF($J40="","",IF(ISBLANK(INDEX('Product Backlog'!$H$5:$H$504,$J40)),"",INDEX('Product Backlog'!$H$5:$H$504,$J40)))</f>
        <v/>
      </c>
      <c r="I40" s="48" t="str">
        <f>IF($J40="","",IF(ISBLANK(INDEX('Product Backlog'!$I$5:$I$504,$J40)),"",INDEX('Product Backlog'!$I$5:$I$504,$J40)))</f>
        <v/>
      </c>
      <c r="J40" t="str">
        <f>IFERROR(MATCH($B$4&amp;"-"&amp;ROWS($A$10:A40),'Product Backlog'!$J$5:$J$504,0),"")</f>
        <v/>
      </c>
    </row>
    <row r="41" spans="1:10" ht="21" customHeight="1" x14ac:dyDescent="0.2">
      <c r="A41" s="46" t="str">
        <f>IF($J41="","",IF(ISBLANK(INDEX('Product Backlog'!$A$5:$A$504,$J41)),"",INDEX('Product Backlog'!$A$5:$A$504,$J41)))</f>
        <v/>
      </c>
      <c r="B41" s="46" t="str">
        <f>IF($J41="","",IF(ISBLANK(INDEX('Product Backlog'!$B$5:$B$504,$J41)),"",INDEX('Product Backlog'!$B$5:$B$504,$J41)))</f>
        <v/>
      </c>
      <c r="C41" s="46" t="str">
        <f>IF($J41="","",IF(ISBLANK(INDEX('Product Backlog'!$C$5:$C$504,$J41)),"",INDEX('Product Backlog'!$C$5:$C$504,$J41)))</f>
        <v/>
      </c>
      <c r="D41" s="46" t="str">
        <f>IF($J41="","",IF(ISBLANK(INDEX('Product Backlog'!$D$5:$D$504,$J41)),"",INDEX('Product Backlog'!$D$5:$D$504,$J41)))</f>
        <v/>
      </c>
      <c r="E41" s="46" t="str">
        <f>IF($J41="","",IF(ISBLANK(INDEX('Product Backlog'!$E$5:$E$504,$J41)),"",INDEX('Product Backlog'!$E$5:$E$504,$J41)))</f>
        <v/>
      </c>
      <c r="F41" s="47" t="str">
        <f>IF($J41="","",IF(ISBLANK(INDEX('Product Backlog'!$F$5:$F$504,$J41)),"",INDEX('Product Backlog'!$F$5:$F$504,$J41)))</f>
        <v/>
      </c>
      <c r="G41" s="47" t="str">
        <f>IF($J41="","",IF(ISBLANK(INDEX('Product Backlog'!$G$5:$G$504,$J41)),"",INDEX('Product Backlog'!$G$5:$G$504,$J41)))</f>
        <v/>
      </c>
      <c r="H41" s="48" t="str">
        <f>IF($J41="","",IF(ISBLANK(INDEX('Product Backlog'!$H$5:$H$504,$J41)),"",INDEX('Product Backlog'!$H$5:$H$504,$J41)))</f>
        <v/>
      </c>
      <c r="I41" s="48" t="str">
        <f>IF($J41="","",IF(ISBLANK(INDEX('Product Backlog'!$I$5:$I$504,$J41)),"",INDEX('Product Backlog'!$I$5:$I$504,$J41)))</f>
        <v/>
      </c>
      <c r="J41" t="str">
        <f>IFERROR(MATCH($B$4&amp;"-"&amp;ROWS($A$10:A41),'Product Backlog'!$J$5:$J$504,0),"")</f>
        <v/>
      </c>
    </row>
    <row r="42" spans="1:10" ht="21" customHeight="1" x14ac:dyDescent="0.2">
      <c r="A42" s="46" t="str">
        <f>IF($J42="","",IF(ISBLANK(INDEX('Product Backlog'!$A$5:$A$504,$J42)),"",INDEX('Product Backlog'!$A$5:$A$504,$J42)))</f>
        <v/>
      </c>
      <c r="B42" s="46" t="str">
        <f>IF($J42="","",IF(ISBLANK(INDEX('Product Backlog'!$B$5:$B$504,$J42)),"",INDEX('Product Backlog'!$B$5:$B$504,$J42)))</f>
        <v/>
      </c>
      <c r="C42" s="46" t="str">
        <f>IF($J42="","",IF(ISBLANK(INDEX('Product Backlog'!$C$5:$C$504,$J42)),"",INDEX('Product Backlog'!$C$5:$C$504,$J42)))</f>
        <v/>
      </c>
      <c r="D42" s="46" t="str">
        <f>IF($J42="","",IF(ISBLANK(INDEX('Product Backlog'!$D$5:$D$504,$J42)),"",INDEX('Product Backlog'!$D$5:$D$504,$J42)))</f>
        <v/>
      </c>
      <c r="E42" s="46" t="str">
        <f>IF($J42="","",IF(ISBLANK(INDEX('Product Backlog'!$E$5:$E$504,$J42)),"",INDEX('Product Backlog'!$E$5:$E$504,$J42)))</f>
        <v/>
      </c>
      <c r="F42" s="47" t="str">
        <f>IF($J42="","",IF(ISBLANK(INDEX('Product Backlog'!$F$5:$F$504,$J42)),"",INDEX('Product Backlog'!$F$5:$F$504,$J42)))</f>
        <v/>
      </c>
      <c r="G42" s="47" t="str">
        <f>IF($J42="","",IF(ISBLANK(INDEX('Product Backlog'!$G$5:$G$504,$J42)),"",INDEX('Product Backlog'!$G$5:$G$504,$J42)))</f>
        <v/>
      </c>
      <c r="H42" s="48" t="str">
        <f>IF($J42="","",IF(ISBLANK(INDEX('Product Backlog'!$H$5:$H$504,$J42)),"",INDEX('Product Backlog'!$H$5:$H$504,$J42)))</f>
        <v/>
      </c>
      <c r="I42" s="48" t="str">
        <f>IF($J42="","",IF(ISBLANK(INDEX('Product Backlog'!$I$5:$I$504,$J42)),"",INDEX('Product Backlog'!$I$5:$I$504,$J42)))</f>
        <v/>
      </c>
      <c r="J42" t="str">
        <f>IFERROR(MATCH($B$4&amp;"-"&amp;ROWS($A$10:A42),'Product Backlog'!$J$5:$J$504,0),"")</f>
        <v/>
      </c>
    </row>
    <row r="43" spans="1:10" ht="21" customHeight="1" x14ac:dyDescent="0.2">
      <c r="A43" s="46" t="str">
        <f>IF($J43="","",IF(ISBLANK(INDEX('Product Backlog'!$A$5:$A$504,$J43)),"",INDEX('Product Backlog'!$A$5:$A$504,$J43)))</f>
        <v/>
      </c>
      <c r="B43" s="46" t="str">
        <f>IF($J43="","",IF(ISBLANK(INDEX('Product Backlog'!$B$5:$B$504,$J43)),"",INDEX('Product Backlog'!$B$5:$B$504,$J43)))</f>
        <v/>
      </c>
      <c r="C43" s="46" t="str">
        <f>IF($J43="","",IF(ISBLANK(INDEX('Product Backlog'!$C$5:$C$504,$J43)),"",INDEX('Product Backlog'!$C$5:$C$504,$J43)))</f>
        <v/>
      </c>
      <c r="D43" s="46" t="str">
        <f>IF($J43="","",IF(ISBLANK(INDEX('Product Backlog'!$D$5:$D$504,$J43)),"",INDEX('Product Backlog'!$D$5:$D$504,$J43)))</f>
        <v/>
      </c>
      <c r="E43" s="46" t="str">
        <f>IF($J43="","",IF(ISBLANK(INDEX('Product Backlog'!$E$5:$E$504,$J43)),"",INDEX('Product Backlog'!$E$5:$E$504,$J43)))</f>
        <v/>
      </c>
      <c r="F43" s="47" t="str">
        <f>IF($J43="","",IF(ISBLANK(INDEX('Product Backlog'!$F$5:$F$504,$J43)),"",INDEX('Product Backlog'!$F$5:$F$504,$J43)))</f>
        <v/>
      </c>
      <c r="G43" s="47" t="str">
        <f>IF($J43="","",IF(ISBLANK(INDEX('Product Backlog'!$G$5:$G$504,$J43)),"",INDEX('Product Backlog'!$G$5:$G$504,$J43)))</f>
        <v/>
      </c>
      <c r="H43" s="48" t="str">
        <f>IF($J43="","",IF(ISBLANK(INDEX('Product Backlog'!$H$5:$H$504,$J43)),"",INDEX('Product Backlog'!$H$5:$H$504,$J43)))</f>
        <v/>
      </c>
      <c r="I43" s="48" t="str">
        <f>IF($J43="","",IF(ISBLANK(INDEX('Product Backlog'!$I$5:$I$504,$J43)),"",INDEX('Product Backlog'!$I$5:$I$504,$J43)))</f>
        <v/>
      </c>
      <c r="J43" t="str">
        <f>IFERROR(MATCH($B$4&amp;"-"&amp;ROWS($A$10:A43),'Product Backlog'!$J$5:$J$504,0),"")</f>
        <v/>
      </c>
    </row>
    <row r="44" spans="1:10" ht="21" customHeight="1" x14ac:dyDescent="0.2">
      <c r="A44" s="46" t="str">
        <f>IF($J44="","",IF(ISBLANK(INDEX('Product Backlog'!$A$5:$A$504,$J44)),"",INDEX('Product Backlog'!$A$5:$A$504,$J44)))</f>
        <v/>
      </c>
      <c r="B44" s="46" t="str">
        <f>IF($J44="","",IF(ISBLANK(INDEX('Product Backlog'!$B$5:$B$504,$J44)),"",INDEX('Product Backlog'!$B$5:$B$504,$J44)))</f>
        <v/>
      </c>
      <c r="C44" s="46" t="str">
        <f>IF($J44="","",IF(ISBLANK(INDEX('Product Backlog'!$C$5:$C$504,$J44)),"",INDEX('Product Backlog'!$C$5:$C$504,$J44)))</f>
        <v/>
      </c>
      <c r="D44" s="46" t="str">
        <f>IF($J44="","",IF(ISBLANK(INDEX('Product Backlog'!$D$5:$D$504,$J44)),"",INDEX('Product Backlog'!$D$5:$D$504,$J44)))</f>
        <v/>
      </c>
      <c r="E44" s="46" t="str">
        <f>IF($J44="","",IF(ISBLANK(INDEX('Product Backlog'!$E$5:$E$504,$J44)),"",INDEX('Product Backlog'!$E$5:$E$504,$J44)))</f>
        <v/>
      </c>
      <c r="F44" s="47" t="str">
        <f>IF($J44="","",IF(ISBLANK(INDEX('Product Backlog'!$F$5:$F$504,$J44)),"",INDEX('Product Backlog'!$F$5:$F$504,$J44)))</f>
        <v/>
      </c>
      <c r="G44" s="47" t="str">
        <f>IF($J44="","",IF(ISBLANK(INDEX('Product Backlog'!$G$5:$G$504,$J44)),"",INDEX('Product Backlog'!$G$5:$G$504,$J44)))</f>
        <v/>
      </c>
      <c r="H44" s="48" t="str">
        <f>IF($J44="","",IF(ISBLANK(INDEX('Product Backlog'!$H$5:$H$504,$J44)),"",INDEX('Product Backlog'!$H$5:$H$504,$J44)))</f>
        <v/>
      </c>
      <c r="I44" s="48" t="str">
        <f>IF($J44="","",IF(ISBLANK(INDEX('Product Backlog'!$I$5:$I$504,$J44)),"",INDEX('Product Backlog'!$I$5:$I$504,$J44)))</f>
        <v/>
      </c>
      <c r="J44" t="str">
        <f>IFERROR(MATCH($B$4&amp;"-"&amp;ROWS($A$10:A44),'Product Backlog'!$J$5:$J$504,0),"")</f>
        <v/>
      </c>
    </row>
    <row r="45" spans="1:10" ht="21" customHeight="1" x14ac:dyDescent="0.2">
      <c r="A45" s="46" t="str">
        <f>IF($J45="","",IF(ISBLANK(INDEX('Product Backlog'!$A$5:$A$504,$J45)),"",INDEX('Product Backlog'!$A$5:$A$504,$J45)))</f>
        <v/>
      </c>
      <c r="B45" s="46" t="str">
        <f>IF($J45="","",IF(ISBLANK(INDEX('Product Backlog'!$B$5:$B$504,$J45)),"",INDEX('Product Backlog'!$B$5:$B$504,$J45)))</f>
        <v/>
      </c>
      <c r="C45" s="46" t="str">
        <f>IF($J45="","",IF(ISBLANK(INDEX('Product Backlog'!$C$5:$C$504,$J45)),"",INDEX('Product Backlog'!$C$5:$C$504,$J45)))</f>
        <v/>
      </c>
      <c r="D45" s="46" t="str">
        <f>IF($J45="","",IF(ISBLANK(INDEX('Product Backlog'!$D$5:$D$504,$J45)),"",INDEX('Product Backlog'!$D$5:$D$504,$J45)))</f>
        <v/>
      </c>
      <c r="E45" s="46" t="str">
        <f>IF($J45="","",IF(ISBLANK(INDEX('Product Backlog'!$E$5:$E$504,$J45)),"",INDEX('Product Backlog'!$E$5:$E$504,$J45)))</f>
        <v/>
      </c>
      <c r="F45" s="47" t="str">
        <f>IF($J45="","",IF(ISBLANK(INDEX('Product Backlog'!$F$5:$F$504,$J45)),"",INDEX('Product Backlog'!$F$5:$F$504,$J45)))</f>
        <v/>
      </c>
      <c r="G45" s="47" t="str">
        <f>IF($J45="","",IF(ISBLANK(INDEX('Product Backlog'!$G$5:$G$504,$J45)),"",INDEX('Product Backlog'!$G$5:$G$504,$J45)))</f>
        <v/>
      </c>
      <c r="H45" s="48" t="str">
        <f>IF($J45="","",IF(ISBLANK(INDEX('Product Backlog'!$H$5:$H$504,$J45)),"",INDEX('Product Backlog'!$H$5:$H$504,$J45)))</f>
        <v/>
      </c>
      <c r="I45" s="48" t="str">
        <f>IF($J45="","",IF(ISBLANK(INDEX('Product Backlog'!$I$5:$I$504,$J45)),"",INDEX('Product Backlog'!$I$5:$I$504,$J45)))</f>
        <v/>
      </c>
      <c r="J45" t="str">
        <f>IFERROR(MATCH($B$4&amp;"-"&amp;ROWS($A$10:A45),'Product Backlog'!$J$5:$J$504,0),"")</f>
        <v/>
      </c>
    </row>
    <row r="46" spans="1:10" ht="21" customHeight="1" x14ac:dyDescent="0.2">
      <c r="A46" s="46" t="str">
        <f>IF($J46="","",IF(ISBLANK(INDEX('Product Backlog'!$A$5:$A$504,$J46)),"",INDEX('Product Backlog'!$A$5:$A$504,$J46)))</f>
        <v/>
      </c>
      <c r="B46" s="46" t="str">
        <f>IF($J46="","",IF(ISBLANK(INDEX('Product Backlog'!$B$5:$B$504,$J46)),"",INDEX('Product Backlog'!$B$5:$B$504,$J46)))</f>
        <v/>
      </c>
      <c r="C46" s="46" t="str">
        <f>IF($J46="","",IF(ISBLANK(INDEX('Product Backlog'!$C$5:$C$504,$J46)),"",INDEX('Product Backlog'!$C$5:$C$504,$J46)))</f>
        <v/>
      </c>
      <c r="D46" s="46" t="str">
        <f>IF($J46="","",IF(ISBLANK(INDEX('Product Backlog'!$D$5:$D$504,$J46)),"",INDEX('Product Backlog'!$D$5:$D$504,$J46)))</f>
        <v/>
      </c>
      <c r="E46" s="46" t="str">
        <f>IF($J46="","",IF(ISBLANK(INDEX('Product Backlog'!$E$5:$E$504,$J46)),"",INDEX('Product Backlog'!$E$5:$E$504,$J46)))</f>
        <v/>
      </c>
      <c r="F46" s="47" t="str">
        <f>IF($J46="","",IF(ISBLANK(INDEX('Product Backlog'!$F$5:$F$504,$J46)),"",INDEX('Product Backlog'!$F$5:$F$504,$J46)))</f>
        <v/>
      </c>
      <c r="G46" s="47" t="str">
        <f>IF($J46="","",IF(ISBLANK(INDEX('Product Backlog'!$G$5:$G$504,$J46)),"",INDEX('Product Backlog'!$G$5:$G$504,$J46)))</f>
        <v/>
      </c>
      <c r="H46" s="48" t="str">
        <f>IF($J46="","",IF(ISBLANK(INDEX('Product Backlog'!$H$5:$H$504,$J46)),"",INDEX('Product Backlog'!$H$5:$H$504,$J46)))</f>
        <v/>
      </c>
      <c r="I46" s="48" t="str">
        <f>IF($J46="","",IF(ISBLANK(INDEX('Product Backlog'!$I$5:$I$504,$J46)),"",INDEX('Product Backlog'!$I$5:$I$504,$J46)))</f>
        <v/>
      </c>
      <c r="J46" t="str">
        <f>IFERROR(MATCH($B$4&amp;"-"&amp;ROWS($A$10:A46),'Product Backlog'!$J$5:$J$504,0),"")</f>
        <v/>
      </c>
    </row>
    <row r="47" spans="1:10" ht="21" customHeight="1" x14ac:dyDescent="0.2">
      <c r="A47" s="46" t="str">
        <f>IF($J47="","",IF(ISBLANK(INDEX('Product Backlog'!$A$5:$A$504,$J47)),"",INDEX('Product Backlog'!$A$5:$A$504,$J47)))</f>
        <v/>
      </c>
      <c r="B47" s="46" t="str">
        <f>IF($J47="","",IF(ISBLANK(INDEX('Product Backlog'!$B$5:$B$504,$J47)),"",INDEX('Product Backlog'!$B$5:$B$504,$J47)))</f>
        <v/>
      </c>
      <c r="C47" s="46" t="str">
        <f>IF($J47="","",IF(ISBLANK(INDEX('Product Backlog'!$C$5:$C$504,$J47)),"",INDEX('Product Backlog'!$C$5:$C$504,$J47)))</f>
        <v/>
      </c>
      <c r="D47" s="46" t="str">
        <f>IF($J47="","",IF(ISBLANK(INDEX('Product Backlog'!$D$5:$D$504,$J47)),"",INDEX('Product Backlog'!$D$5:$D$504,$J47)))</f>
        <v/>
      </c>
      <c r="E47" s="46" t="str">
        <f>IF($J47="","",IF(ISBLANK(INDEX('Product Backlog'!$E$5:$E$504,$J47)),"",INDEX('Product Backlog'!$E$5:$E$504,$J47)))</f>
        <v/>
      </c>
      <c r="F47" s="47" t="str">
        <f>IF($J47="","",IF(ISBLANK(INDEX('Product Backlog'!$F$5:$F$504,$J47)),"",INDEX('Product Backlog'!$F$5:$F$504,$J47)))</f>
        <v/>
      </c>
      <c r="G47" s="47" t="str">
        <f>IF($J47="","",IF(ISBLANK(INDEX('Product Backlog'!$G$5:$G$504,$J47)),"",INDEX('Product Backlog'!$G$5:$G$504,$J47)))</f>
        <v/>
      </c>
      <c r="H47" s="48" t="str">
        <f>IF($J47="","",IF(ISBLANK(INDEX('Product Backlog'!$H$5:$H$504,$J47)),"",INDEX('Product Backlog'!$H$5:$H$504,$J47)))</f>
        <v/>
      </c>
      <c r="I47" s="48" t="str">
        <f>IF($J47="","",IF(ISBLANK(INDEX('Product Backlog'!$I$5:$I$504,$J47)),"",INDEX('Product Backlog'!$I$5:$I$504,$J47)))</f>
        <v/>
      </c>
      <c r="J47" t="str">
        <f>IFERROR(MATCH($B$4&amp;"-"&amp;ROWS($A$10:A47),'Product Backlog'!$J$5:$J$504,0),"")</f>
        <v/>
      </c>
    </row>
    <row r="48" spans="1:10" ht="21" customHeight="1" x14ac:dyDescent="0.2">
      <c r="A48" s="46" t="str">
        <f>IF($J48="","",IF(ISBLANK(INDEX('Product Backlog'!$A$5:$A$504,$J48)),"",INDEX('Product Backlog'!$A$5:$A$504,$J48)))</f>
        <v/>
      </c>
      <c r="B48" s="46" t="str">
        <f>IF($J48="","",IF(ISBLANK(INDEX('Product Backlog'!$B$5:$B$504,$J48)),"",INDEX('Product Backlog'!$B$5:$B$504,$J48)))</f>
        <v/>
      </c>
      <c r="C48" s="46" t="str">
        <f>IF($J48="","",IF(ISBLANK(INDEX('Product Backlog'!$C$5:$C$504,$J48)),"",INDEX('Product Backlog'!$C$5:$C$504,$J48)))</f>
        <v/>
      </c>
      <c r="D48" s="46" t="str">
        <f>IF($J48="","",IF(ISBLANK(INDEX('Product Backlog'!$D$5:$D$504,$J48)),"",INDEX('Product Backlog'!$D$5:$D$504,$J48)))</f>
        <v/>
      </c>
      <c r="E48" s="46" t="str">
        <f>IF($J48="","",IF(ISBLANK(INDEX('Product Backlog'!$E$5:$E$504,$J48)),"",INDEX('Product Backlog'!$E$5:$E$504,$J48)))</f>
        <v/>
      </c>
      <c r="F48" s="47" t="str">
        <f>IF($J48="","",IF(ISBLANK(INDEX('Product Backlog'!$F$5:$F$504,$J48)),"",INDEX('Product Backlog'!$F$5:$F$504,$J48)))</f>
        <v/>
      </c>
      <c r="G48" s="47" t="str">
        <f>IF($J48="","",IF(ISBLANK(INDEX('Product Backlog'!$G$5:$G$504,$J48)),"",INDEX('Product Backlog'!$G$5:$G$504,$J48)))</f>
        <v/>
      </c>
      <c r="H48" s="48" t="str">
        <f>IF($J48="","",IF(ISBLANK(INDEX('Product Backlog'!$H$5:$H$504,$J48)),"",INDEX('Product Backlog'!$H$5:$H$504,$J48)))</f>
        <v/>
      </c>
      <c r="I48" s="48" t="str">
        <f>IF($J48="","",IF(ISBLANK(INDEX('Product Backlog'!$I$5:$I$504,$J48)),"",INDEX('Product Backlog'!$I$5:$I$504,$J48)))</f>
        <v/>
      </c>
      <c r="J48" t="str">
        <f>IFERROR(MATCH($B$4&amp;"-"&amp;ROWS($A$10:A48),'Product Backlog'!$J$5:$J$504,0),"")</f>
        <v/>
      </c>
    </row>
    <row r="49" spans="1:10" ht="21" customHeight="1" x14ac:dyDescent="0.2">
      <c r="A49" s="46" t="str">
        <f>IF($J49="","",IF(ISBLANK(INDEX('Product Backlog'!$A$5:$A$504,$J49)),"",INDEX('Product Backlog'!$A$5:$A$504,$J49)))</f>
        <v/>
      </c>
      <c r="B49" s="46" t="str">
        <f>IF($J49="","",IF(ISBLANK(INDEX('Product Backlog'!$B$5:$B$504,$J49)),"",INDEX('Product Backlog'!$B$5:$B$504,$J49)))</f>
        <v/>
      </c>
      <c r="C49" s="46" t="str">
        <f>IF($J49="","",IF(ISBLANK(INDEX('Product Backlog'!$C$5:$C$504,$J49)),"",INDEX('Product Backlog'!$C$5:$C$504,$J49)))</f>
        <v/>
      </c>
      <c r="D49" s="46" t="str">
        <f>IF($J49="","",IF(ISBLANK(INDEX('Product Backlog'!$D$5:$D$504,$J49)),"",INDEX('Product Backlog'!$D$5:$D$504,$J49)))</f>
        <v/>
      </c>
      <c r="E49" s="46" t="str">
        <f>IF($J49="","",IF(ISBLANK(INDEX('Product Backlog'!$E$5:$E$504,$J49)),"",INDEX('Product Backlog'!$E$5:$E$504,$J49)))</f>
        <v/>
      </c>
      <c r="F49" s="47" t="str">
        <f>IF($J49="","",IF(ISBLANK(INDEX('Product Backlog'!$F$5:$F$504,$J49)),"",INDEX('Product Backlog'!$F$5:$F$504,$J49)))</f>
        <v/>
      </c>
      <c r="G49" s="47" t="str">
        <f>IF($J49="","",IF(ISBLANK(INDEX('Product Backlog'!$G$5:$G$504,$J49)),"",INDEX('Product Backlog'!$G$5:$G$504,$J49)))</f>
        <v/>
      </c>
      <c r="H49" s="48" t="str">
        <f>IF($J49="","",IF(ISBLANK(INDEX('Product Backlog'!$H$5:$H$504,$J49)),"",INDEX('Product Backlog'!$H$5:$H$504,$J49)))</f>
        <v/>
      </c>
      <c r="I49" s="48" t="str">
        <f>IF($J49="","",IF(ISBLANK(INDEX('Product Backlog'!$I$5:$I$504,$J49)),"",INDEX('Product Backlog'!$I$5:$I$504,$J49)))</f>
        <v/>
      </c>
      <c r="J49" t="str">
        <f>IFERROR(MATCH($B$4&amp;"-"&amp;ROWS($A$10:A49),'Product Backlog'!$J$5:$J$504,0),"")</f>
        <v/>
      </c>
    </row>
    <row r="50" spans="1:10" ht="21" customHeight="1" x14ac:dyDescent="0.2">
      <c r="A50" s="46" t="str">
        <f>IF($J50="","",IF(ISBLANK(INDEX('Product Backlog'!$A$5:$A$504,$J50)),"",INDEX('Product Backlog'!$A$5:$A$504,$J50)))</f>
        <v/>
      </c>
      <c r="B50" s="46" t="str">
        <f>IF($J50="","",IF(ISBLANK(INDEX('Product Backlog'!$B$5:$B$504,$J50)),"",INDEX('Product Backlog'!$B$5:$B$504,$J50)))</f>
        <v/>
      </c>
      <c r="C50" s="46" t="str">
        <f>IF($J50="","",IF(ISBLANK(INDEX('Product Backlog'!$C$5:$C$504,$J50)),"",INDEX('Product Backlog'!$C$5:$C$504,$J50)))</f>
        <v/>
      </c>
      <c r="D50" s="46" t="str">
        <f>IF($J50="","",IF(ISBLANK(INDEX('Product Backlog'!$D$5:$D$504,$J50)),"",INDEX('Product Backlog'!$D$5:$D$504,$J50)))</f>
        <v/>
      </c>
      <c r="E50" s="46" t="str">
        <f>IF($J50="","",IF(ISBLANK(INDEX('Product Backlog'!$E$5:$E$504,$J50)),"",INDEX('Product Backlog'!$E$5:$E$504,$J50)))</f>
        <v/>
      </c>
      <c r="F50" s="47" t="str">
        <f>IF($J50="","",IF(ISBLANK(INDEX('Product Backlog'!$F$5:$F$504,$J50)),"",INDEX('Product Backlog'!$F$5:$F$504,$J50)))</f>
        <v/>
      </c>
      <c r="G50" s="47" t="str">
        <f>IF($J50="","",IF(ISBLANK(INDEX('Product Backlog'!$G$5:$G$504,$J50)),"",INDEX('Product Backlog'!$G$5:$G$504,$J50)))</f>
        <v/>
      </c>
      <c r="H50" s="48" t="str">
        <f>IF($J50="","",IF(ISBLANK(INDEX('Product Backlog'!$H$5:$H$504,$J50)),"",INDEX('Product Backlog'!$H$5:$H$504,$J50)))</f>
        <v/>
      </c>
      <c r="I50" s="48" t="str">
        <f>IF($J50="","",IF(ISBLANK(INDEX('Product Backlog'!$I$5:$I$504,$J50)),"",INDEX('Product Backlog'!$I$5:$I$504,$J50)))</f>
        <v/>
      </c>
      <c r="J50" t="str">
        <f>IFERROR(MATCH($B$4&amp;"-"&amp;ROWS($A$10:A50),'Product Backlog'!$J$5:$J$504,0),"")</f>
        <v/>
      </c>
    </row>
    <row r="51" spans="1:10" ht="21" customHeight="1" x14ac:dyDescent="0.2">
      <c r="A51" s="46" t="str">
        <f>IF($J51="","",IF(ISBLANK(INDEX('Product Backlog'!$A$5:$A$504,$J51)),"",INDEX('Product Backlog'!$A$5:$A$504,$J51)))</f>
        <v/>
      </c>
      <c r="B51" s="46" t="str">
        <f>IF($J51="","",IF(ISBLANK(INDEX('Product Backlog'!$B$5:$B$504,$J51)),"",INDEX('Product Backlog'!$B$5:$B$504,$J51)))</f>
        <v/>
      </c>
      <c r="C51" s="46" t="str">
        <f>IF($J51="","",IF(ISBLANK(INDEX('Product Backlog'!$C$5:$C$504,$J51)),"",INDEX('Product Backlog'!$C$5:$C$504,$J51)))</f>
        <v/>
      </c>
      <c r="D51" s="46" t="str">
        <f>IF($J51="","",IF(ISBLANK(INDEX('Product Backlog'!$D$5:$D$504,$J51)),"",INDEX('Product Backlog'!$D$5:$D$504,$J51)))</f>
        <v/>
      </c>
      <c r="E51" s="46" t="str">
        <f>IF($J51="","",IF(ISBLANK(INDEX('Product Backlog'!$E$5:$E$504,$J51)),"",INDEX('Product Backlog'!$E$5:$E$504,$J51)))</f>
        <v/>
      </c>
      <c r="F51" s="47" t="str">
        <f>IF($J51="","",IF(ISBLANK(INDEX('Product Backlog'!$F$5:$F$504,$J51)),"",INDEX('Product Backlog'!$F$5:$F$504,$J51)))</f>
        <v/>
      </c>
      <c r="G51" s="47" t="str">
        <f>IF($J51="","",IF(ISBLANK(INDEX('Product Backlog'!$G$5:$G$504,$J51)),"",INDEX('Product Backlog'!$G$5:$G$504,$J51)))</f>
        <v/>
      </c>
      <c r="H51" s="48" t="str">
        <f>IF($J51="","",IF(ISBLANK(INDEX('Product Backlog'!$H$5:$H$504,$J51)),"",INDEX('Product Backlog'!$H$5:$H$504,$J51)))</f>
        <v/>
      </c>
      <c r="I51" s="48" t="str">
        <f>IF($J51="","",IF(ISBLANK(INDEX('Product Backlog'!$I$5:$I$504,$J51)),"",INDEX('Product Backlog'!$I$5:$I$504,$J51)))</f>
        <v/>
      </c>
      <c r="J51" t="str">
        <f>IFERROR(MATCH($B$4&amp;"-"&amp;ROWS($A$10:A51),'Product Backlog'!$J$5:$J$504,0),"")</f>
        <v/>
      </c>
    </row>
    <row r="52" spans="1:10" ht="21" customHeight="1" x14ac:dyDescent="0.2">
      <c r="A52" s="46" t="str">
        <f>IF($J52="","",IF(ISBLANK(INDEX('Product Backlog'!$A$5:$A$504,$J52)),"",INDEX('Product Backlog'!$A$5:$A$504,$J52)))</f>
        <v/>
      </c>
      <c r="B52" s="46" t="str">
        <f>IF($J52="","",IF(ISBLANK(INDEX('Product Backlog'!$B$5:$B$504,$J52)),"",INDEX('Product Backlog'!$B$5:$B$504,$J52)))</f>
        <v/>
      </c>
      <c r="C52" s="46" t="str">
        <f>IF($J52="","",IF(ISBLANK(INDEX('Product Backlog'!$C$5:$C$504,$J52)),"",INDEX('Product Backlog'!$C$5:$C$504,$J52)))</f>
        <v/>
      </c>
      <c r="D52" s="46" t="str">
        <f>IF($J52="","",IF(ISBLANK(INDEX('Product Backlog'!$D$5:$D$504,$J52)),"",INDEX('Product Backlog'!$D$5:$D$504,$J52)))</f>
        <v/>
      </c>
      <c r="E52" s="46" t="str">
        <f>IF($J52="","",IF(ISBLANK(INDEX('Product Backlog'!$E$5:$E$504,$J52)),"",INDEX('Product Backlog'!$E$5:$E$504,$J52)))</f>
        <v/>
      </c>
      <c r="F52" s="47" t="str">
        <f>IF($J52="","",IF(ISBLANK(INDEX('Product Backlog'!$F$5:$F$504,$J52)),"",INDEX('Product Backlog'!$F$5:$F$504,$J52)))</f>
        <v/>
      </c>
      <c r="G52" s="47" t="str">
        <f>IF($J52="","",IF(ISBLANK(INDEX('Product Backlog'!$G$5:$G$504,$J52)),"",INDEX('Product Backlog'!$G$5:$G$504,$J52)))</f>
        <v/>
      </c>
      <c r="H52" s="48" t="str">
        <f>IF($J52="","",IF(ISBLANK(INDEX('Product Backlog'!$H$5:$H$504,$J52)),"",INDEX('Product Backlog'!$H$5:$H$504,$J52)))</f>
        <v/>
      </c>
      <c r="I52" s="48" t="str">
        <f>IF($J52="","",IF(ISBLANK(INDEX('Product Backlog'!$I$5:$I$504,$J52)),"",INDEX('Product Backlog'!$I$5:$I$504,$J52)))</f>
        <v/>
      </c>
      <c r="J52" t="str">
        <f>IFERROR(MATCH($B$4&amp;"-"&amp;ROWS($A$10:A52),'Product Backlog'!$J$5:$J$504,0),"")</f>
        <v/>
      </c>
    </row>
    <row r="53" spans="1:10" ht="21" customHeight="1" x14ac:dyDescent="0.2">
      <c r="A53" s="46" t="str">
        <f>IF($J53="","",IF(ISBLANK(INDEX('Product Backlog'!$A$5:$A$504,$J53)),"",INDEX('Product Backlog'!$A$5:$A$504,$J53)))</f>
        <v/>
      </c>
      <c r="B53" s="46" t="str">
        <f>IF($J53="","",IF(ISBLANK(INDEX('Product Backlog'!$B$5:$B$504,$J53)),"",INDEX('Product Backlog'!$B$5:$B$504,$J53)))</f>
        <v/>
      </c>
      <c r="C53" s="46" t="str">
        <f>IF($J53="","",IF(ISBLANK(INDEX('Product Backlog'!$C$5:$C$504,$J53)),"",INDEX('Product Backlog'!$C$5:$C$504,$J53)))</f>
        <v/>
      </c>
      <c r="D53" s="46" t="str">
        <f>IF($J53="","",IF(ISBLANK(INDEX('Product Backlog'!$D$5:$D$504,$J53)),"",INDEX('Product Backlog'!$D$5:$D$504,$J53)))</f>
        <v/>
      </c>
      <c r="E53" s="46" t="str">
        <f>IF($J53="","",IF(ISBLANK(INDEX('Product Backlog'!$E$5:$E$504,$J53)),"",INDEX('Product Backlog'!$E$5:$E$504,$J53)))</f>
        <v/>
      </c>
      <c r="F53" s="47" t="str">
        <f>IF($J53="","",IF(ISBLANK(INDEX('Product Backlog'!$F$5:$F$504,$J53)),"",INDEX('Product Backlog'!$F$5:$F$504,$J53)))</f>
        <v/>
      </c>
      <c r="G53" s="47" t="str">
        <f>IF($J53="","",IF(ISBLANK(INDEX('Product Backlog'!$G$5:$G$504,$J53)),"",INDEX('Product Backlog'!$G$5:$G$504,$J53)))</f>
        <v/>
      </c>
      <c r="H53" s="48" t="str">
        <f>IF($J53="","",IF(ISBLANK(INDEX('Product Backlog'!$H$5:$H$504,$J53)),"",INDEX('Product Backlog'!$H$5:$H$504,$J53)))</f>
        <v/>
      </c>
      <c r="I53" s="48" t="str">
        <f>IF($J53="","",IF(ISBLANK(INDEX('Product Backlog'!$I$5:$I$504,$J53)),"",INDEX('Product Backlog'!$I$5:$I$504,$J53)))</f>
        <v/>
      </c>
      <c r="J53" t="str">
        <f>IFERROR(MATCH($B$4&amp;"-"&amp;ROWS($A$10:A53),'Product Backlog'!$J$5:$J$504,0),"")</f>
        <v/>
      </c>
    </row>
    <row r="54" spans="1:10" ht="21" customHeight="1" x14ac:dyDescent="0.2">
      <c r="A54" s="46" t="str">
        <f>IF($J54="","",IF(ISBLANK(INDEX('Product Backlog'!$A$5:$A$504,$J54)),"",INDEX('Product Backlog'!$A$5:$A$504,$J54)))</f>
        <v/>
      </c>
      <c r="B54" s="46" t="str">
        <f>IF($J54="","",IF(ISBLANK(INDEX('Product Backlog'!$B$5:$B$504,$J54)),"",INDEX('Product Backlog'!$B$5:$B$504,$J54)))</f>
        <v/>
      </c>
      <c r="C54" s="46" t="str">
        <f>IF($J54="","",IF(ISBLANK(INDEX('Product Backlog'!$C$5:$C$504,$J54)),"",INDEX('Product Backlog'!$C$5:$C$504,$J54)))</f>
        <v/>
      </c>
      <c r="D54" s="46" t="str">
        <f>IF($J54="","",IF(ISBLANK(INDEX('Product Backlog'!$D$5:$D$504,$J54)),"",INDEX('Product Backlog'!$D$5:$D$504,$J54)))</f>
        <v/>
      </c>
      <c r="E54" s="46" t="str">
        <f>IF($J54="","",IF(ISBLANK(INDEX('Product Backlog'!$E$5:$E$504,$J54)),"",INDEX('Product Backlog'!$E$5:$E$504,$J54)))</f>
        <v/>
      </c>
      <c r="F54" s="47" t="str">
        <f>IF($J54="","",IF(ISBLANK(INDEX('Product Backlog'!$F$5:$F$504,$J54)),"",INDEX('Product Backlog'!$F$5:$F$504,$J54)))</f>
        <v/>
      </c>
      <c r="G54" s="47" t="str">
        <f>IF($J54="","",IF(ISBLANK(INDEX('Product Backlog'!$G$5:$G$504,$J54)),"",INDEX('Product Backlog'!$G$5:$G$504,$J54)))</f>
        <v/>
      </c>
      <c r="H54" s="48" t="str">
        <f>IF($J54="","",IF(ISBLANK(INDEX('Product Backlog'!$H$5:$H$504,$J54)),"",INDEX('Product Backlog'!$H$5:$H$504,$J54)))</f>
        <v/>
      </c>
      <c r="I54" s="48" t="str">
        <f>IF($J54="","",IF(ISBLANK(INDEX('Product Backlog'!$I$5:$I$504,$J54)),"",INDEX('Product Backlog'!$I$5:$I$504,$J54)))</f>
        <v/>
      </c>
      <c r="J54" t="str">
        <f>IFERROR(MATCH($B$4&amp;"-"&amp;ROWS($A$10:A54),'Product Backlog'!$J$5:$J$504,0),"")</f>
        <v/>
      </c>
    </row>
    <row r="55" spans="1:10" ht="21" customHeight="1" x14ac:dyDescent="0.2">
      <c r="A55" s="46" t="str">
        <f>IF($J55="","",IF(ISBLANK(INDEX('Product Backlog'!$A$5:$A$504,$J55)),"",INDEX('Product Backlog'!$A$5:$A$504,$J55)))</f>
        <v/>
      </c>
      <c r="B55" s="46" t="str">
        <f>IF($J55="","",IF(ISBLANK(INDEX('Product Backlog'!$B$5:$B$504,$J55)),"",INDEX('Product Backlog'!$B$5:$B$504,$J55)))</f>
        <v/>
      </c>
      <c r="C55" s="46" t="str">
        <f>IF($J55="","",IF(ISBLANK(INDEX('Product Backlog'!$C$5:$C$504,$J55)),"",INDEX('Product Backlog'!$C$5:$C$504,$J55)))</f>
        <v/>
      </c>
      <c r="D55" s="46" t="str">
        <f>IF($J55="","",IF(ISBLANK(INDEX('Product Backlog'!$D$5:$D$504,$J55)),"",INDEX('Product Backlog'!$D$5:$D$504,$J55)))</f>
        <v/>
      </c>
      <c r="E55" s="46" t="str">
        <f>IF($J55="","",IF(ISBLANK(INDEX('Product Backlog'!$E$5:$E$504,$J55)),"",INDEX('Product Backlog'!$E$5:$E$504,$J55)))</f>
        <v/>
      </c>
      <c r="F55" s="47" t="str">
        <f>IF($J55="","",IF(ISBLANK(INDEX('Product Backlog'!$F$5:$F$504,$J55)),"",INDEX('Product Backlog'!$F$5:$F$504,$J55)))</f>
        <v/>
      </c>
      <c r="G55" s="47" t="str">
        <f>IF($J55="","",IF(ISBLANK(INDEX('Product Backlog'!$G$5:$G$504,$J55)),"",INDEX('Product Backlog'!$G$5:$G$504,$J55)))</f>
        <v/>
      </c>
      <c r="H55" s="48" t="str">
        <f>IF($J55="","",IF(ISBLANK(INDEX('Product Backlog'!$H$5:$H$504,$J55)),"",INDEX('Product Backlog'!$H$5:$H$504,$J55)))</f>
        <v/>
      </c>
      <c r="I55" s="48" t="str">
        <f>IF($J55="","",IF(ISBLANK(INDEX('Product Backlog'!$I$5:$I$504,$J55)),"",INDEX('Product Backlog'!$I$5:$I$504,$J55)))</f>
        <v/>
      </c>
      <c r="J55" t="str">
        <f>IFERROR(MATCH($B$4&amp;"-"&amp;ROWS($A$10:A55),'Product Backlog'!$J$5:$J$504,0),"")</f>
        <v/>
      </c>
    </row>
    <row r="56" spans="1:10" ht="21" customHeight="1" x14ac:dyDescent="0.2">
      <c r="A56" s="46" t="str">
        <f>IF($J56="","",IF(ISBLANK(INDEX('Product Backlog'!$A$5:$A$504,$J56)),"",INDEX('Product Backlog'!$A$5:$A$504,$J56)))</f>
        <v/>
      </c>
      <c r="B56" s="46" t="str">
        <f>IF($J56="","",IF(ISBLANK(INDEX('Product Backlog'!$B$5:$B$504,$J56)),"",INDEX('Product Backlog'!$B$5:$B$504,$J56)))</f>
        <v/>
      </c>
      <c r="C56" s="46" t="str">
        <f>IF($J56="","",IF(ISBLANK(INDEX('Product Backlog'!$C$5:$C$504,$J56)),"",INDEX('Product Backlog'!$C$5:$C$504,$J56)))</f>
        <v/>
      </c>
      <c r="D56" s="46" t="str">
        <f>IF($J56="","",IF(ISBLANK(INDEX('Product Backlog'!$D$5:$D$504,$J56)),"",INDEX('Product Backlog'!$D$5:$D$504,$J56)))</f>
        <v/>
      </c>
      <c r="E56" s="46" t="str">
        <f>IF($J56="","",IF(ISBLANK(INDEX('Product Backlog'!$E$5:$E$504,$J56)),"",INDEX('Product Backlog'!$E$5:$E$504,$J56)))</f>
        <v/>
      </c>
      <c r="F56" s="47" t="str">
        <f>IF($J56="","",IF(ISBLANK(INDEX('Product Backlog'!$F$5:$F$504,$J56)),"",INDEX('Product Backlog'!$F$5:$F$504,$J56)))</f>
        <v/>
      </c>
      <c r="G56" s="47" t="str">
        <f>IF($J56="","",IF(ISBLANK(INDEX('Product Backlog'!$G$5:$G$504,$J56)),"",INDEX('Product Backlog'!$G$5:$G$504,$J56)))</f>
        <v/>
      </c>
      <c r="H56" s="48" t="str">
        <f>IF($J56="","",IF(ISBLANK(INDEX('Product Backlog'!$H$5:$H$504,$J56)),"",INDEX('Product Backlog'!$H$5:$H$504,$J56)))</f>
        <v/>
      </c>
      <c r="I56" s="48" t="str">
        <f>IF($J56="","",IF(ISBLANK(INDEX('Product Backlog'!$I$5:$I$504,$J56)),"",INDEX('Product Backlog'!$I$5:$I$504,$J56)))</f>
        <v/>
      </c>
      <c r="J56" t="str">
        <f>IFERROR(MATCH($B$4&amp;"-"&amp;ROWS($A$10:A56),'Product Backlog'!$J$5:$J$504,0),"")</f>
        <v/>
      </c>
    </row>
    <row r="57" spans="1:10" ht="21" customHeight="1" x14ac:dyDescent="0.2">
      <c r="A57" s="46" t="str">
        <f>IF($J57="","",IF(ISBLANK(INDEX('Product Backlog'!$A$5:$A$504,$J57)),"",INDEX('Product Backlog'!$A$5:$A$504,$J57)))</f>
        <v/>
      </c>
      <c r="B57" s="46" t="str">
        <f>IF($J57="","",IF(ISBLANK(INDEX('Product Backlog'!$B$5:$B$504,$J57)),"",INDEX('Product Backlog'!$B$5:$B$504,$J57)))</f>
        <v/>
      </c>
      <c r="C57" s="46" t="str">
        <f>IF($J57="","",IF(ISBLANK(INDEX('Product Backlog'!$C$5:$C$504,$J57)),"",INDEX('Product Backlog'!$C$5:$C$504,$J57)))</f>
        <v/>
      </c>
      <c r="D57" s="46" t="str">
        <f>IF($J57="","",IF(ISBLANK(INDEX('Product Backlog'!$D$5:$D$504,$J57)),"",INDEX('Product Backlog'!$D$5:$D$504,$J57)))</f>
        <v/>
      </c>
      <c r="E57" s="46" t="str">
        <f>IF($J57="","",IF(ISBLANK(INDEX('Product Backlog'!$E$5:$E$504,$J57)),"",INDEX('Product Backlog'!$E$5:$E$504,$J57)))</f>
        <v/>
      </c>
      <c r="F57" s="47" t="str">
        <f>IF($J57="","",IF(ISBLANK(INDEX('Product Backlog'!$F$5:$F$504,$J57)),"",INDEX('Product Backlog'!$F$5:$F$504,$J57)))</f>
        <v/>
      </c>
      <c r="G57" s="47" t="str">
        <f>IF($J57="","",IF(ISBLANK(INDEX('Product Backlog'!$G$5:$G$504,$J57)),"",INDEX('Product Backlog'!$G$5:$G$504,$J57)))</f>
        <v/>
      </c>
      <c r="H57" s="48" t="str">
        <f>IF($J57="","",IF(ISBLANK(INDEX('Product Backlog'!$H$5:$H$504,$J57)),"",INDEX('Product Backlog'!$H$5:$H$504,$J57)))</f>
        <v/>
      </c>
      <c r="I57" s="48" t="str">
        <f>IF($J57="","",IF(ISBLANK(INDEX('Product Backlog'!$I$5:$I$504,$J57)),"",INDEX('Product Backlog'!$I$5:$I$504,$J57)))</f>
        <v/>
      </c>
      <c r="J57" t="str">
        <f>IFERROR(MATCH($B$4&amp;"-"&amp;ROWS($A$10:A57),'Product Backlog'!$J$5:$J$504,0),"")</f>
        <v/>
      </c>
    </row>
    <row r="58" spans="1:10" ht="21" customHeight="1" x14ac:dyDescent="0.2">
      <c r="A58" s="46" t="str">
        <f>IF($J58="","",IF(ISBLANK(INDEX('Product Backlog'!$A$5:$A$504,$J58)),"",INDEX('Product Backlog'!$A$5:$A$504,$J58)))</f>
        <v/>
      </c>
      <c r="B58" s="46" t="str">
        <f>IF($J58="","",IF(ISBLANK(INDEX('Product Backlog'!$B$5:$B$504,$J58)),"",INDEX('Product Backlog'!$B$5:$B$504,$J58)))</f>
        <v/>
      </c>
      <c r="C58" s="46" t="str">
        <f>IF($J58="","",IF(ISBLANK(INDEX('Product Backlog'!$C$5:$C$504,$J58)),"",INDEX('Product Backlog'!$C$5:$C$504,$J58)))</f>
        <v/>
      </c>
      <c r="D58" s="46" t="str">
        <f>IF($J58="","",IF(ISBLANK(INDEX('Product Backlog'!$D$5:$D$504,$J58)),"",INDEX('Product Backlog'!$D$5:$D$504,$J58)))</f>
        <v/>
      </c>
      <c r="E58" s="46" t="str">
        <f>IF($J58="","",IF(ISBLANK(INDEX('Product Backlog'!$E$5:$E$504,$J58)),"",INDEX('Product Backlog'!$E$5:$E$504,$J58)))</f>
        <v/>
      </c>
      <c r="F58" s="47" t="str">
        <f>IF($J58="","",IF(ISBLANK(INDEX('Product Backlog'!$F$5:$F$504,$J58)),"",INDEX('Product Backlog'!$F$5:$F$504,$J58)))</f>
        <v/>
      </c>
      <c r="G58" s="47" t="str">
        <f>IF($J58="","",IF(ISBLANK(INDEX('Product Backlog'!$G$5:$G$504,$J58)),"",INDEX('Product Backlog'!$G$5:$G$504,$J58)))</f>
        <v/>
      </c>
      <c r="H58" s="48" t="str">
        <f>IF($J58="","",IF(ISBLANK(INDEX('Product Backlog'!$H$5:$H$504,$J58)),"",INDEX('Product Backlog'!$H$5:$H$504,$J58)))</f>
        <v/>
      </c>
      <c r="I58" s="48" t="str">
        <f>IF($J58="","",IF(ISBLANK(INDEX('Product Backlog'!$I$5:$I$504,$J58)),"",INDEX('Product Backlog'!$I$5:$I$504,$J58)))</f>
        <v/>
      </c>
      <c r="J58" t="str">
        <f>IFERROR(MATCH($B$4&amp;"-"&amp;ROWS($A$10:A58),'Product Backlog'!$J$5:$J$504,0),"")</f>
        <v/>
      </c>
    </row>
    <row r="59" spans="1:10" ht="21" customHeight="1" x14ac:dyDescent="0.2">
      <c r="A59" s="46" t="str">
        <f>IF($J59="","",IF(ISBLANK(INDEX('Product Backlog'!$A$5:$A$504,$J59)),"",INDEX('Product Backlog'!$A$5:$A$504,$J59)))</f>
        <v/>
      </c>
      <c r="B59" s="46" t="str">
        <f>IF($J59="","",IF(ISBLANK(INDEX('Product Backlog'!$B$5:$B$504,$J59)),"",INDEX('Product Backlog'!$B$5:$B$504,$J59)))</f>
        <v/>
      </c>
      <c r="C59" s="46" t="str">
        <f>IF($J59="","",IF(ISBLANK(INDEX('Product Backlog'!$C$5:$C$504,$J59)),"",INDEX('Product Backlog'!$C$5:$C$504,$J59)))</f>
        <v/>
      </c>
      <c r="D59" s="46" t="str">
        <f>IF($J59="","",IF(ISBLANK(INDEX('Product Backlog'!$D$5:$D$504,$J59)),"",INDEX('Product Backlog'!$D$5:$D$504,$J59)))</f>
        <v/>
      </c>
      <c r="E59" s="46" t="str">
        <f>IF($J59="","",IF(ISBLANK(INDEX('Product Backlog'!$E$5:$E$504,$J59)),"",INDEX('Product Backlog'!$E$5:$E$504,$J59)))</f>
        <v/>
      </c>
      <c r="F59" s="47" t="str">
        <f>IF($J59="","",IF(ISBLANK(INDEX('Product Backlog'!$F$5:$F$504,$J59)),"",INDEX('Product Backlog'!$F$5:$F$504,$J59)))</f>
        <v/>
      </c>
      <c r="G59" s="47" t="str">
        <f>IF($J59="","",IF(ISBLANK(INDEX('Product Backlog'!$G$5:$G$504,$J59)),"",INDEX('Product Backlog'!$G$5:$G$504,$J59)))</f>
        <v/>
      </c>
      <c r="H59" s="48" t="str">
        <f>IF($J59="","",IF(ISBLANK(INDEX('Product Backlog'!$H$5:$H$504,$J59)),"",INDEX('Product Backlog'!$H$5:$H$504,$J59)))</f>
        <v/>
      </c>
      <c r="I59" s="48" t="str">
        <f>IF($J59="","",IF(ISBLANK(INDEX('Product Backlog'!$I$5:$I$504,$J59)),"",INDEX('Product Backlog'!$I$5:$I$504,$J59)))</f>
        <v/>
      </c>
      <c r="J59" t="str">
        <f>IFERROR(MATCH($B$4&amp;"-"&amp;ROWS($A$10:A59),'Product Backlog'!$J$5:$J$504,0),"")</f>
        <v/>
      </c>
    </row>
    <row r="60" spans="1:10" ht="21" customHeight="1" x14ac:dyDescent="0.2">
      <c r="A60" s="46" t="str">
        <f>IF($J60="","",IF(ISBLANK(INDEX('Product Backlog'!$A$5:$A$504,$J60)),"",INDEX('Product Backlog'!$A$5:$A$504,$J60)))</f>
        <v/>
      </c>
      <c r="B60" s="46" t="str">
        <f>IF($J60="","",IF(ISBLANK(INDEX('Product Backlog'!$B$5:$B$504,$J60)),"",INDEX('Product Backlog'!$B$5:$B$504,$J60)))</f>
        <v/>
      </c>
      <c r="C60" s="46" t="str">
        <f>IF($J60="","",IF(ISBLANK(INDEX('Product Backlog'!$C$5:$C$504,$J60)),"",INDEX('Product Backlog'!$C$5:$C$504,$J60)))</f>
        <v/>
      </c>
      <c r="D60" s="46" t="str">
        <f>IF($J60="","",IF(ISBLANK(INDEX('Product Backlog'!$D$5:$D$504,$J60)),"",INDEX('Product Backlog'!$D$5:$D$504,$J60)))</f>
        <v/>
      </c>
      <c r="E60" s="46" t="str">
        <f>IF($J60="","",IF(ISBLANK(INDEX('Product Backlog'!$E$5:$E$504,$J60)),"",INDEX('Product Backlog'!$E$5:$E$504,$J60)))</f>
        <v/>
      </c>
      <c r="F60" s="47" t="str">
        <f>IF($J60="","",IF(ISBLANK(INDEX('Product Backlog'!$F$5:$F$504,$J60)),"",INDEX('Product Backlog'!$F$5:$F$504,$J60)))</f>
        <v/>
      </c>
      <c r="G60" s="47" t="str">
        <f>IF($J60="","",IF(ISBLANK(INDEX('Product Backlog'!$G$5:$G$504,$J60)),"",INDEX('Product Backlog'!$G$5:$G$504,$J60)))</f>
        <v/>
      </c>
      <c r="H60" s="48" t="str">
        <f>IF($J60="","",IF(ISBLANK(INDEX('Product Backlog'!$H$5:$H$504,$J60)),"",INDEX('Product Backlog'!$H$5:$H$504,$J60)))</f>
        <v/>
      </c>
      <c r="I60" s="48" t="str">
        <f>IF($J60="","",IF(ISBLANK(INDEX('Product Backlog'!$I$5:$I$504,$J60)),"",INDEX('Product Backlog'!$I$5:$I$504,$J60)))</f>
        <v/>
      </c>
      <c r="J60" t="str">
        <f>IFERROR(MATCH($B$4&amp;"-"&amp;ROWS($A$10:A60),'Product Backlog'!$J$5:$J$504,0),"")</f>
        <v/>
      </c>
    </row>
    <row r="61" spans="1:10" ht="21" customHeight="1" x14ac:dyDescent="0.2">
      <c r="A61" s="46" t="str">
        <f>IF($J61="","",IF(ISBLANK(INDEX('Product Backlog'!$A$5:$A$504,$J61)),"",INDEX('Product Backlog'!$A$5:$A$504,$J61)))</f>
        <v/>
      </c>
      <c r="B61" s="46" t="str">
        <f>IF($J61="","",IF(ISBLANK(INDEX('Product Backlog'!$B$5:$B$504,$J61)),"",INDEX('Product Backlog'!$B$5:$B$504,$J61)))</f>
        <v/>
      </c>
      <c r="C61" s="46" t="str">
        <f>IF($J61="","",IF(ISBLANK(INDEX('Product Backlog'!$C$5:$C$504,$J61)),"",INDEX('Product Backlog'!$C$5:$C$504,$J61)))</f>
        <v/>
      </c>
      <c r="D61" s="46" t="str">
        <f>IF($J61="","",IF(ISBLANK(INDEX('Product Backlog'!$D$5:$D$504,$J61)),"",INDEX('Product Backlog'!$D$5:$D$504,$J61)))</f>
        <v/>
      </c>
      <c r="E61" s="46" t="str">
        <f>IF($J61="","",IF(ISBLANK(INDEX('Product Backlog'!$E$5:$E$504,$J61)),"",INDEX('Product Backlog'!$E$5:$E$504,$J61)))</f>
        <v/>
      </c>
      <c r="F61" s="47" t="str">
        <f>IF($J61="","",IF(ISBLANK(INDEX('Product Backlog'!$F$5:$F$504,$J61)),"",INDEX('Product Backlog'!$F$5:$F$504,$J61)))</f>
        <v/>
      </c>
      <c r="G61" s="47" t="str">
        <f>IF($J61="","",IF(ISBLANK(INDEX('Product Backlog'!$G$5:$G$504,$J61)),"",INDEX('Product Backlog'!$G$5:$G$504,$J61)))</f>
        <v/>
      </c>
      <c r="H61" s="48" t="str">
        <f>IF($J61="","",IF(ISBLANK(INDEX('Product Backlog'!$H$5:$H$504,$J61)),"",INDEX('Product Backlog'!$H$5:$H$504,$J61)))</f>
        <v/>
      </c>
      <c r="I61" s="48" t="str">
        <f>IF($J61="","",IF(ISBLANK(INDEX('Product Backlog'!$I$5:$I$504,$J61)),"",INDEX('Product Backlog'!$I$5:$I$504,$J61)))</f>
        <v/>
      </c>
      <c r="J61" t="str">
        <f>IFERROR(MATCH($B$4&amp;"-"&amp;ROWS($A$10:A61),'Product Backlog'!$J$5:$J$504,0),"")</f>
        <v/>
      </c>
    </row>
    <row r="62" spans="1:10" ht="21" customHeight="1" x14ac:dyDescent="0.2">
      <c r="A62" s="46" t="str">
        <f>IF($J62="","",IF(ISBLANK(INDEX('Product Backlog'!$A$5:$A$504,$J62)),"",INDEX('Product Backlog'!$A$5:$A$504,$J62)))</f>
        <v/>
      </c>
      <c r="B62" s="46" t="str">
        <f>IF($J62="","",IF(ISBLANK(INDEX('Product Backlog'!$B$5:$B$504,$J62)),"",INDEX('Product Backlog'!$B$5:$B$504,$J62)))</f>
        <v/>
      </c>
      <c r="C62" s="46" t="str">
        <f>IF($J62="","",IF(ISBLANK(INDEX('Product Backlog'!$C$5:$C$504,$J62)),"",INDEX('Product Backlog'!$C$5:$C$504,$J62)))</f>
        <v/>
      </c>
      <c r="D62" s="46" t="str">
        <f>IF($J62="","",IF(ISBLANK(INDEX('Product Backlog'!$D$5:$D$504,$J62)),"",INDEX('Product Backlog'!$D$5:$D$504,$J62)))</f>
        <v/>
      </c>
      <c r="E62" s="46" t="str">
        <f>IF($J62="","",IF(ISBLANK(INDEX('Product Backlog'!$E$5:$E$504,$J62)),"",INDEX('Product Backlog'!$E$5:$E$504,$J62)))</f>
        <v/>
      </c>
      <c r="F62" s="47" t="str">
        <f>IF($J62="","",IF(ISBLANK(INDEX('Product Backlog'!$F$5:$F$504,$J62)),"",INDEX('Product Backlog'!$F$5:$F$504,$J62)))</f>
        <v/>
      </c>
      <c r="G62" s="47" t="str">
        <f>IF($J62="","",IF(ISBLANK(INDEX('Product Backlog'!$G$5:$G$504,$J62)),"",INDEX('Product Backlog'!$G$5:$G$504,$J62)))</f>
        <v/>
      </c>
      <c r="H62" s="48" t="str">
        <f>IF($J62="","",IF(ISBLANK(INDEX('Product Backlog'!$H$5:$H$504,$J62)),"",INDEX('Product Backlog'!$H$5:$H$504,$J62)))</f>
        <v/>
      </c>
      <c r="I62" s="48" t="str">
        <f>IF($J62="","",IF(ISBLANK(INDEX('Product Backlog'!$I$5:$I$504,$J62)),"",INDEX('Product Backlog'!$I$5:$I$504,$J62)))</f>
        <v/>
      </c>
      <c r="J62" t="str">
        <f>IFERROR(MATCH($B$4&amp;"-"&amp;ROWS($A$10:A62),'Product Backlog'!$J$5:$J$504,0),"")</f>
        <v/>
      </c>
    </row>
    <row r="63" spans="1:10" ht="21" customHeight="1" x14ac:dyDescent="0.2">
      <c r="A63" s="46" t="str">
        <f>IF($J63="","",IF(ISBLANK(INDEX('Product Backlog'!$A$5:$A$504,$J63)),"",INDEX('Product Backlog'!$A$5:$A$504,$J63)))</f>
        <v/>
      </c>
      <c r="B63" s="46" t="str">
        <f>IF($J63="","",IF(ISBLANK(INDEX('Product Backlog'!$B$5:$B$504,$J63)),"",INDEX('Product Backlog'!$B$5:$B$504,$J63)))</f>
        <v/>
      </c>
      <c r="C63" s="46" t="str">
        <f>IF($J63="","",IF(ISBLANK(INDEX('Product Backlog'!$C$5:$C$504,$J63)),"",INDEX('Product Backlog'!$C$5:$C$504,$J63)))</f>
        <v/>
      </c>
      <c r="D63" s="46" t="str">
        <f>IF($J63="","",IF(ISBLANK(INDEX('Product Backlog'!$D$5:$D$504,$J63)),"",INDEX('Product Backlog'!$D$5:$D$504,$J63)))</f>
        <v/>
      </c>
      <c r="E63" s="46" t="str">
        <f>IF($J63="","",IF(ISBLANK(INDEX('Product Backlog'!$E$5:$E$504,$J63)),"",INDEX('Product Backlog'!$E$5:$E$504,$J63)))</f>
        <v/>
      </c>
      <c r="F63" s="47" t="str">
        <f>IF($J63="","",IF(ISBLANK(INDEX('Product Backlog'!$F$5:$F$504,$J63)),"",INDEX('Product Backlog'!$F$5:$F$504,$J63)))</f>
        <v/>
      </c>
      <c r="G63" s="47" t="str">
        <f>IF($J63="","",IF(ISBLANK(INDEX('Product Backlog'!$G$5:$G$504,$J63)),"",INDEX('Product Backlog'!$G$5:$G$504,$J63)))</f>
        <v/>
      </c>
      <c r="H63" s="48" t="str">
        <f>IF($J63="","",IF(ISBLANK(INDEX('Product Backlog'!$H$5:$H$504,$J63)),"",INDEX('Product Backlog'!$H$5:$H$504,$J63)))</f>
        <v/>
      </c>
      <c r="I63" s="48" t="str">
        <f>IF($J63="","",IF(ISBLANK(INDEX('Product Backlog'!$I$5:$I$504,$J63)),"",INDEX('Product Backlog'!$I$5:$I$504,$J63)))</f>
        <v/>
      </c>
      <c r="J63" t="str">
        <f>IFERROR(MATCH($B$4&amp;"-"&amp;ROWS($A$10:A63),'Product Backlog'!$J$5:$J$504,0),"")</f>
        <v/>
      </c>
    </row>
    <row r="64" spans="1:10" ht="21" customHeight="1" x14ac:dyDescent="0.2">
      <c r="A64" s="46" t="str">
        <f>IF($J64="","",IF(ISBLANK(INDEX('Product Backlog'!$A$5:$A$504,$J64)),"",INDEX('Product Backlog'!$A$5:$A$504,$J64)))</f>
        <v/>
      </c>
      <c r="B64" s="46" t="str">
        <f>IF($J64="","",IF(ISBLANK(INDEX('Product Backlog'!$B$5:$B$504,$J64)),"",INDEX('Product Backlog'!$B$5:$B$504,$J64)))</f>
        <v/>
      </c>
      <c r="C64" s="46" t="str">
        <f>IF($J64="","",IF(ISBLANK(INDEX('Product Backlog'!$C$5:$C$504,$J64)),"",INDEX('Product Backlog'!$C$5:$C$504,$J64)))</f>
        <v/>
      </c>
      <c r="D64" s="46" t="str">
        <f>IF($J64="","",IF(ISBLANK(INDEX('Product Backlog'!$D$5:$D$504,$J64)),"",INDEX('Product Backlog'!$D$5:$D$504,$J64)))</f>
        <v/>
      </c>
      <c r="E64" s="46" t="str">
        <f>IF($J64="","",IF(ISBLANK(INDEX('Product Backlog'!$E$5:$E$504,$J64)),"",INDEX('Product Backlog'!$E$5:$E$504,$J64)))</f>
        <v/>
      </c>
      <c r="F64" s="47" t="str">
        <f>IF($J64="","",IF(ISBLANK(INDEX('Product Backlog'!$F$5:$F$504,$J64)),"",INDEX('Product Backlog'!$F$5:$F$504,$J64)))</f>
        <v/>
      </c>
      <c r="G64" s="47" t="str">
        <f>IF($J64="","",IF(ISBLANK(INDEX('Product Backlog'!$G$5:$G$504,$J64)),"",INDEX('Product Backlog'!$G$5:$G$504,$J64)))</f>
        <v/>
      </c>
      <c r="H64" s="48" t="str">
        <f>IF($J64="","",IF(ISBLANK(INDEX('Product Backlog'!$H$5:$H$504,$J64)),"",INDEX('Product Backlog'!$H$5:$H$504,$J64)))</f>
        <v/>
      </c>
      <c r="I64" s="48" t="str">
        <f>IF($J64="","",IF(ISBLANK(INDEX('Product Backlog'!$I$5:$I$504,$J64)),"",INDEX('Product Backlog'!$I$5:$I$504,$J64)))</f>
        <v/>
      </c>
      <c r="J64" t="str">
        <f>IFERROR(MATCH($B$4&amp;"-"&amp;ROWS($A$10:A64),'Product Backlog'!$J$5:$J$504,0),"")</f>
        <v/>
      </c>
    </row>
    <row r="65" spans="1:10" ht="21" customHeight="1" x14ac:dyDescent="0.2">
      <c r="A65" s="46" t="str">
        <f>IF($J65="","",IF(ISBLANK(INDEX('Product Backlog'!$A$5:$A$504,$J65)),"",INDEX('Product Backlog'!$A$5:$A$504,$J65)))</f>
        <v/>
      </c>
      <c r="B65" s="46" t="str">
        <f>IF($J65="","",IF(ISBLANK(INDEX('Product Backlog'!$B$5:$B$504,$J65)),"",INDEX('Product Backlog'!$B$5:$B$504,$J65)))</f>
        <v/>
      </c>
      <c r="C65" s="46" t="str">
        <f>IF($J65="","",IF(ISBLANK(INDEX('Product Backlog'!$C$5:$C$504,$J65)),"",INDEX('Product Backlog'!$C$5:$C$504,$J65)))</f>
        <v/>
      </c>
      <c r="D65" s="46" t="str">
        <f>IF($J65="","",IF(ISBLANK(INDEX('Product Backlog'!$D$5:$D$504,$J65)),"",INDEX('Product Backlog'!$D$5:$D$504,$J65)))</f>
        <v/>
      </c>
      <c r="E65" s="46" t="str">
        <f>IF($J65="","",IF(ISBLANK(INDEX('Product Backlog'!$E$5:$E$504,$J65)),"",INDEX('Product Backlog'!$E$5:$E$504,$J65)))</f>
        <v/>
      </c>
      <c r="F65" s="47" t="str">
        <f>IF($J65="","",IF(ISBLANK(INDEX('Product Backlog'!$F$5:$F$504,$J65)),"",INDEX('Product Backlog'!$F$5:$F$504,$J65)))</f>
        <v/>
      </c>
      <c r="G65" s="47" t="str">
        <f>IF($J65="","",IF(ISBLANK(INDEX('Product Backlog'!$G$5:$G$504,$J65)),"",INDEX('Product Backlog'!$G$5:$G$504,$J65)))</f>
        <v/>
      </c>
      <c r="H65" s="48" t="str">
        <f>IF($J65="","",IF(ISBLANK(INDEX('Product Backlog'!$H$5:$H$504,$J65)),"",INDEX('Product Backlog'!$H$5:$H$504,$J65)))</f>
        <v/>
      </c>
      <c r="I65" s="48" t="str">
        <f>IF($J65="","",IF(ISBLANK(INDEX('Product Backlog'!$I$5:$I$504,$J65)),"",INDEX('Product Backlog'!$I$5:$I$504,$J65)))</f>
        <v/>
      </c>
      <c r="J65" t="str">
        <f>IFERROR(MATCH($B$4&amp;"-"&amp;ROWS($A$10:A65),'Product Backlog'!$J$5:$J$504,0),"")</f>
        <v/>
      </c>
    </row>
    <row r="66" spans="1:10" ht="21" customHeight="1" x14ac:dyDescent="0.2">
      <c r="A66" s="46" t="str">
        <f>IF($J66="","",IF(ISBLANK(INDEX('Product Backlog'!$A$5:$A$504,$J66)),"",INDEX('Product Backlog'!$A$5:$A$504,$J66)))</f>
        <v/>
      </c>
      <c r="B66" s="46" t="str">
        <f>IF($J66="","",IF(ISBLANK(INDEX('Product Backlog'!$B$5:$B$504,$J66)),"",INDEX('Product Backlog'!$B$5:$B$504,$J66)))</f>
        <v/>
      </c>
      <c r="C66" s="46" t="str">
        <f>IF($J66="","",IF(ISBLANK(INDEX('Product Backlog'!$C$5:$C$504,$J66)),"",INDEX('Product Backlog'!$C$5:$C$504,$J66)))</f>
        <v/>
      </c>
      <c r="D66" s="46" t="str">
        <f>IF($J66="","",IF(ISBLANK(INDEX('Product Backlog'!$D$5:$D$504,$J66)),"",INDEX('Product Backlog'!$D$5:$D$504,$J66)))</f>
        <v/>
      </c>
      <c r="E66" s="46" t="str">
        <f>IF($J66="","",IF(ISBLANK(INDEX('Product Backlog'!$E$5:$E$504,$J66)),"",INDEX('Product Backlog'!$E$5:$E$504,$J66)))</f>
        <v/>
      </c>
      <c r="F66" s="47" t="str">
        <f>IF($J66="","",IF(ISBLANK(INDEX('Product Backlog'!$F$5:$F$504,$J66)),"",INDEX('Product Backlog'!$F$5:$F$504,$J66)))</f>
        <v/>
      </c>
      <c r="G66" s="47" t="str">
        <f>IF($J66="","",IF(ISBLANK(INDEX('Product Backlog'!$G$5:$G$504,$J66)),"",INDEX('Product Backlog'!$G$5:$G$504,$J66)))</f>
        <v/>
      </c>
      <c r="H66" s="48" t="str">
        <f>IF($J66="","",IF(ISBLANK(INDEX('Product Backlog'!$H$5:$H$504,$J66)),"",INDEX('Product Backlog'!$H$5:$H$504,$J66)))</f>
        <v/>
      </c>
      <c r="I66" s="48" t="str">
        <f>IF($J66="","",IF(ISBLANK(INDEX('Product Backlog'!$I$5:$I$504,$J66)),"",INDEX('Product Backlog'!$I$5:$I$504,$J66)))</f>
        <v/>
      </c>
      <c r="J66" t="str">
        <f>IFERROR(MATCH($B$4&amp;"-"&amp;ROWS($A$10:A66),'Product Backlog'!$J$5:$J$504,0),"")</f>
        <v/>
      </c>
    </row>
    <row r="67" spans="1:10" ht="21" customHeight="1" x14ac:dyDescent="0.2">
      <c r="A67" s="46" t="str">
        <f>IF($J67="","",IF(ISBLANK(INDEX('Product Backlog'!$A$5:$A$504,$J67)),"",INDEX('Product Backlog'!$A$5:$A$504,$J67)))</f>
        <v/>
      </c>
      <c r="B67" s="46" t="str">
        <f>IF($J67="","",IF(ISBLANK(INDEX('Product Backlog'!$B$5:$B$504,$J67)),"",INDEX('Product Backlog'!$B$5:$B$504,$J67)))</f>
        <v/>
      </c>
      <c r="C67" s="46" t="str">
        <f>IF($J67="","",IF(ISBLANK(INDEX('Product Backlog'!$C$5:$C$504,$J67)),"",INDEX('Product Backlog'!$C$5:$C$504,$J67)))</f>
        <v/>
      </c>
      <c r="D67" s="46" t="str">
        <f>IF($J67="","",IF(ISBLANK(INDEX('Product Backlog'!$D$5:$D$504,$J67)),"",INDEX('Product Backlog'!$D$5:$D$504,$J67)))</f>
        <v/>
      </c>
      <c r="E67" s="46" t="str">
        <f>IF($J67="","",IF(ISBLANK(INDEX('Product Backlog'!$E$5:$E$504,$J67)),"",INDEX('Product Backlog'!$E$5:$E$504,$J67)))</f>
        <v/>
      </c>
      <c r="F67" s="47" t="str">
        <f>IF($J67="","",IF(ISBLANK(INDEX('Product Backlog'!$F$5:$F$504,$J67)),"",INDEX('Product Backlog'!$F$5:$F$504,$J67)))</f>
        <v/>
      </c>
      <c r="G67" s="47" t="str">
        <f>IF($J67="","",IF(ISBLANK(INDEX('Product Backlog'!$G$5:$G$504,$J67)),"",INDEX('Product Backlog'!$G$5:$G$504,$J67)))</f>
        <v/>
      </c>
      <c r="H67" s="48" t="str">
        <f>IF($J67="","",IF(ISBLANK(INDEX('Product Backlog'!$H$5:$H$504,$J67)),"",INDEX('Product Backlog'!$H$5:$H$504,$J67)))</f>
        <v/>
      </c>
      <c r="I67" s="48" t="str">
        <f>IF($J67="","",IF(ISBLANK(INDEX('Product Backlog'!$I$5:$I$504,$J67)),"",INDEX('Product Backlog'!$I$5:$I$504,$J67)))</f>
        <v/>
      </c>
      <c r="J67" t="str">
        <f>IFERROR(MATCH($B$4&amp;"-"&amp;ROWS($A$10:A67),'Product Backlog'!$J$5:$J$504,0),"")</f>
        <v/>
      </c>
    </row>
    <row r="68" spans="1:10" ht="21" customHeight="1" x14ac:dyDescent="0.2">
      <c r="A68" s="46" t="str">
        <f>IF($J68="","",IF(ISBLANK(INDEX('Product Backlog'!$A$5:$A$504,$J68)),"",INDEX('Product Backlog'!$A$5:$A$504,$J68)))</f>
        <v/>
      </c>
      <c r="B68" s="46" t="str">
        <f>IF($J68="","",IF(ISBLANK(INDEX('Product Backlog'!$B$5:$B$504,$J68)),"",INDEX('Product Backlog'!$B$5:$B$504,$J68)))</f>
        <v/>
      </c>
      <c r="C68" s="46" t="str">
        <f>IF($J68="","",IF(ISBLANK(INDEX('Product Backlog'!$C$5:$C$504,$J68)),"",INDEX('Product Backlog'!$C$5:$C$504,$J68)))</f>
        <v/>
      </c>
      <c r="D68" s="46" t="str">
        <f>IF($J68="","",IF(ISBLANK(INDEX('Product Backlog'!$D$5:$D$504,$J68)),"",INDEX('Product Backlog'!$D$5:$D$504,$J68)))</f>
        <v/>
      </c>
      <c r="E68" s="46" t="str">
        <f>IF($J68="","",IF(ISBLANK(INDEX('Product Backlog'!$E$5:$E$504,$J68)),"",INDEX('Product Backlog'!$E$5:$E$504,$J68)))</f>
        <v/>
      </c>
      <c r="F68" s="47" t="str">
        <f>IF($J68="","",IF(ISBLANK(INDEX('Product Backlog'!$F$5:$F$504,$J68)),"",INDEX('Product Backlog'!$F$5:$F$504,$J68)))</f>
        <v/>
      </c>
      <c r="G68" s="47" t="str">
        <f>IF($J68="","",IF(ISBLANK(INDEX('Product Backlog'!$G$5:$G$504,$J68)),"",INDEX('Product Backlog'!$G$5:$G$504,$J68)))</f>
        <v/>
      </c>
      <c r="H68" s="48" t="str">
        <f>IF($J68="","",IF(ISBLANK(INDEX('Product Backlog'!$H$5:$H$504,$J68)),"",INDEX('Product Backlog'!$H$5:$H$504,$J68)))</f>
        <v/>
      </c>
      <c r="I68" s="48" t="str">
        <f>IF($J68="","",IF(ISBLANK(INDEX('Product Backlog'!$I$5:$I$504,$J68)),"",INDEX('Product Backlog'!$I$5:$I$504,$J68)))</f>
        <v/>
      </c>
      <c r="J68" t="str">
        <f>IFERROR(MATCH($B$4&amp;"-"&amp;ROWS($A$10:A68),'Product Backlog'!$J$5:$J$504,0),"")</f>
        <v/>
      </c>
    </row>
    <row r="69" spans="1:10" ht="21" customHeight="1" x14ac:dyDescent="0.2">
      <c r="A69" s="46" t="str">
        <f>IF($J69="","",IF(ISBLANK(INDEX('Product Backlog'!$A$5:$A$504,$J69)),"",INDEX('Product Backlog'!$A$5:$A$504,$J69)))</f>
        <v/>
      </c>
      <c r="B69" s="46" t="str">
        <f>IF($J69="","",IF(ISBLANK(INDEX('Product Backlog'!$B$5:$B$504,$J69)),"",INDEX('Product Backlog'!$B$5:$B$504,$J69)))</f>
        <v/>
      </c>
      <c r="C69" s="46" t="str">
        <f>IF($J69="","",IF(ISBLANK(INDEX('Product Backlog'!$C$5:$C$504,$J69)),"",INDEX('Product Backlog'!$C$5:$C$504,$J69)))</f>
        <v/>
      </c>
      <c r="D69" s="46" t="str">
        <f>IF($J69="","",IF(ISBLANK(INDEX('Product Backlog'!$D$5:$D$504,$J69)),"",INDEX('Product Backlog'!$D$5:$D$504,$J69)))</f>
        <v/>
      </c>
      <c r="E69" s="46" t="str">
        <f>IF($J69="","",IF(ISBLANK(INDEX('Product Backlog'!$E$5:$E$504,$J69)),"",INDEX('Product Backlog'!$E$5:$E$504,$J69)))</f>
        <v/>
      </c>
      <c r="F69" s="47" t="str">
        <f>IF($J69="","",IF(ISBLANK(INDEX('Product Backlog'!$F$5:$F$504,$J69)),"",INDEX('Product Backlog'!$F$5:$F$504,$J69)))</f>
        <v/>
      </c>
      <c r="G69" s="47" t="str">
        <f>IF($J69="","",IF(ISBLANK(INDEX('Product Backlog'!$G$5:$G$504,$J69)),"",INDEX('Product Backlog'!$G$5:$G$504,$J69)))</f>
        <v/>
      </c>
      <c r="H69" s="48" t="str">
        <f>IF($J69="","",IF(ISBLANK(INDEX('Product Backlog'!$H$5:$H$504,$J69)),"",INDEX('Product Backlog'!$H$5:$H$504,$J69)))</f>
        <v/>
      </c>
      <c r="I69" s="48" t="str">
        <f>IF($J69="","",IF(ISBLANK(INDEX('Product Backlog'!$I$5:$I$504,$J69)),"",INDEX('Product Backlog'!$I$5:$I$504,$J69)))</f>
        <v/>
      </c>
      <c r="J69" t="str">
        <f>IFERROR(MATCH($B$4&amp;"-"&amp;ROWS($A$10:A69),'Product Backlog'!$J$5:$J$504,0),"")</f>
        <v/>
      </c>
    </row>
    <row r="70" spans="1:10" ht="21" customHeight="1" x14ac:dyDescent="0.2">
      <c r="A70" s="46" t="str">
        <f>IF($J70="","",IF(ISBLANK(INDEX('Product Backlog'!$A$5:$A$504,$J70)),"",INDEX('Product Backlog'!$A$5:$A$504,$J70)))</f>
        <v/>
      </c>
      <c r="B70" s="46" t="str">
        <f>IF($J70="","",IF(ISBLANK(INDEX('Product Backlog'!$B$5:$B$504,$J70)),"",INDEX('Product Backlog'!$B$5:$B$504,$J70)))</f>
        <v/>
      </c>
      <c r="C70" s="46" t="str">
        <f>IF($J70="","",IF(ISBLANK(INDEX('Product Backlog'!$C$5:$C$504,$J70)),"",INDEX('Product Backlog'!$C$5:$C$504,$J70)))</f>
        <v/>
      </c>
      <c r="D70" s="46" t="str">
        <f>IF($J70="","",IF(ISBLANK(INDEX('Product Backlog'!$D$5:$D$504,$J70)),"",INDEX('Product Backlog'!$D$5:$D$504,$J70)))</f>
        <v/>
      </c>
      <c r="E70" s="46" t="str">
        <f>IF($J70="","",IF(ISBLANK(INDEX('Product Backlog'!$E$5:$E$504,$J70)),"",INDEX('Product Backlog'!$E$5:$E$504,$J70)))</f>
        <v/>
      </c>
      <c r="F70" s="47" t="str">
        <f>IF($J70="","",IF(ISBLANK(INDEX('Product Backlog'!$F$5:$F$504,$J70)),"",INDEX('Product Backlog'!$F$5:$F$504,$J70)))</f>
        <v/>
      </c>
      <c r="G70" s="47" t="str">
        <f>IF($J70="","",IF(ISBLANK(INDEX('Product Backlog'!$G$5:$G$504,$J70)),"",INDEX('Product Backlog'!$G$5:$G$504,$J70)))</f>
        <v/>
      </c>
      <c r="H70" s="48" t="str">
        <f>IF($J70="","",IF(ISBLANK(INDEX('Product Backlog'!$H$5:$H$504,$J70)),"",INDEX('Product Backlog'!$H$5:$H$504,$J70)))</f>
        <v/>
      </c>
      <c r="I70" s="48" t="str">
        <f>IF($J70="","",IF(ISBLANK(INDEX('Product Backlog'!$I$5:$I$504,$J70)),"",INDEX('Product Backlog'!$I$5:$I$504,$J70)))</f>
        <v/>
      </c>
      <c r="J70" t="str">
        <f>IFERROR(MATCH($B$4&amp;"-"&amp;ROWS($A$10:A70),'Product Backlog'!$J$5:$J$504,0),"")</f>
        <v/>
      </c>
    </row>
    <row r="71" spans="1:10" ht="21" customHeight="1" x14ac:dyDescent="0.2">
      <c r="A71" s="46" t="str">
        <f>IF($J71="","",IF(ISBLANK(INDEX('Product Backlog'!$A$5:$A$504,$J71)),"",INDEX('Product Backlog'!$A$5:$A$504,$J71)))</f>
        <v/>
      </c>
      <c r="B71" s="46" t="str">
        <f>IF($J71="","",IF(ISBLANK(INDEX('Product Backlog'!$B$5:$B$504,$J71)),"",INDEX('Product Backlog'!$B$5:$B$504,$J71)))</f>
        <v/>
      </c>
      <c r="C71" s="46" t="str">
        <f>IF($J71="","",IF(ISBLANK(INDEX('Product Backlog'!$C$5:$C$504,$J71)),"",INDEX('Product Backlog'!$C$5:$C$504,$J71)))</f>
        <v/>
      </c>
      <c r="D71" s="46" t="str">
        <f>IF($J71="","",IF(ISBLANK(INDEX('Product Backlog'!$D$5:$D$504,$J71)),"",INDEX('Product Backlog'!$D$5:$D$504,$J71)))</f>
        <v/>
      </c>
      <c r="E71" s="46" t="str">
        <f>IF($J71="","",IF(ISBLANK(INDEX('Product Backlog'!$E$5:$E$504,$J71)),"",INDEX('Product Backlog'!$E$5:$E$504,$J71)))</f>
        <v/>
      </c>
      <c r="F71" s="47" t="str">
        <f>IF($J71="","",IF(ISBLANK(INDEX('Product Backlog'!$F$5:$F$504,$J71)),"",INDEX('Product Backlog'!$F$5:$F$504,$J71)))</f>
        <v/>
      </c>
      <c r="G71" s="47" t="str">
        <f>IF($J71="","",IF(ISBLANK(INDEX('Product Backlog'!$G$5:$G$504,$J71)),"",INDEX('Product Backlog'!$G$5:$G$504,$J71)))</f>
        <v/>
      </c>
      <c r="H71" s="48" t="str">
        <f>IF($J71="","",IF(ISBLANK(INDEX('Product Backlog'!$H$5:$H$504,$J71)),"",INDEX('Product Backlog'!$H$5:$H$504,$J71)))</f>
        <v/>
      </c>
      <c r="I71" s="48" t="str">
        <f>IF($J71="","",IF(ISBLANK(INDEX('Product Backlog'!$I$5:$I$504,$J71)),"",INDEX('Product Backlog'!$I$5:$I$504,$J71)))</f>
        <v/>
      </c>
      <c r="J71" t="str">
        <f>IFERROR(MATCH($B$4&amp;"-"&amp;ROWS($A$10:A71),'Product Backlog'!$J$5:$J$504,0),"")</f>
        <v/>
      </c>
    </row>
    <row r="72" spans="1:10" ht="21" customHeight="1" x14ac:dyDescent="0.2">
      <c r="A72" s="46" t="str">
        <f>IF($J72="","",IF(ISBLANK(INDEX('Product Backlog'!$A$5:$A$504,$J72)),"",INDEX('Product Backlog'!$A$5:$A$504,$J72)))</f>
        <v/>
      </c>
      <c r="B72" s="46" t="str">
        <f>IF($J72="","",IF(ISBLANK(INDEX('Product Backlog'!$B$5:$B$504,$J72)),"",INDEX('Product Backlog'!$B$5:$B$504,$J72)))</f>
        <v/>
      </c>
      <c r="C72" s="46" t="str">
        <f>IF($J72="","",IF(ISBLANK(INDEX('Product Backlog'!$C$5:$C$504,$J72)),"",INDEX('Product Backlog'!$C$5:$C$504,$J72)))</f>
        <v/>
      </c>
      <c r="D72" s="46" t="str">
        <f>IF($J72="","",IF(ISBLANK(INDEX('Product Backlog'!$D$5:$D$504,$J72)),"",INDEX('Product Backlog'!$D$5:$D$504,$J72)))</f>
        <v/>
      </c>
      <c r="E72" s="46" t="str">
        <f>IF($J72="","",IF(ISBLANK(INDEX('Product Backlog'!$E$5:$E$504,$J72)),"",INDEX('Product Backlog'!$E$5:$E$504,$J72)))</f>
        <v/>
      </c>
      <c r="F72" s="47" t="str">
        <f>IF($J72="","",IF(ISBLANK(INDEX('Product Backlog'!$F$5:$F$504,$J72)),"",INDEX('Product Backlog'!$F$5:$F$504,$J72)))</f>
        <v/>
      </c>
      <c r="G72" s="47" t="str">
        <f>IF($J72="","",IF(ISBLANK(INDEX('Product Backlog'!$G$5:$G$504,$J72)),"",INDEX('Product Backlog'!$G$5:$G$504,$J72)))</f>
        <v/>
      </c>
      <c r="H72" s="48" t="str">
        <f>IF($J72="","",IF(ISBLANK(INDEX('Product Backlog'!$H$5:$H$504,$J72)),"",INDEX('Product Backlog'!$H$5:$H$504,$J72)))</f>
        <v/>
      </c>
      <c r="I72" s="48" t="str">
        <f>IF($J72="","",IF(ISBLANK(INDEX('Product Backlog'!$I$5:$I$504,$J72)),"",INDEX('Product Backlog'!$I$5:$I$504,$J72)))</f>
        <v/>
      </c>
      <c r="J72" t="str">
        <f>IFERROR(MATCH($B$4&amp;"-"&amp;ROWS($A$10:A72),'Product Backlog'!$J$5:$J$504,0),"")</f>
        <v/>
      </c>
    </row>
    <row r="73" spans="1:10" ht="21" customHeight="1" x14ac:dyDescent="0.2">
      <c r="A73" s="46" t="str">
        <f>IF($J73="","",IF(ISBLANK(INDEX('Product Backlog'!$A$5:$A$504,$J73)),"",INDEX('Product Backlog'!$A$5:$A$504,$J73)))</f>
        <v/>
      </c>
      <c r="B73" s="46" t="str">
        <f>IF($J73="","",IF(ISBLANK(INDEX('Product Backlog'!$B$5:$B$504,$J73)),"",INDEX('Product Backlog'!$B$5:$B$504,$J73)))</f>
        <v/>
      </c>
      <c r="C73" s="46" t="str">
        <f>IF($J73="","",IF(ISBLANK(INDEX('Product Backlog'!$C$5:$C$504,$J73)),"",INDEX('Product Backlog'!$C$5:$C$504,$J73)))</f>
        <v/>
      </c>
      <c r="D73" s="46" t="str">
        <f>IF($J73="","",IF(ISBLANK(INDEX('Product Backlog'!$D$5:$D$504,$J73)),"",INDEX('Product Backlog'!$D$5:$D$504,$J73)))</f>
        <v/>
      </c>
      <c r="E73" s="46" t="str">
        <f>IF($J73="","",IF(ISBLANK(INDEX('Product Backlog'!$E$5:$E$504,$J73)),"",INDEX('Product Backlog'!$E$5:$E$504,$J73)))</f>
        <v/>
      </c>
      <c r="F73" s="47" t="str">
        <f>IF($J73="","",IF(ISBLANK(INDEX('Product Backlog'!$F$5:$F$504,$J73)),"",INDEX('Product Backlog'!$F$5:$F$504,$J73)))</f>
        <v/>
      </c>
      <c r="G73" s="47" t="str">
        <f>IF($J73="","",IF(ISBLANK(INDEX('Product Backlog'!$G$5:$G$504,$J73)),"",INDEX('Product Backlog'!$G$5:$G$504,$J73)))</f>
        <v/>
      </c>
      <c r="H73" s="48" t="str">
        <f>IF($J73="","",IF(ISBLANK(INDEX('Product Backlog'!$H$5:$H$504,$J73)),"",INDEX('Product Backlog'!$H$5:$H$504,$J73)))</f>
        <v/>
      </c>
      <c r="I73" s="48" t="str">
        <f>IF($J73="","",IF(ISBLANK(INDEX('Product Backlog'!$I$5:$I$504,$J73)),"",INDEX('Product Backlog'!$I$5:$I$504,$J73)))</f>
        <v/>
      </c>
      <c r="J73" t="str">
        <f>IFERROR(MATCH($B$4&amp;"-"&amp;ROWS($A$10:A73),'Product Backlog'!$J$5:$J$504,0),"")</f>
        <v/>
      </c>
    </row>
    <row r="74" spans="1:10" ht="21" customHeight="1" x14ac:dyDescent="0.2">
      <c r="A74" s="46" t="str">
        <f>IF($J74="","",IF(ISBLANK(INDEX('Product Backlog'!$A$5:$A$504,$J74)),"",INDEX('Product Backlog'!$A$5:$A$504,$J74)))</f>
        <v/>
      </c>
      <c r="B74" s="46" t="str">
        <f>IF($J74="","",IF(ISBLANK(INDEX('Product Backlog'!$B$5:$B$504,$J74)),"",INDEX('Product Backlog'!$B$5:$B$504,$J74)))</f>
        <v/>
      </c>
      <c r="C74" s="46" t="str">
        <f>IF($J74="","",IF(ISBLANK(INDEX('Product Backlog'!$C$5:$C$504,$J74)),"",INDEX('Product Backlog'!$C$5:$C$504,$J74)))</f>
        <v/>
      </c>
      <c r="D74" s="46" t="str">
        <f>IF($J74="","",IF(ISBLANK(INDEX('Product Backlog'!$D$5:$D$504,$J74)),"",INDEX('Product Backlog'!$D$5:$D$504,$J74)))</f>
        <v/>
      </c>
      <c r="E74" s="46" t="str">
        <f>IF($J74="","",IF(ISBLANK(INDEX('Product Backlog'!$E$5:$E$504,$J74)),"",INDEX('Product Backlog'!$E$5:$E$504,$J74)))</f>
        <v/>
      </c>
      <c r="F74" s="47" t="str">
        <f>IF($J74="","",IF(ISBLANK(INDEX('Product Backlog'!$F$5:$F$504,$J74)),"",INDEX('Product Backlog'!$F$5:$F$504,$J74)))</f>
        <v/>
      </c>
      <c r="G74" s="47" t="str">
        <f>IF($J74="","",IF(ISBLANK(INDEX('Product Backlog'!$G$5:$G$504,$J74)),"",INDEX('Product Backlog'!$G$5:$G$504,$J74)))</f>
        <v/>
      </c>
      <c r="H74" s="48" t="str">
        <f>IF($J74="","",IF(ISBLANK(INDEX('Product Backlog'!$H$5:$H$504,$J74)),"",INDEX('Product Backlog'!$H$5:$H$504,$J74)))</f>
        <v/>
      </c>
      <c r="I74" s="48" t="str">
        <f>IF($J74="","",IF(ISBLANK(INDEX('Product Backlog'!$I$5:$I$504,$J74)),"",INDEX('Product Backlog'!$I$5:$I$504,$J74)))</f>
        <v/>
      </c>
      <c r="J74" t="str">
        <f>IFERROR(MATCH($B$4&amp;"-"&amp;ROWS($A$10:A74),'Product Backlog'!$J$5:$J$504,0),"")</f>
        <v/>
      </c>
    </row>
    <row r="75" spans="1:10" ht="21" customHeight="1" x14ac:dyDescent="0.2">
      <c r="A75" s="46" t="str">
        <f>IF($J75="","",IF(ISBLANK(INDEX('Product Backlog'!$A$5:$A$504,$J75)),"",INDEX('Product Backlog'!$A$5:$A$504,$J75)))</f>
        <v/>
      </c>
      <c r="B75" s="46" t="str">
        <f>IF($J75="","",IF(ISBLANK(INDEX('Product Backlog'!$B$5:$B$504,$J75)),"",INDEX('Product Backlog'!$B$5:$B$504,$J75)))</f>
        <v/>
      </c>
      <c r="C75" s="46" t="str">
        <f>IF($J75="","",IF(ISBLANK(INDEX('Product Backlog'!$C$5:$C$504,$J75)),"",INDEX('Product Backlog'!$C$5:$C$504,$J75)))</f>
        <v/>
      </c>
      <c r="D75" s="46" t="str">
        <f>IF($J75="","",IF(ISBLANK(INDEX('Product Backlog'!$D$5:$D$504,$J75)),"",INDEX('Product Backlog'!$D$5:$D$504,$J75)))</f>
        <v/>
      </c>
      <c r="E75" s="46" t="str">
        <f>IF($J75="","",IF(ISBLANK(INDEX('Product Backlog'!$E$5:$E$504,$J75)),"",INDEX('Product Backlog'!$E$5:$E$504,$J75)))</f>
        <v/>
      </c>
      <c r="F75" s="47" t="str">
        <f>IF($J75="","",IF(ISBLANK(INDEX('Product Backlog'!$F$5:$F$504,$J75)),"",INDEX('Product Backlog'!$F$5:$F$504,$J75)))</f>
        <v/>
      </c>
      <c r="G75" s="47" t="str">
        <f>IF($J75="","",IF(ISBLANK(INDEX('Product Backlog'!$G$5:$G$504,$J75)),"",INDEX('Product Backlog'!$G$5:$G$504,$J75)))</f>
        <v/>
      </c>
      <c r="H75" s="48" t="str">
        <f>IF($J75="","",IF(ISBLANK(INDEX('Product Backlog'!$H$5:$H$504,$J75)),"",INDEX('Product Backlog'!$H$5:$H$504,$J75)))</f>
        <v/>
      </c>
      <c r="I75" s="48" t="str">
        <f>IF($J75="","",IF(ISBLANK(INDEX('Product Backlog'!$I$5:$I$504,$J75)),"",INDEX('Product Backlog'!$I$5:$I$504,$J75)))</f>
        <v/>
      </c>
      <c r="J75" t="str">
        <f>IFERROR(MATCH($B$4&amp;"-"&amp;ROWS($A$10:A75),'Product Backlog'!$J$5:$J$504,0),"")</f>
        <v/>
      </c>
    </row>
    <row r="76" spans="1:10" ht="21" customHeight="1" x14ac:dyDescent="0.2">
      <c r="A76" s="46" t="str">
        <f>IF($J76="","",IF(ISBLANK(INDEX('Product Backlog'!$A$5:$A$504,$J76)),"",INDEX('Product Backlog'!$A$5:$A$504,$J76)))</f>
        <v/>
      </c>
      <c r="B76" s="46" t="str">
        <f>IF($J76="","",IF(ISBLANK(INDEX('Product Backlog'!$B$5:$B$504,$J76)),"",INDEX('Product Backlog'!$B$5:$B$504,$J76)))</f>
        <v/>
      </c>
      <c r="C76" s="46" t="str">
        <f>IF($J76="","",IF(ISBLANK(INDEX('Product Backlog'!$C$5:$C$504,$J76)),"",INDEX('Product Backlog'!$C$5:$C$504,$J76)))</f>
        <v/>
      </c>
      <c r="D76" s="46" t="str">
        <f>IF($J76="","",IF(ISBLANK(INDEX('Product Backlog'!$D$5:$D$504,$J76)),"",INDEX('Product Backlog'!$D$5:$D$504,$J76)))</f>
        <v/>
      </c>
      <c r="E76" s="46" t="str">
        <f>IF($J76="","",IF(ISBLANK(INDEX('Product Backlog'!$E$5:$E$504,$J76)),"",INDEX('Product Backlog'!$E$5:$E$504,$J76)))</f>
        <v/>
      </c>
      <c r="F76" s="47" t="str">
        <f>IF($J76="","",IF(ISBLANK(INDEX('Product Backlog'!$F$5:$F$504,$J76)),"",INDEX('Product Backlog'!$F$5:$F$504,$J76)))</f>
        <v/>
      </c>
      <c r="G76" s="47" t="str">
        <f>IF($J76="","",IF(ISBLANK(INDEX('Product Backlog'!$G$5:$G$504,$J76)),"",INDEX('Product Backlog'!$G$5:$G$504,$J76)))</f>
        <v/>
      </c>
      <c r="H76" s="48" t="str">
        <f>IF($J76="","",IF(ISBLANK(INDEX('Product Backlog'!$H$5:$H$504,$J76)),"",INDEX('Product Backlog'!$H$5:$H$504,$J76)))</f>
        <v/>
      </c>
      <c r="I76" s="48" t="str">
        <f>IF($J76="","",IF(ISBLANK(INDEX('Product Backlog'!$I$5:$I$504,$J76)),"",INDEX('Product Backlog'!$I$5:$I$504,$J76)))</f>
        <v/>
      </c>
      <c r="J76" t="str">
        <f>IFERROR(MATCH($B$4&amp;"-"&amp;ROWS($A$10:A76),'Product Backlog'!$J$5:$J$504,0),"")</f>
        <v/>
      </c>
    </row>
    <row r="77" spans="1:10" ht="21" customHeight="1" x14ac:dyDescent="0.2">
      <c r="A77" s="46" t="str">
        <f>IF($J77="","",IF(ISBLANK(INDEX('Product Backlog'!$A$5:$A$504,$J77)),"",INDEX('Product Backlog'!$A$5:$A$504,$J77)))</f>
        <v/>
      </c>
      <c r="B77" s="46" t="str">
        <f>IF($J77="","",IF(ISBLANK(INDEX('Product Backlog'!$B$5:$B$504,$J77)),"",INDEX('Product Backlog'!$B$5:$B$504,$J77)))</f>
        <v/>
      </c>
      <c r="C77" s="46" t="str">
        <f>IF($J77="","",IF(ISBLANK(INDEX('Product Backlog'!$C$5:$C$504,$J77)),"",INDEX('Product Backlog'!$C$5:$C$504,$J77)))</f>
        <v/>
      </c>
      <c r="D77" s="46" t="str">
        <f>IF($J77="","",IF(ISBLANK(INDEX('Product Backlog'!$D$5:$D$504,$J77)),"",INDEX('Product Backlog'!$D$5:$D$504,$J77)))</f>
        <v/>
      </c>
      <c r="E77" s="46" t="str">
        <f>IF($J77="","",IF(ISBLANK(INDEX('Product Backlog'!$E$5:$E$504,$J77)),"",INDEX('Product Backlog'!$E$5:$E$504,$J77)))</f>
        <v/>
      </c>
      <c r="F77" s="47" t="str">
        <f>IF($J77="","",IF(ISBLANK(INDEX('Product Backlog'!$F$5:$F$504,$J77)),"",INDEX('Product Backlog'!$F$5:$F$504,$J77)))</f>
        <v/>
      </c>
      <c r="G77" s="47" t="str">
        <f>IF($J77="","",IF(ISBLANK(INDEX('Product Backlog'!$G$5:$G$504,$J77)),"",INDEX('Product Backlog'!$G$5:$G$504,$J77)))</f>
        <v/>
      </c>
      <c r="H77" s="48" t="str">
        <f>IF($J77="","",IF(ISBLANK(INDEX('Product Backlog'!$H$5:$H$504,$J77)),"",INDEX('Product Backlog'!$H$5:$H$504,$J77)))</f>
        <v/>
      </c>
      <c r="I77" s="48" t="str">
        <f>IF($J77="","",IF(ISBLANK(INDEX('Product Backlog'!$I$5:$I$504,$J77)),"",INDEX('Product Backlog'!$I$5:$I$504,$J77)))</f>
        <v/>
      </c>
      <c r="J77" t="str">
        <f>IFERROR(MATCH($B$4&amp;"-"&amp;ROWS($A$10:A77),'Product Backlog'!$J$5:$J$504,0),"")</f>
        <v/>
      </c>
    </row>
    <row r="78" spans="1:10" ht="21" customHeight="1" x14ac:dyDescent="0.2">
      <c r="A78" s="46" t="str">
        <f>IF($J78="","",IF(ISBLANK(INDEX('Product Backlog'!$A$5:$A$504,$J78)),"",INDEX('Product Backlog'!$A$5:$A$504,$J78)))</f>
        <v/>
      </c>
      <c r="B78" s="46" t="str">
        <f>IF($J78="","",IF(ISBLANK(INDEX('Product Backlog'!$B$5:$B$504,$J78)),"",INDEX('Product Backlog'!$B$5:$B$504,$J78)))</f>
        <v/>
      </c>
      <c r="C78" s="46" t="str">
        <f>IF($J78="","",IF(ISBLANK(INDEX('Product Backlog'!$C$5:$C$504,$J78)),"",INDEX('Product Backlog'!$C$5:$C$504,$J78)))</f>
        <v/>
      </c>
      <c r="D78" s="46" t="str">
        <f>IF($J78="","",IF(ISBLANK(INDEX('Product Backlog'!$D$5:$D$504,$J78)),"",INDEX('Product Backlog'!$D$5:$D$504,$J78)))</f>
        <v/>
      </c>
      <c r="E78" s="46" t="str">
        <f>IF($J78="","",IF(ISBLANK(INDEX('Product Backlog'!$E$5:$E$504,$J78)),"",INDEX('Product Backlog'!$E$5:$E$504,$J78)))</f>
        <v/>
      </c>
      <c r="F78" s="47" t="str">
        <f>IF($J78="","",IF(ISBLANK(INDEX('Product Backlog'!$F$5:$F$504,$J78)),"",INDEX('Product Backlog'!$F$5:$F$504,$J78)))</f>
        <v/>
      </c>
      <c r="G78" s="47" t="str">
        <f>IF($J78="","",IF(ISBLANK(INDEX('Product Backlog'!$G$5:$G$504,$J78)),"",INDEX('Product Backlog'!$G$5:$G$504,$J78)))</f>
        <v/>
      </c>
      <c r="H78" s="48" t="str">
        <f>IF($J78="","",IF(ISBLANK(INDEX('Product Backlog'!$H$5:$H$504,$J78)),"",INDEX('Product Backlog'!$H$5:$H$504,$J78)))</f>
        <v/>
      </c>
      <c r="I78" s="48" t="str">
        <f>IF($J78="","",IF(ISBLANK(INDEX('Product Backlog'!$I$5:$I$504,$J78)),"",INDEX('Product Backlog'!$I$5:$I$504,$J78)))</f>
        <v/>
      </c>
      <c r="J78" t="str">
        <f>IFERROR(MATCH($B$4&amp;"-"&amp;ROWS($A$10:A78),'Product Backlog'!$J$5:$J$504,0),"")</f>
        <v/>
      </c>
    </row>
    <row r="79" spans="1:10" ht="21" customHeight="1" x14ac:dyDescent="0.2">
      <c r="A79" s="46" t="str">
        <f>IF($J79="","",IF(ISBLANK(INDEX('Product Backlog'!$A$5:$A$504,$J79)),"",INDEX('Product Backlog'!$A$5:$A$504,$J79)))</f>
        <v/>
      </c>
      <c r="B79" s="46" t="str">
        <f>IF($J79="","",IF(ISBLANK(INDEX('Product Backlog'!$B$5:$B$504,$J79)),"",INDEX('Product Backlog'!$B$5:$B$504,$J79)))</f>
        <v/>
      </c>
      <c r="C79" s="46" t="str">
        <f>IF($J79="","",IF(ISBLANK(INDEX('Product Backlog'!$C$5:$C$504,$J79)),"",INDEX('Product Backlog'!$C$5:$C$504,$J79)))</f>
        <v/>
      </c>
      <c r="D79" s="46" t="str">
        <f>IF($J79="","",IF(ISBLANK(INDEX('Product Backlog'!$D$5:$D$504,$J79)),"",INDEX('Product Backlog'!$D$5:$D$504,$J79)))</f>
        <v/>
      </c>
      <c r="E79" s="46" t="str">
        <f>IF($J79="","",IF(ISBLANK(INDEX('Product Backlog'!$E$5:$E$504,$J79)),"",INDEX('Product Backlog'!$E$5:$E$504,$J79)))</f>
        <v/>
      </c>
      <c r="F79" s="47" t="str">
        <f>IF($J79="","",IF(ISBLANK(INDEX('Product Backlog'!$F$5:$F$504,$J79)),"",INDEX('Product Backlog'!$F$5:$F$504,$J79)))</f>
        <v/>
      </c>
      <c r="G79" s="47" t="str">
        <f>IF($J79="","",IF(ISBLANK(INDEX('Product Backlog'!$G$5:$G$504,$J79)),"",INDEX('Product Backlog'!$G$5:$G$504,$J79)))</f>
        <v/>
      </c>
      <c r="H79" s="48" t="str">
        <f>IF($J79="","",IF(ISBLANK(INDEX('Product Backlog'!$H$5:$H$504,$J79)),"",INDEX('Product Backlog'!$H$5:$H$504,$J79)))</f>
        <v/>
      </c>
      <c r="I79" s="48" t="str">
        <f>IF($J79="","",IF(ISBLANK(INDEX('Product Backlog'!$I$5:$I$504,$J79)),"",INDEX('Product Backlog'!$I$5:$I$504,$J79)))</f>
        <v/>
      </c>
      <c r="J79" t="str">
        <f>IFERROR(MATCH($B$4&amp;"-"&amp;ROWS($A$10:A79),'Product Backlog'!$J$5:$J$504,0),"")</f>
        <v/>
      </c>
    </row>
    <row r="80" spans="1:10" ht="21" customHeight="1" x14ac:dyDescent="0.2">
      <c r="A80" s="46" t="str">
        <f>IF($J80="","",IF(ISBLANK(INDEX('Product Backlog'!$A$5:$A$504,$J80)),"",INDEX('Product Backlog'!$A$5:$A$504,$J80)))</f>
        <v/>
      </c>
      <c r="B80" s="46" t="str">
        <f>IF($J80="","",IF(ISBLANK(INDEX('Product Backlog'!$B$5:$B$504,$J80)),"",INDEX('Product Backlog'!$B$5:$B$504,$J80)))</f>
        <v/>
      </c>
      <c r="C80" s="46" t="str">
        <f>IF($J80="","",IF(ISBLANK(INDEX('Product Backlog'!$C$5:$C$504,$J80)),"",INDEX('Product Backlog'!$C$5:$C$504,$J80)))</f>
        <v/>
      </c>
      <c r="D80" s="46" t="str">
        <f>IF($J80="","",IF(ISBLANK(INDEX('Product Backlog'!$D$5:$D$504,$J80)),"",INDEX('Product Backlog'!$D$5:$D$504,$J80)))</f>
        <v/>
      </c>
      <c r="E80" s="46" t="str">
        <f>IF($J80="","",IF(ISBLANK(INDEX('Product Backlog'!$E$5:$E$504,$J80)),"",INDEX('Product Backlog'!$E$5:$E$504,$J80)))</f>
        <v/>
      </c>
      <c r="F80" s="47" t="str">
        <f>IF($J80="","",IF(ISBLANK(INDEX('Product Backlog'!$F$5:$F$504,$J80)),"",INDEX('Product Backlog'!$F$5:$F$504,$J80)))</f>
        <v/>
      </c>
      <c r="G80" s="47" t="str">
        <f>IF($J80="","",IF(ISBLANK(INDEX('Product Backlog'!$G$5:$G$504,$J80)),"",INDEX('Product Backlog'!$G$5:$G$504,$J80)))</f>
        <v/>
      </c>
      <c r="H80" s="48" t="str">
        <f>IF($J80="","",IF(ISBLANK(INDEX('Product Backlog'!$H$5:$H$504,$J80)),"",INDEX('Product Backlog'!$H$5:$H$504,$J80)))</f>
        <v/>
      </c>
      <c r="I80" s="48" t="str">
        <f>IF($J80="","",IF(ISBLANK(INDEX('Product Backlog'!$I$5:$I$504,$J80)),"",INDEX('Product Backlog'!$I$5:$I$504,$J80)))</f>
        <v/>
      </c>
      <c r="J80" t="str">
        <f>IFERROR(MATCH($B$4&amp;"-"&amp;ROWS($A$10:A80),'Product Backlog'!$J$5:$J$504,0),"")</f>
        <v/>
      </c>
    </row>
    <row r="81" spans="1:10" ht="21" customHeight="1" x14ac:dyDescent="0.2">
      <c r="A81" s="46" t="str">
        <f>IF($J81="","",IF(ISBLANK(INDEX('Product Backlog'!$A$5:$A$504,$J81)),"",INDEX('Product Backlog'!$A$5:$A$504,$J81)))</f>
        <v/>
      </c>
      <c r="B81" s="46" t="str">
        <f>IF($J81="","",IF(ISBLANK(INDEX('Product Backlog'!$B$5:$B$504,$J81)),"",INDEX('Product Backlog'!$B$5:$B$504,$J81)))</f>
        <v/>
      </c>
      <c r="C81" s="46" t="str">
        <f>IF($J81="","",IF(ISBLANK(INDEX('Product Backlog'!$C$5:$C$504,$J81)),"",INDEX('Product Backlog'!$C$5:$C$504,$J81)))</f>
        <v/>
      </c>
      <c r="D81" s="46" t="str">
        <f>IF($J81="","",IF(ISBLANK(INDEX('Product Backlog'!$D$5:$D$504,$J81)),"",INDEX('Product Backlog'!$D$5:$D$504,$J81)))</f>
        <v/>
      </c>
      <c r="E81" s="46" t="str">
        <f>IF($J81="","",IF(ISBLANK(INDEX('Product Backlog'!$E$5:$E$504,$J81)),"",INDEX('Product Backlog'!$E$5:$E$504,$J81)))</f>
        <v/>
      </c>
      <c r="F81" s="47" t="str">
        <f>IF($J81="","",IF(ISBLANK(INDEX('Product Backlog'!$F$5:$F$504,$J81)),"",INDEX('Product Backlog'!$F$5:$F$504,$J81)))</f>
        <v/>
      </c>
      <c r="G81" s="47" t="str">
        <f>IF($J81="","",IF(ISBLANK(INDEX('Product Backlog'!$G$5:$G$504,$J81)),"",INDEX('Product Backlog'!$G$5:$G$504,$J81)))</f>
        <v/>
      </c>
      <c r="H81" s="48" t="str">
        <f>IF($J81="","",IF(ISBLANK(INDEX('Product Backlog'!$H$5:$H$504,$J81)),"",INDEX('Product Backlog'!$H$5:$H$504,$J81)))</f>
        <v/>
      </c>
      <c r="I81" s="48" t="str">
        <f>IF($J81="","",IF(ISBLANK(INDEX('Product Backlog'!$I$5:$I$504,$J81)),"",INDEX('Product Backlog'!$I$5:$I$504,$J81)))</f>
        <v/>
      </c>
      <c r="J81" t="str">
        <f>IFERROR(MATCH($B$4&amp;"-"&amp;ROWS($A$10:A81),'Product Backlog'!$J$5:$J$504,0),"")</f>
        <v/>
      </c>
    </row>
    <row r="82" spans="1:10" ht="21" customHeight="1" x14ac:dyDescent="0.2">
      <c r="A82" s="46" t="str">
        <f>IF($J82="","",IF(ISBLANK(INDEX('Product Backlog'!$A$5:$A$504,$J82)),"",INDEX('Product Backlog'!$A$5:$A$504,$J82)))</f>
        <v/>
      </c>
      <c r="B82" s="46" t="str">
        <f>IF($J82="","",IF(ISBLANK(INDEX('Product Backlog'!$B$5:$B$504,$J82)),"",INDEX('Product Backlog'!$B$5:$B$504,$J82)))</f>
        <v/>
      </c>
      <c r="C82" s="46" t="str">
        <f>IF($J82="","",IF(ISBLANK(INDEX('Product Backlog'!$C$5:$C$504,$J82)),"",INDEX('Product Backlog'!$C$5:$C$504,$J82)))</f>
        <v/>
      </c>
      <c r="D82" s="46" t="str">
        <f>IF($J82="","",IF(ISBLANK(INDEX('Product Backlog'!$D$5:$D$504,$J82)),"",INDEX('Product Backlog'!$D$5:$D$504,$J82)))</f>
        <v/>
      </c>
      <c r="E82" s="46" t="str">
        <f>IF($J82="","",IF(ISBLANK(INDEX('Product Backlog'!$E$5:$E$504,$J82)),"",INDEX('Product Backlog'!$E$5:$E$504,$J82)))</f>
        <v/>
      </c>
      <c r="F82" s="47" t="str">
        <f>IF($J82="","",IF(ISBLANK(INDEX('Product Backlog'!$F$5:$F$504,$J82)),"",INDEX('Product Backlog'!$F$5:$F$504,$J82)))</f>
        <v/>
      </c>
      <c r="G82" s="47" t="str">
        <f>IF($J82="","",IF(ISBLANK(INDEX('Product Backlog'!$G$5:$G$504,$J82)),"",INDEX('Product Backlog'!$G$5:$G$504,$J82)))</f>
        <v/>
      </c>
      <c r="H82" s="48" t="str">
        <f>IF($J82="","",IF(ISBLANK(INDEX('Product Backlog'!$H$5:$H$504,$J82)),"",INDEX('Product Backlog'!$H$5:$H$504,$J82)))</f>
        <v/>
      </c>
      <c r="I82" s="48" t="str">
        <f>IF($J82="","",IF(ISBLANK(INDEX('Product Backlog'!$I$5:$I$504,$J82)),"",INDEX('Product Backlog'!$I$5:$I$504,$J82)))</f>
        <v/>
      </c>
      <c r="J82" t="str">
        <f>IFERROR(MATCH($B$4&amp;"-"&amp;ROWS($A$10:A82),'Product Backlog'!$J$5:$J$504,0),"")</f>
        <v/>
      </c>
    </row>
    <row r="83" spans="1:10" ht="21" customHeight="1" x14ac:dyDescent="0.2">
      <c r="A83" s="46" t="str">
        <f>IF($J83="","",IF(ISBLANK(INDEX('Product Backlog'!$A$5:$A$504,$J83)),"",INDEX('Product Backlog'!$A$5:$A$504,$J83)))</f>
        <v/>
      </c>
      <c r="B83" s="46" t="str">
        <f>IF($J83="","",IF(ISBLANK(INDEX('Product Backlog'!$B$5:$B$504,$J83)),"",INDEX('Product Backlog'!$B$5:$B$504,$J83)))</f>
        <v/>
      </c>
      <c r="C83" s="46" t="str">
        <f>IF($J83="","",IF(ISBLANK(INDEX('Product Backlog'!$C$5:$C$504,$J83)),"",INDEX('Product Backlog'!$C$5:$C$504,$J83)))</f>
        <v/>
      </c>
      <c r="D83" s="46" t="str">
        <f>IF($J83="","",IF(ISBLANK(INDEX('Product Backlog'!$D$5:$D$504,$J83)),"",INDEX('Product Backlog'!$D$5:$D$504,$J83)))</f>
        <v/>
      </c>
      <c r="E83" s="46" t="str">
        <f>IF($J83="","",IF(ISBLANK(INDEX('Product Backlog'!$E$5:$E$504,$J83)),"",INDEX('Product Backlog'!$E$5:$E$504,$J83)))</f>
        <v/>
      </c>
      <c r="F83" s="47" t="str">
        <f>IF($J83="","",IF(ISBLANK(INDEX('Product Backlog'!$F$5:$F$504,$J83)),"",INDEX('Product Backlog'!$F$5:$F$504,$J83)))</f>
        <v/>
      </c>
      <c r="G83" s="47" t="str">
        <f>IF($J83="","",IF(ISBLANK(INDEX('Product Backlog'!$G$5:$G$504,$J83)),"",INDEX('Product Backlog'!$G$5:$G$504,$J83)))</f>
        <v/>
      </c>
      <c r="H83" s="48" t="str">
        <f>IF($J83="","",IF(ISBLANK(INDEX('Product Backlog'!$H$5:$H$504,$J83)),"",INDEX('Product Backlog'!$H$5:$H$504,$J83)))</f>
        <v/>
      </c>
      <c r="I83" s="48" t="str">
        <f>IF($J83="","",IF(ISBLANK(INDEX('Product Backlog'!$I$5:$I$504,$J83)),"",INDEX('Product Backlog'!$I$5:$I$504,$J83)))</f>
        <v/>
      </c>
      <c r="J83" t="str">
        <f>IFERROR(MATCH($B$4&amp;"-"&amp;ROWS($A$10:A83),'Product Backlog'!$J$5:$J$504,0),"")</f>
        <v/>
      </c>
    </row>
    <row r="84" spans="1:10" ht="21" customHeight="1" x14ac:dyDescent="0.2">
      <c r="A84" s="46" t="str">
        <f>IF($J84="","",IF(ISBLANK(INDEX('Product Backlog'!$A$5:$A$504,$J84)),"",INDEX('Product Backlog'!$A$5:$A$504,$J84)))</f>
        <v/>
      </c>
      <c r="B84" s="46" t="str">
        <f>IF($J84="","",IF(ISBLANK(INDEX('Product Backlog'!$B$5:$B$504,$J84)),"",INDEX('Product Backlog'!$B$5:$B$504,$J84)))</f>
        <v/>
      </c>
      <c r="C84" s="46" t="str">
        <f>IF($J84="","",IF(ISBLANK(INDEX('Product Backlog'!$C$5:$C$504,$J84)),"",INDEX('Product Backlog'!$C$5:$C$504,$J84)))</f>
        <v/>
      </c>
      <c r="D84" s="46" t="str">
        <f>IF($J84="","",IF(ISBLANK(INDEX('Product Backlog'!$D$5:$D$504,$J84)),"",INDEX('Product Backlog'!$D$5:$D$504,$J84)))</f>
        <v/>
      </c>
      <c r="E84" s="46" t="str">
        <f>IF($J84="","",IF(ISBLANK(INDEX('Product Backlog'!$E$5:$E$504,$J84)),"",INDEX('Product Backlog'!$E$5:$E$504,$J84)))</f>
        <v/>
      </c>
      <c r="F84" s="47" t="str">
        <f>IF($J84="","",IF(ISBLANK(INDEX('Product Backlog'!$F$5:$F$504,$J84)),"",INDEX('Product Backlog'!$F$5:$F$504,$J84)))</f>
        <v/>
      </c>
      <c r="G84" s="47" t="str">
        <f>IF($J84="","",IF(ISBLANK(INDEX('Product Backlog'!$G$5:$G$504,$J84)),"",INDEX('Product Backlog'!$G$5:$G$504,$J84)))</f>
        <v/>
      </c>
      <c r="H84" s="48" t="str">
        <f>IF($J84="","",IF(ISBLANK(INDEX('Product Backlog'!$H$5:$H$504,$J84)),"",INDEX('Product Backlog'!$H$5:$H$504,$J84)))</f>
        <v/>
      </c>
      <c r="I84" s="48" t="str">
        <f>IF($J84="","",IF(ISBLANK(INDEX('Product Backlog'!$I$5:$I$504,$J84)),"",INDEX('Product Backlog'!$I$5:$I$504,$J84)))</f>
        <v/>
      </c>
      <c r="J84" t="str">
        <f>IFERROR(MATCH($B$4&amp;"-"&amp;ROWS($A$10:A84),'Product Backlog'!$J$5:$J$504,0),"")</f>
        <v/>
      </c>
    </row>
    <row r="85" spans="1:10" ht="21" customHeight="1" x14ac:dyDescent="0.2">
      <c r="A85" s="46" t="str">
        <f>IF($J85="","",IF(ISBLANK(INDEX('Product Backlog'!$A$5:$A$504,$J85)),"",INDEX('Product Backlog'!$A$5:$A$504,$J85)))</f>
        <v/>
      </c>
      <c r="B85" s="46" t="str">
        <f>IF($J85="","",IF(ISBLANK(INDEX('Product Backlog'!$B$5:$B$504,$J85)),"",INDEX('Product Backlog'!$B$5:$B$504,$J85)))</f>
        <v/>
      </c>
      <c r="C85" s="46" t="str">
        <f>IF($J85="","",IF(ISBLANK(INDEX('Product Backlog'!$C$5:$C$504,$J85)),"",INDEX('Product Backlog'!$C$5:$C$504,$J85)))</f>
        <v/>
      </c>
      <c r="D85" s="46" t="str">
        <f>IF($J85="","",IF(ISBLANK(INDEX('Product Backlog'!$D$5:$D$504,$J85)),"",INDEX('Product Backlog'!$D$5:$D$504,$J85)))</f>
        <v/>
      </c>
      <c r="E85" s="46" t="str">
        <f>IF($J85="","",IF(ISBLANK(INDEX('Product Backlog'!$E$5:$E$504,$J85)),"",INDEX('Product Backlog'!$E$5:$E$504,$J85)))</f>
        <v/>
      </c>
      <c r="F85" s="47" t="str">
        <f>IF($J85="","",IF(ISBLANK(INDEX('Product Backlog'!$F$5:$F$504,$J85)),"",INDEX('Product Backlog'!$F$5:$F$504,$J85)))</f>
        <v/>
      </c>
      <c r="G85" s="47" t="str">
        <f>IF($J85="","",IF(ISBLANK(INDEX('Product Backlog'!$G$5:$G$504,$J85)),"",INDEX('Product Backlog'!$G$5:$G$504,$J85)))</f>
        <v/>
      </c>
      <c r="H85" s="48" t="str">
        <f>IF($J85="","",IF(ISBLANK(INDEX('Product Backlog'!$H$5:$H$504,$J85)),"",INDEX('Product Backlog'!$H$5:$H$504,$J85)))</f>
        <v/>
      </c>
      <c r="I85" s="48" t="str">
        <f>IF($J85="","",IF(ISBLANK(INDEX('Product Backlog'!$I$5:$I$504,$J85)),"",INDEX('Product Backlog'!$I$5:$I$504,$J85)))</f>
        <v/>
      </c>
      <c r="J85" t="str">
        <f>IFERROR(MATCH($B$4&amp;"-"&amp;ROWS($A$10:A85),'Product Backlog'!$J$5:$J$504,0),"")</f>
        <v/>
      </c>
    </row>
    <row r="86" spans="1:10" ht="21" customHeight="1" x14ac:dyDescent="0.2">
      <c r="A86" s="46" t="str">
        <f>IF($J86="","",IF(ISBLANK(INDEX('Product Backlog'!$A$5:$A$504,$J86)),"",INDEX('Product Backlog'!$A$5:$A$504,$J86)))</f>
        <v/>
      </c>
      <c r="B86" s="46" t="str">
        <f>IF($J86="","",IF(ISBLANK(INDEX('Product Backlog'!$B$5:$B$504,$J86)),"",INDEX('Product Backlog'!$B$5:$B$504,$J86)))</f>
        <v/>
      </c>
      <c r="C86" s="46" t="str">
        <f>IF($J86="","",IF(ISBLANK(INDEX('Product Backlog'!$C$5:$C$504,$J86)),"",INDEX('Product Backlog'!$C$5:$C$504,$J86)))</f>
        <v/>
      </c>
      <c r="D86" s="46" t="str">
        <f>IF($J86="","",IF(ISBLANK(INDEX('Product Backlog'!$D$5:$D$504,$J86)),"",INDEX('Product Backlog'!$D$5:$D$504,$J86)))</f>
        <v/>
      </c>
      <c r="E86" s="46" t="str">
        <f>IF($J86="","",IF(ISBLANK(INDEX('Product Backlog'!$E$5:$E$504,$J86)),"",INDEX('Product Backlog'!$E$5:$E$504,$J86)))</f>
        <v/>
      </c>
      <c r="F86" s="47" t="str">
        <f>IF($J86="","",IF(ISBLANK(INDEX('Product Backlog'!$F$5:$F$504,$J86)),"",INDEX('Product Backlog'!$F$5:$F$504,$J86)))</f>
        <v/>
      </c>
      <c r="G86" s="47" t="str">
        <f>IF($J86="","",IF(ISBLANK(INDEX('Product Backlog'!$G$5:$G$504,$J86)),"",INDEX('Product Backlog'!$G$5:$G$504,$J86)))</f>
        <v/>
      </c>
      <c r="H86" s="48" t="str">
        <f>IF($J86="","",IF(ISBLANK(INDEX('Product Backlog'!$H$5:$H$504,$J86)),"",INDEX('Product Backlog'!$H$5:$H$504,$J86)))</f>
        <v/>
      </c>
      <c r="I86" s="48" t="str">
        <f>IF($J86="","",IF(ISBLANK(INDEX('Product Backlog'!$I$5:$I$504,$J86)),"",INDEX('Product Backlog'!$I$5:$I$504,$J86)))</f>
        <v/>
      </c>
      <c r="J86" t="str">
        <f>IFERROR(MATCH($B$4&amp;"-"&amp;ROWS($A$10:A86),'Product Backlog'!$J$5:$J$504,0),"")</f>
        <v/>
      </c>
    </row>
    <row r="87" spans="1:10" ht="21" customHeight="1" x14ac:dyDescent="0.2">
      <c r="A87" s="46" t="str">
        <f>IF($J87="","",IF(ISBLANK(INDEX('Product Backlog'!$A$5:$A$504,$J87)),"",INDEX('Product Backlog'!$A$5:$A$504,$J87)))</f>
        <v/>
      </c>
      <c r="B87" s="46" t="str">
        <f>IF($J87="","",IF(ISBLANK(INDEX('Product Backlog'!$B$5:$B$504,$J87)),"",INDEX('Product Backlog'!$B$5:$B$504,$J87)))</f>
        <v/>
      </c>
      <c r="C87" s="46" t="str">
        <f>IF($J87="","",IF(ISBLANK(INDEX('Product Backlog'!$C$5:$C$504,$J87)),"",INDEX('Product Backlog'!$C$5:$C$504,$J87)))</f>
        <v/>
      </c>
      <c r="D87" s="46" t="str">
        <f>IF($J87="","",IF(ISBLANK(INDEX('Product Backlog'!$D$5:$D$504,$J87)),"",INDEX('Product Backlog'!$D$5:$D$504,$J87)))</f>
        <v/>
      </c>
      <c r="E87" s="46" t="str">
        <f>IF($J87="","",IF(ISBLANK(INDEX('Product Backlog'!$E$5:$E$504,$J87)),"",INDEX('Product Backlog'!$E$5:$E$504,$J87)))</f>
        <v/>
      </c>
      <c r="F87" s="47" t="str">
        <f>IF($J87="","",IF(ISBLANK(INDEX('Product Backlog'!$F$5:$F$504,$J87)),"",INDEX('Product Backlog'!$F$5:$F$504,$J87)))</f>
        <v/>
      </c>
      <c r="G87" s="47" t="str">
        <f>IF($J87="","",IF(ISBLANK(INDEX('Product Backlog'!$G$5:$G$504,$J87)),"",INDEX('Product Backlog'!$G$5:$G$504,$J87)))</f>
        <v/>
      </c>
      <c r="H87" s="48" t="str">
        <f>IF($J87="","",IF(ISBLANK(INDEX('Product Backlog'!$H$5:$H$504,$J87)),"",INDEX('Product Backlog'!$H$5:$H$504,$J87)))</f>
        <v/>
      </c>
      <c r="I87" s="48" t="str">
        <f>IF($J87="","",IF(ISBLANK(INDEX('Product Backlog'!$I$5:$I$504,$J87)),"",INDEX('Product Backlog'!$I$5:$I$504,$J87)))</f>
        <v/>
      </c>
      <c r="J87" t="str">
        <f>IFERROR(MATCH($B$4&amp;"-"&amp;ROWS($A$10:A87),'Product Backlog'!$J$5:$J$504,0),"")</f>
        <v/>
      </c>
    </row>
    <row r="88" spans="1:10" ht="21" customHeight="1" x14ac:dyDescent="0.2">
      <c r="A88" s="46" t="str">
        <f>IF($J88="","",IF(ISBLANK(INDEX('Product Backlog'!$A$5:$A$504,$J88)),"",INDEX('Product Backlog'!$A$5:$A$504,$J88)))</f>
        <v/>
      </c>
      <c r="B88" s="46" t="str">
        <f>IF($J88="","",IF(ISBLANK(INDEX('Product Backlog'!$B$5:$B$504,$J88)),"",INDEX('Product Backlog'!$B$5:$B$504,$J88)))</f>
        <v/>
      </c>
      <c r="C88" s="46" t="str">
        <f>IF($J88="","",IF(ISBLANK(INDEX('Product Backlog'!$C$5:$C$504,$J88)),"",INDEX('Product Backlog'!$C$5:$C$504,$J88)))</f>
        <v/>
      </c>
      <c r="D88" s="46" t="str">
        <f>IF($J88="","",IF(ISBLANK(INDEX('Product Backlog'!$D$5:$D$504,$J88)),"",INDEX('Product Backlog'!$D$5:$D$504,$J88)))</f>
        <v/>
      </c>
      <c r="E88" s="46" t="str">
        <f>IF($J88="","",IF(ISBLANK(INDEX('Product Backlog'!$E$5:$E$504,$J88)),"",INDEX('Product Backlog'!$E$5:$E$504,$J88)))</f>
        <v/>
      </c>
      <c r="F88" s="47" t="str">
        <f>IF($J88="","",IF(ISBLANK(INDEX('Product Backlog'!$F$5:$F$504,$J88)),"",INDEX('Product Backlog'!$F$5:$F$504,$J88)))</f>
        <v/>
      </c>
      <c r="G88" s="47" t="str">
        <f>IF($J88="","",IF(ISBLANK(INDEX('Product Backlog'!$G$5:$G$504,$J88)),"",INDEX('Product Backlog'!$G$5:$G$504,$J88)))</f>
        <v/>
      </c>
      <c r="H88" s="48" t="str">
        <f>IF($J88="","",IF(ISBLANK(INDEX('Product Backlog'!$H$5:$H$504,$J88)),"",INDEX('Product Backlog'!$H$5:$H$504,$J88)))</f>
        <v/>
      </c>
      <c r="I88" s="48" t="str">
        <f>IF($J88="","",IF(ISBLANK(INDEX('Product Backlog'!$I$5:$I$504,$J88)),"",INDEX('Product Backlog'!$I$5:$I$504,$J88)))</f>
        <v/>
      </c>
      <c r="J88" t="str">
        <f>IFERROR(MATCH($B$4&amp;"-"&amp;ROWS($A$10:A88),'Product Backlog'!$J$5:$J$504,0),"")</f>
        <v/>
      </c>
    </row>
    <row r="89" spans="1:10" ht="21" customHeight="1" x14ac:dyDescent="0.2">
      <c r="A89" s="46" t="str">
        <f>IF($J89="","",IF(ISBLANK(INDEX('Product Backlog'!$A$5:$A$504,$J89)),"",INDEX('Product Backlog'!$A$5:$A$504,$J89)))</f>
        <v/>
      </c>
      <c r="B89" s="46" t="str">
        <f>IF($J89="","",IF(ISBLANK(INDEX('Product Backlog'!$B$5:$B$504,$J89)),"",INDEX('Product Backlog'!$B$5:$B$504,$J89)))</f>
        <v/>
      </c>
      <c r="C89" s="46" t="str">
        <f>IF($J89="","",IF(ISBLANK(INDEX('Product Backlog'!$C$5:$C$504,$J89)),"",INDEX('Product Backlog'!$C$5:$C$504,$J89)))</f>
        <v/>
      </c>
      <c r="D89" s="46" t="str">
        <f>IF($J89="","",IF(ISBLANK(INDEX('Product Backlog'!$D$5:$D$504,$J89)),"",INDEX('Product Backlog'!$D$5:$D$504,$J89)))</f>
        <v/>
      </c>
      <c r="E89" s="46" t="str">
        <f>IF($J89="","",IF(ISBLANK(INDEX('Product Backlog'!$E$5:$E$504,$J89)),"",INDEX('Product Backlog'!$E$5:$E$504,$J89)))</f>
        <v/>
      </c>
      <c r="F89" s="47" t="str">
        <f>IF($J89="","",IF(ISBLANK(INDEX('Product Backlog'!$F$5:$F$504,$J89)),"",INDEX('Product Backlog'!$F$5:$F$504,$J89)))</f>
        <v/>
      </c>
      <c r="G89" s="47" t="str">
        <f>IF($J89="","",IF(ISBLANK(INDEX('Product Backlog'!$G$5:$G$504,$J89)),"",INDEX('Product Backlog'!$G$5:$G$504,$J89)))</f>
        <v/>
      </c>
      <c r="H89" s="48" t="str">
        <f>IF($J89="","",IF(ISBLANK(INDEX('Product Backlog'!$H$5:$H$504,$J89)),"",INDEX('Product Backlog'!$H$5:$H$504,$J89)))</f>
        <v/>
      </c>
      <c r="I89" s="48" t="str">
        <f>IF($J89="","",IF(ISBLANK(INDEX('Product Backlog'!$I$5:$I$504,$J89)),"",INDEX('Product Backlog'!$I$5:$I$504,$J89)))</f>
        <v/>
      </c>
      <c r="J89" t="str">
        <f>IFERROR(MATCH($B$4&amp;"-"&amp;ROWS($A$10:A89),'Product Backlog'!$J$5:$J$504,0),"")</f>
        <v/>
      </c>
    </row>
    <row r="90" spans="1:10" ht="21" customHeight="1" x14ac:dyDescent="0.2">
      <c r="A90" s="46" t="str">
        <f>IF($J90="","",IF(ISBLANK(INDEX('Product Backlog'!$A$5:$A$504,$J90)),"",INDEX('Product Backlog'!$A$5:$A$504,$J90)))</f>
        <v/>
      </c>
      <c r="B90" s="46" t="str">
        <f>IF($J90="","",IF(ISBLANK(INDEX('Product Backlog'!$B$5:$B$504,$J90)),"",INDEX('Product Backlog'!$B$5:$B$504,$J90)))</f>
        <v/>
      </c>
      <c r="C90" s="46" t="str">
        <f>IF($J90="","",IF(ISBLANK(INDEX('Product Backlog'!$C$5:$C$504,$J90)),"",INDEX('Product Backlog'!$C$5:$C$504,$J90)))</f>
        <v/>
      </c>
      <c r="D90" s="46" t="str">
        <f>IF($J90="","",IF(ISBLANK(INDEX('Product Backlog'!$D$5:$D$504,$J90)),"",INDEX('Product Backlog'!$D$5:$D$504,$J90)))</f>
        <v/>
      </c>
      <c r="E90" s="46" t="str">
        <f>IF($J90="","",IF(ISBLANK(INDEX('Product Backlog'!$E$5:$E$504,$J90)),"",INDEX('Product Backlog'!$E$5:$E$504,$J90)))</f>
        <v/>
      </c>
      <c r="F90" s="47" t="str">
        <f>IF($J90="","",IF(ISBLANK(INDEX('Product Backlog'!$F$5:$F$504,$J90)),"",INDEX('Product Backlog'!$F$5:$F$504,$J90)))</f>
        <v/>
      </c>
      <c r="G90" s="47" t="str">
        <f>IF($J90="","",IF(ISBLANK(INDEX('Product Backlog'!$G$5:$G$504,$J90)),"",INDEX('Product Backlog'!$G$5:$G$504,$J90)))</f>
        <v/>
      </c>
      <c r="H90" s="48" t="str">
        <f>IF($J90="","",IF(ISBLANK(INDEX('Product Backlog'!$H$5:$H$504,$J90)),"",INDEX('Product Backlog'!$H$5:$H$504,$J90)))</f>
        <v/>
      </c>
      <c r="I90" s="48" t="str">
        <f>IF($J90="","",IF(ISBLANK(INDEX('Product Backlog'!$I$5:$I$504,$J90)),"",INDEX('Product Backlog'!$I$5:$I$504,$J90)))</f>
        <v/>
      </c>
      <c r="J90" t="str">
        <f>IFERROR(MATCH($B$4&amp;"-"&amp;ROWS($A$10:A90),'Product Backlog'!$J$5:$J$504,0),"")</f>
        <v/>
      </c>
    </row>
    <row r="91" spans="1:10" ht="21" customHeight="1" x14ac:dyDescent="0.2">
      <c r="A91" s="46" t="str">
        <f>IF($J91="","",IF(ISBLANK(INDEX('Product Backlog'!$A$5:$A$504,$J91)),"",INDEX('Product Backlog'!$A$5:$A$504,$J91)))</f>
        <v/>
      </c>
      <c r="B91" s="46" t="str">
        <f>IF($J91="","",IF(ISBLANK(INDEX('Product Backlog'!$B$5:$B$504,$J91)),"",INDEX('Product Backlog'!$B$5:$B$504,$J91)))</f>
        <v/>
      </c>
      <c r="C91" s="46" t="str">
        <f>IF($J91="","",IF(ISBLANK(INDEX('Product Backlog'!$C$5:$C$504,$J91)),"",INDEX('Product Backlog'!$C$5:$C$504,$J91)))</f>
        <v/>
      </c>
      <c r="D91" s="46" t="str">
        <f>IF($J91="","",IF(ISBLANK(INDEX('Product Backlog'!$D$5:$D$504,$J91)),"",INDEX('Product Backlog'!$D$5:$D$504,$J91)))</f>
        <v/>
      </c>
      <c r="E91" s="46" t="str">
        <f>IF($J91="","",IF(ISBLANK(INDEX('Product Backlog'!$E$5:$E$504,$J91)),"",INDEX('Product Backlog'!$E$5:$E$504,$J91)))</f>
        <v/>
      </c>
      <c r="F91" s="47" t="str">
        <f>IF($J91="","",IF(ISBLANK(INDEX('Product Backlog'!$F$5:$F$504,$J91)),"",INDEX('Product Backlog'!$F$5:$F$504,$J91)))</f>
        <v/>
      </c>
      <c r="G91" s="47" t="str">
        <f>IF($J91="","",IF(ISBLANK(INDEX('Product Backlog'!$G$5:$G$504,$J91)),"",INDEX('Product Backlog'!$G$5:$G$504,$J91)))</f>
        <v/>
      </c>
      <c r="H91" s="48" t="str">
        <f>IF($J91="","",IF(ISBLANK(INDEX('Product Backlog'!$H$5:$H$504,$J91)),"",INDEX('Product Backlog'!$H$5:$H$504,$J91)))</f>
        <v/>
      </c>
      <c r="I91" s="48" t="str">
        <f>IF($J91="","",IF(ISBLANK(INDEX('Product Backlog'!$I$5:$I$504,$J91)),"",INDEX('Product Backlog'!$I$5:$I$504,$J91)))</f>
        <v/>
      </c>
      <c r="J91" t="str">
        <f>IFERROR(MATCH($B$4&amp;"-"&amp;ROWS($A$10:A91),'Product Backlog'!$J$5:$J$504,0),"")</f>
        <v/>
      </c>
    </row>
    <row r="92" spans="1:10" ht="21" customHeight="1" x14ac:dyDescent="0.2">
      <c r="A92" s="46" t="str">
        <f>IF($J92="","",IF(ISBLANK(INDEX('Product Backlog'!$A$5:$A$504,$J92)),"",INDEX('Product Backlog'!$A$5:$A$504,$J92)))</f>
        <v/>
      </c>
      <c r="B92" s="46" t="str">
        <f>IF($J92="","",IF(ISBLANK(INDEX('Product Backlog'!$B$5:$B$504,$J92)),"",INDEX('Product Backlog'!$B$5:$B$504,$J92)))</f>
        <v/>
      </c>
      <c r="C92" s="46" t="str">
        <f>IF($J92="","",IF(ISBLANK(INDEX('Product Backlog'!$C$5:$C$504,$J92)),"",INDEX('Product Backlog'!$C$5:$C$504,$J92)))</f>
        <v/>
      </c>
      <c r="D92" s="46" t="str">
        <f>IF($J92="","",IF(ISBLANK(INDEX('Product Backlog'!$D$5:$D$504,$J92)),"",INDEX('Product Backlog'!$D$5:$D$504,$J92)))</f>
        <v/>
      </c>
      <c r="E92" s="46" t="str">
        <f>IF($J92="","",IF(ISBLANK(INDEX('Product Backlog'!$E$5:$E$504,$J92)),"",INDEX('Product Backlog'!$E$5:$E$504,$J92)))</f>
        <v/>
      </c>
      <c r="F92" s="47" t="str">
        <f>IF($J92="","",IF(ISBLANK(INDEX('Product Backlog'!$F$5:$F$504,$J92)),"",INDEX('Product Backlog'!$F$5:$F$504,$J92)))</f>
        <v/>
      </c>
      <c r="G92" s="47" t="str">
        <f>IF($J92="","",IF(ISBLANK(INDEX('Product Backlog'!$G$5:$G$504,$J92)),"",INDEX('Product Backlog'!$G$5:$G$504,$J92)))</f>
        <v/>
      </c>
      <c r="H92" s="48" t="str">
        <f>IF($J92="","",IF(ISBLANK(INDEX('Product Backlog'!$H$5:$H$504,$J92)),"",INDEX('Product Backlog'!$H$5:$H$504,$J92)))</f>
        <v/>
      </c>
      <c r="I92" s="48" t="str">
        <f>IF($J92="","",IF(ISBLANK(INDEX('Product Backlog'!$I$5:$I$504,$J92)),"",INDEX('Product Backlog'!$I$5:$I$504,$J92)))</f>
        <v/>
      </c>
      <c r="J92" t="str">
        <f>IFERROR(MATCH($B$4&amp;"-"&amp;ROWS($A$10:A92),'Product Backlog'!$J$5:$J$504,0),"")</f>
        <v/>
      </c>
    </row>
    <row r="93" spans="1:10" ht="21" customHeight="1" x14ac:dyDescent="0.2">
      <c r="A93" s="46" t="str">
        <f>IF($J93="","",IF(ISBLANK(INDEX('Product Backlog'!$A$5:$A$504,$J93)),"",INDEX('Product Backlog'!$A$5:$A$504,$J93)))</f>
        <v/>
      </c>
      <c r="B93" s="46" t="str">
        <f>IF($J93="","",IF(ISBLANK(INDEX('Product Backlog'!$B$5:$B$504,$J93)),"",INDEX('Product Backlog'!$B$5:$B$504,$J93)))</f>
        <v/>
      </c>
      <c r="C93" s="46" t="str">
        <f>IF($J93="","",IF(ISBLANK(INDEX('Product Backlog'!$C$5:$C$504,$J93)),"",INDEX('Product Backlog'!$C$5:$C$504,$J93)))</f>
        <v/>
      </c>
      <c r="D93" s="46" t="str">
        <f>IF($J93="","",IF(ISBLANK(INDEX('Product Backlog'!$D$5:$D$504,$J93)),"",INDEX('Product Backlog'!$D$5:$D$504,$J93)))</f>
        <v/>
      </c>
      <c r="E93" s="46" t="str">
        <f>IF($J93="","",IF(ISBLANK(INDEX('Product Backlog'!$E$5:$E$504,$J93)),"",INDEX('Product Backlog'!$E$5:$E$504,$J93)))</f>
        <v/>
      </c>
      <c r="F93" s="47" t="str">
        <f>IF($J93="","",IF(ISBLANK(INDEX('Product Backlog'!$F$5:$F$504,$J93)),"",INDEX('Product Backlog'!$F$5:$F$504,$J93)))</f>
        <v/>
      </c>
      <c r="G93" s="47" t="str">
        <f>IF($J93="","",IF(ISBLANK(INDEX('Product Backlog'!$G$5:$G$504,$J93)),"",INDEX('Product Backlog'!$G$5:$G$504,$J93)))</f>
        <v/>
      </c>
      <c r="H93" s="48" t="str">
        <f>IF($J93="","",IF(ISBLANK(INDEX('Product Backlog'!$H$5:$H$504,$J93)),"",INDEX('Product Backlog'!$H$5:$H$504,$J93)))</f>
        <v/>
      </c>
      <c r="I93" s="48" t="str">
        <f>IF($J93="","",IF(ISBLANK(INDEX('Product Backlog'!$I$5:$I$504,$J93)),"",INDEX('Product Backlog'!$I$5:$I$504,$J93)))</f>
        <v/>
      </c>
      <c r="J93" t="str">
        <f>IFERROR(MATCH($B$4&amp;"-"&amp;ROWS($A$10:A93),'Product Backlog'!$J$5:$J$504,0),"")</f>
        <v/>
      </c>
    </row>
    <row r="94" spans="1:10" ht="21" customHeight="1" x14ac:dyDescent="0.2">
      <c r="A94" s="46" t="str">
        <f>IF($J94="","",IF(ISBLANK(INDEX('Product Backlog'!$A$5:$A$504,$J94)),"",INDEX('Product Backlog'!$A$5:$A$504,$J94)))</f>
        <v/>
      </c>
      <c r="B94" s="46" t="str">
        <f>IF($J94="","",IF(ISBLANK(INDEX('Product Backlog'!$B$5:$B$504,$J94)),"",INDEX('Product Backlog'!$B$5:$B$504,$J94)))</f>
        <v/>
      </c>
      <c r="C94" s="46" t="str">
        <f>IF($J94="","",IF(ISBLANK(INDEX('Product Backlog'!$C$5:$C$504,$J94)),"",INDEX('Product Backlog'!$C$5:$C$504,$J94)))</f>
        <v/>
      </c>
      <c r="D94" s="46" t="str">
        <f>IF($J94="","",IF(ISBLANK(INDEX('Product Backlog'!$D$5:$D$504,$J94)),"",INDEX('Product Backlog'!$D$5:$D$504,$J94)))</f>
        <v/>
      </c>
      <c r="E94" s="46" t="str">
        <f>IF($J94="","",IF(ISBLANK(INDEX('Product Backlog'!$E$5:$E$504,$J94)),"",INDEX('Product Backlog'!$E$5:$E$504,$J94)))</f>
        <v/>
      </c>
      <c r="F94" s="47" t="str">
        <f>IF($J94="","",IF(ISBLANK(INDEX('Product Backlog'!$F$5:$F$504,$J94)),"",INDEX('Product Backlog'!$F$5:$F$504,$J94)))</f>
        <v/>
      </c>
      <c r="G94" s="47" t="str">
        <f>IF($J94="","",IF(ISBLANK(INDEX('Product Backlog'!$G$5:$G$504,$J94)),"",INDEX('Product Backlog'!$G$5:$G$504,$J94)))</f>
        <v/>
      </c>
      <c r="H94" s="48" t="str">
        <f>IF($J94="","",IF(ISBLANK(INDEX('Product Backlog'!$H$5:$H$504,$J94)),"",INDEX('Product Backlog'!$H$5:$H$504,$J94)))</f>
        <v/>
      </c>
      <c r="I94" s="48" t="str">
        <f>IF($J94="","",IF(ISBLANK(INDEX('Product Backlog'!$I$5:$I$504,$J94)),"",INDEX('Product Backlog'!$I$5:$I$504,$J94)))</f>
        <v/>
      </c>
      <c r="J94" t="str">
        <f>IFERROR(MATCH($B$4&amp;"-"&amp;ROWS($A$10:A94),'Product Backlog'!$J$5:$J$504,0),"")</f>
        <v/>
      </c>
    </row>
    <row r="95" spans="1:10" ht="21" customHeight="1" x14ac:dyDescent="0.2">
      <c r="A95" s="46" t="str">
        <f>IF($J95="","",IF(ISBLANK(INDEX('Product Backlog'!$A$5:$A$504,$J95)),"",INDEX('Product Backlog'!$A$5:$A$504,$J95)))</f>
        <v/>
      </c>
      <c r="B95" s="46" t="str">
        <f>IF($J95="","",IF(ISBLANK(INDEX('Product Backlog'!$B$5:$B$504,$J95)),"",INDEX('Product Backlog'!$B$5:$B$504,$J95)))</f>
        <v/>
      </c>
      <c r="C95" s="46" t="str">
        <f>IF($J95="","",IF(ISBLANK(INDEX('Product Backlog'!$C$5:$C$504,$J95)),"",INDEX('Product Backlog'!$C$5:$C$504,$J95)))</f>
        <v/>
      </c>
      <c r="D95" s="46" t="str">
        <f>IF($J95="","",IF(ISBLANK(INDEX('Product Backlog'!$D$5:$D$504,$J95)),"",INDEX('Product Backlog'!$D$5:$D$504,$J95)))</f>
        <v/>
      </c>
      <c r="E95" s="46" t="str">
        <f>IF($J95="","",IF(ISBLANK(INDEX('Product Backlog'!$E$5:$E$504,$J95)),"",INDEX('Product Backlog'!$E$5:$E$504,$J95)))</f>
        <v/>
      </c>
      <c r="F95" s="47" t="str">
        <f>IF($J95="","",IF(ISBLANK(INDEX('Product Backlog'!$F$5:$F$504,$J95)),"",INDEX('Product Backlog'!$F$5:$F$504,$J95)))</f>
        <v/>
      </c>
      <c r="G95" s="47" t="str">
        <f>IF($J95="","",IF(ISBLANK(INDEX('Product Backlog'!$G$5:$G$504,$J95)),"",INDEX('Product Backlog'!$G$5:$G$504,$J95)))</f>
        <v/>
      </c>
      <c r="H95" s="48" t="str">
        <f>IF($J95="","",IF(ISBLANK(INDEX('Product Backlog'!$H$5:$H$504,$J95)),"",INDEX('Product Backlog'!$H$5:$H$504,$J95)))</f>
        <v/>
      </c>
      <c r="I95" s="48" t="str">
        <f>IF($J95="","",IF(ISBLANK(INDEX('Product Backlog'!$I$5:$I$504,$J95)),"",INDEX('Product Backlog'!$I$5:$I$504,$J95)))</f>
        <v/>
      </c>
      <c r="J95" t="str">
        <f>IFERROR(MATCH($B$4&amp;"-"&amp;ROWS($A$10:A95),'Product Backlog'!$J$5:$J$504,0),"")</f>
        <v/>
      </c>
    </row>
    <row r="96" spans="1:10" ht="21" customHeight="1" x14ac:dyDescent="0.2">
      <c r="A96" s="46" t="str">
        <f>IF($J96="","",IF(ISBLANK(INDEX('Product Backlog'!$A$5:$A$504,$J96)),"",INDEX('Product Backlog'!$A$5:$A$504,$J96)))</f>
        <v/>
      </c>
      <c r="B96" s="46" t="str">
        <f>IF($J96="","",IF(ISBLANK(INDEX('Product Backlog'!$B$5:$B$504,$J96)),"",INDEX('Product Backlog'!$B$5:$B$504,$J96)))</f>
        <v/>
      </c>
      <c r="C96" s="46" t="str">
        <f>IF($J96="","",IF(ISBLANK(INDEX('Product Backlog'!$C$5:$C$504,$J96)),"",INDEX('Product Backlog'!$C$5:$C$504,$J96)))</f>
        <v/>
      </c>
      <c r="D96" s="46" t="str">
        <f>IF($J96="","",IF(ISBLANK(INDEX('Product Backlog'!$D$5:$D$504,$J96)),"",INDEX('Product Backlog'!$D$5:$D$504,$J96)))</f>
        <v/>
      </c>
      <c r="E96" s="46" t="str">
        <f>IF($J96="","",IF(ISBLANK(INDEX('Product Backlog'!$E$5:$E$504,$J96)),"",INDEX('Product Backlog'!$E$5:$E$504,$J96)))</f>
        <v/>
      </c>
      <c r="F96" s="47" t="str">
        <f>IF($J96="","",IF(ISBLANK(INDEX('Product Backlog'!$F$5:$F$504,$J96)),"",INDEX('Product Backlog'!$F$5:$F$504,$J96)))</f>
        <v/>
      </c>
      <c r="G96" s="47" t="str">
        <f>IF($J96="","",IF(ISBLANK(INDEX('Product Backlog'!$G$5:$G$504,$J96)),"",INDEX('Product Backlog'!$G$5:$G$504,$J96)))</f>
        <v/>
      </c>
      <c r="H96" s="48" t="str">
        <f>IF($J96="","",IF(ISBLANK(INDEX('Product Backlog'!$H$5:$H$504,$J96)),"",INDEX('Product Backlog'!$H$5:$H$504,$J96)))</f>
        <v/>
      </c>
      <c r="I96" s="48" t="str">
        <f>IF($J96="","",IF(ISBLANK(INDEX('Product Backlog'!$I$5:$I$504,$J96)),"",INDEX('Product Backlog'!$I$5:$I$504,$J96)))</f>
        <v/>
      </c>
      <c r="J96" t="str">
        <f>IFERROR(MATCH($B$4&amp;"-"&amp;ROWS($A$10:A96),'Product Backlog'!$J$5:$J$504,0),"")</f>
        <v/>
      </c>
    </row>
    <row r="97" spans="1:10" ht="21" customHeight="1" x14ac:dyDescent="0.2">
      <c r="A97" s="46" t="str">
        <f>IF($J97="","",IF(ISBLANK(INDEX('Product Backlog'!$A$5:$A$504,$J97)),"",INDEX('Product Backlog'!$A$5:$A$504,$J97)))</f>
        <v/>
      </c>
      <c r="B97" s="46" t="str">
        <f>IF($J97="","",IF(ISBLANK(INDEX('Product Backlog'!$B$5:$B$504,$J97)),"",INDEX('Product Backlog'!$B$5:$B$504,$J97)))</f>
        <v/>
      </c>
      <c r="C97" s="46" t="str">
        <f>IF($J97="","",IF(ISBLANK(INDEX('Product Backlog'!$C$5:$C$504,$J97)),"",INDEX('Product Backlog'!$C$5:$C$504,$J97)))</f>
        <v/>
      </c>
      <c r="D97" s="46" t="str">
        <f>IF($J97="","",IF(ISBLANK(INDEX('Product Backlog'!$D$5:$D$504,$J97)),"",INDEX('Product Backlog'!$D$5:$D$504,$J97)))</f>
        <v/>
      </c>
      <c r="E97" s="46" t="str">
        <f>IF($J97="","",IF(ISBLANK(INDEX('Product Backlog'!$E$5:$E$504,$J97)),"",INDEX('Product Backlog'!$E$5:$E$504,$J97)))</f>
        <v/>
      </c>
      <c r="F97" s="47" t="str">
        <f>IF($J97="","",IF(ISBLANK(INDEX('Product Backlog'!$F$5:$F$504,$J97)),"",INDEX('Product Backlog'!$F$5:$F$504,$J97)))</f>
        <v/>
      </c>
      <c r="G97" s="47" t="str">
        <f>IF($J97="","",IF(ISBLANK(INDEX('Product Backlog'!$G$5:$G$504,$J97)),"",INDEX('Product Backlog'!$G$5:$G$504,$J97)))</f>
        <v/>
      </c>
      <c r="H97" s="48" t="str">
        <f>IF($J97="","",IF(ISBLANK(INDEX('Product Backlog'!$H$5:$H$504,$J97)),"",INDEX('Product Backlog'!$H$5:$H$504,$J97)))</f>
        <v/>
      </c>
      <c r="I97" s="48" t="str">
        <f>IF($J97="","",IF(ISBLANK(INDEX('Product Backlog'!$I$5:$I$504,$J97)),"",INDEX('Product Backlog'!$I$5:$I$504,$J97)))</f>
        <v/>
      </c>
      <c r="J97" t="str">
        <f>IFERROR(MATCH($B$4&amp;"-"&amp;ROWS($A$10:A97),'Product Backlog'!$J$5:$J$504,0),"")</f>
        <v/>
      </c>
    </row>
    <row r="98" spans="1:10" ht="21" customHeight="1" x14ac:dyDescent="0.2">
      <c r="A98" s="46" t="str">
        <f>IF($J98="","",IF(ISBLANK(INDEX('Product Backlog'!$A$5:$A$504,$J98)),"",INDEX('Product Backlog'!$A$5:$A$504,$J98)))</f>
        <v/>
      </c>
      <c r="B98" s="46" t="str">
        <f>IF($J98="","",IF(ISBLANK(INDEX('Product Backlog'!$B$5:$B$504,$J98)),"",INDEX('Product Backlog'!$B$5:$B$504,$J98)))</f>
        <v/>
      </c>
      <c r="C98" s="46" t="str">
        <f>IF($J98="","",IF(ISBLANK(INDEX('Product Backlog'!$C$5:$C$504,$J98)),"",INDEX('Product Backlog'!$C$5:$C$504,$J98)))</f>
        <v/>
      </c>
      <c r="D98" s="46" t="str">
        <f>IF($J98="","",IF(ISBLANK(INDEX('Product Backlog'!$D$5:$D$504,$J98)),"",INDEX('Product Backlog'!$D$5:$D$504,$J98)))</f>
        <v/>
      </c>
      <c r="E98" s="46" t="str">
        <f>IF($J98="","",IF(ISBLANK(INDEX('Product Backlog'!$E$5:$E$504,$J98)),"",INDEX('Product Backlog'!$E$5:$E$504,$J98)))</f>
        <v/>
      </c>
      <c r="F98" s="47" t="str">
        <f>IF($J98="","",IF(ISBLANK(INDEX('Product Backlog'!$F$5:$F$504,$J98)),"",INDEX('Product Backlog'!$F$5:$F$504,$J98)))</f>
        <v/>
      </c>
      <c r="G98" s="47" t="str">
        <f>IF($J98="","",IF(ISBLANK(INDEX('Product Backlog'!$G$5:$G$504,$J98)),"",INDEX('Product Backlog'!$G$5:$G$504,$J98)))</f>
        <v/>
      </c>
      <c r="H98" s="48" t="str">
        <f>IF($J98="","",IF(ISBLANK(INDEX('Product Backlog'!$H$5:$H$504,$J98)),"",INDEX('Product Backlog'!$H$5:$H$504,$J98)))</f>
        <v/>
      </c>
      <c r="I98" s="48" t="str">
        <f>IF($J98="","",IF(ISBLANK(INDEX('Product Backlog'!$I$5:$I$504,$J98)),"",INDEX('Product Backlog'!$I$5:$I$504,$J98)))</f>
        <v/>
      </c>
      <c r="J98" t="str">
        <f>IFERROR(MATCH($B$4&amp;"-"&amp;ROWS($A$10:A98),'Product Backlog'!$J$5:$J$504,0),"")</f>
        <v/>
      </c>
    </row>
    <row r="99" spans="1:10" ht="21" customHeight="1" x14ac:dyDescent="0.2">
      <c r="A99" s="46" t="str">
        <f>IF($J99="","",IF(ISBLANK(INDEX('Product Backlog'!$A$5:$A$504,$J99)),"",INDEX('Product Backlog'!$A$5:$A$504,$J99)))</f>
        <v/>
      </c>
      <c r="B99" s="46" t="str">
        <f>IF($J99="","",IF(ISBLANK(INDEX('Product Backlog'!$B$5:$B$504,$J99)),"",INDEX('Product Backlog'!$B$5:$B$504,$J99)))</f>
        <v/>
      </c>
      <c r="C99" s="46" t="str">
        <f>IF($J99="","",IF(ISBLANK(INDEX('Product Backlog'!$C$5:$C$504,$J99)),"",INDEX('Product Backlog'!$C$5:$C$504,$J99)))</f>
        <v/>
      </c>
      <c r="D99" s="46" t="str">
        <f>IF($J99="","",IF(ISBLANK(INDEX('Product Backlog'!$D$5:$D$504,$J99)),"",INDEX('Product Backlog'!$D$5:$D$504,$J99)))</f>
        <v/>
      </c>
      <c r="E99" s="46" t="str">
        <f>IF($J99="","",IF(ISBLANK(INDEX('Product Backlog'!$E$5:$E$504,$J99)),"",INDEX('Product Backlog'!$E$5:$E$504,$J99)))</f>
        <v/>
      </c>
      <c r="F99" s="47" t="str">
        <f>IF($J99="","",IF(ISBLANK(INDEX('Product Backlog'!$F$5:$F$504,$J99)),"",INDEX('Product Backlog'!$F$5:$F$504,$J99)))</f>
        <v/>
      </c>
      <c r="G99" s="47" t="str">
        <f>IF($J99="","",IF(ISBLANK(INDEX('Product Backlog'!$G$5:$G$504,$J99)),"",INDEX('Product Backlog'!$G$5:$G$504,$J99)))</f>
        <v/>
      </c>
      <c r="H99" s="48" t="str">
        <f>IF($J99="","",IF(ISBLANK(INDEX('Product Backlog'!$H$5:$H$504,$J99)),"",INDEX('Product Backlog'!$H$5:$H$504,$J99)))</f>
        <v/>
      </c>
      <c r="I99" s="48" t="str">
        <f>IF($J99="","",IF(ISBLANK(INDEX('Product Backlog'!$I$5:$I$504,$J99)),"",INDEX('Product Backlog'!$I$5:$I$504,$J99)))</f>
        <v/>
      </c>
      <c r="J99" t="str">
        <f>IFERROR(MATCH($B$4&amp;"-"&amp;ROWS($A$10:A99),'Product Backlog'!$J$5:$J$504,0),"")</f>
        <v/>
      </c>
    </row>
    <row r="100" spans="1:10" ht="21" customHeight="1" x14ac:dyDescent="0.2">
      <c r="A100" s="46" t="str">
        <f>IF($J100="","",IF(ISBLANK(INDEX('Product Backlog'!$A$5:$A$504,$J100)),"",INDEX('Product Backlog'!$A$5:$A$504,$J100)))</f>
        <v/>
      </c>
      <c r="B100" s="46" t="str">
        <f>IF($J100="","",IF(ISBLANK(INDEX('Product Backlog'!$B$5:$B$504,$J100)),"",INDEX('Product Backlog'!$B$5:$B$504,$J100)))</f>
        <v/>
      </c>
      <c r="C100" s="46" t="str">
        <f>IF($J100="","",IF(ISBLANK(INDEX('Product Backlog'!$C$5:$C$504,$J100)),"",INDEX('Product Backlog'!$C$5:$C$504,$J100)))</f>
        <v/>
      </c>
      <c r="D100" s="46" t="str">
        <f>IF($J100="","",IF(ISBLANK(INDEX('Product Backlog'!$D$5:$D$504,$J100)),"",INDEX('Product Backlog'!$D$5:$D$504,$J100)))</f>
        <v/>
      </c>
      <c r="E100" s="46" t="str">
        <f>IF($J100="","",IF(ISBLANK(INDEX('Product Backlog'!$E$5:$E$504,$J100)),"",INDEX('Product Backlog'!$E$5:$E$504,$J100)))</f>
        <v/>
      </c>
      <c r="F100" s="47" t="str">
        <f>IF($J100="","",IF(ISBLANK(INDEX('Product Backlog'!$F$5:$F$504,$J100)),"",INDEX('Product Backlog'!$F$5:$F$504,$J100)))</f>
        <v/>
      </c>
      <c r="G100" s="47" t="str">
        <f>IF($J100="","",IF(ISBLANK(INDEX('Product Backlog'!$G$5:$G$504,$J100)),"",INDEX('Product Backlog'!$G$5:$G$504,$J100)))</f>
        <v/>
      </c>
      <c r="H100" s="48" t="str">
        <f>IF($J100="","",IF(ISBLANK(INDEX('Product Backlog'!$H$5:$H$504,$J100)),"",INDEX('Product Backlog'!$H$5:$H$504,$J100)))</f>
        <v/>
      </c>
      <c r="I100" s="48" t="str">
        <f>IF($J100="","",IF(ISBLANK(INDEX('Product Backlog'!$I$5:$I$504,$J100)),"",INDEX('Product Backlog'!$I$5:$I$504,$J100)))</f>
        <v/>
      </c>
      <c r="J100" t="str">
        <f>IFERROR(MATCH($B$4&amp;"-"&amp;ROWS($A$10:A100),'Product Backlog'!$J$5:$J$504,0),"")</f>
        <v/>
      </c>
    </row>
    <row r="101" spans="1:10" ht="21" customHeight="1" x14ac:dyDescent="0.2">
      <c r="A101" s="46" t="str">
        <f>IF($J101="","",IF(ISBLANK(INDEX('Product Backlog'!$A$5:$A$504,$J101)),"",INDEX('Product Backlog'!$A$5:$A$504,$J101)))</f>
        <v/>
      </c>
      <c r="B101" s="46" t="str">
        <f>IF($J101="","",IF(ISBLANK(INDEX('Product Backlog'!$B$5:$B$504,$J101)),"",INDEX('Product Backlog'!$B$5:$B$504,$J101)))</f>
        <v/>
      </c>
      <c r="C101" s="46" t="str">
        <f>IF($J101="","",IF(ISBLANK(INDEX('Product Backlog'!$C$5:$C$504,$J101)),"",INDEX('Product Backlog'!$C$5:$C$504,$J101)))</f>
        <v/>
      </c>
      <c r="D101" s="46" t="str">
        <f>IF($J101="","",IF(ISBLANK(INDEX('Product Backlog'!$D$5:$D$504,$J101)),"",INDEX('Product Backlog'!$D$5:$D$504,$J101)))</f>
        <v/>
      </c>
      <c r="E101" s="46" t="str">
        <f>IF($J101="","",IF(ISBLANK(INDEX('Product Backlog'!$E$5:$E$504,$J101)),"",INDEX('Product Backlog'!$E$5:$E$504,$J101)))</f>
        <v/>
      </c>
      <c r="F101" s="47" t="str">
        <f>IF($J101="","",IF(ISBLANK(INDEX('Product Backlog'!$F$5:$F$504,$J101)),"",INDEX('Product Backlog'!$F$5:$F$504,$J101)))</f>
        <v/>
      </c>
      <c r="G101" s="47" t="str">
        <f>IF($J101="","",IF(ISBLANK(INDEX('Product Backlog'!$G$5:$G$504,$J101)),"",INDEX('Product Backlog'!$G$5:$G$504,$J101)))</f>
        <v/>
      </c>
      <c r="H101" s="48" t="str">
        <f>IF($J101="","",IF(ISBLANK(INDEX('Product Backlog'!$H$5:$H$504,$J101)),"",INDEX('Product Backlog'!$H$5:$H$504,$J101)))</f>
        <v/>
      </c>
      <c r="I101" s="48" t="str">
        <f>IF($J101="","",IF(ISBLANK(INDEX('Product Backlog'!$I$5:$I$504,$J101)),"",INDEX('Product Backlog'!$I$5:$I$504,$J101)))</f>
        <v/>
      </c>
      <c r="J101" t="str">
        <f>IFERROR(MATCH($B$4&amp;"-"&amp;ROWS($A$10:A101),'Product Backlog'!$J$5:$J$504,0),"")</f>
        <v/>
      </c>
    </row>
    <row r="102" spans="1:10" ht="21" customHeight="1" x14ac:dyDescent="0.2">
      <c r="A102" s="46" t="str">
        <f>IF($J102="","",IF(ISBLANK(INDEX('Product Backlog'!$A$5:$A$504,$J102)),"",INDEX('Product Backlog'!$A$5:$A$504,$J102)))</f>
        <v/>
      </c>
      <c r="B102" s="46" t="str">
        <f>IF($J102="","",IF(ISBLANK(INDEX('Product Backlog'!$B$5:$B$504,$J102)),"",INDEX('Product Backlog'!$B$5:$B$504,$J102)))</f>
        <v/>
      </c>
      <c r="C102" s="46" t="str">
        <f>IF($J102="","",IF(ISBLANK(INDEX('Product Backlog'!$C$5:$C$504,$J102)),"",INDEX('Product Backlog'!$C$5:$C$504,$J102)))</f>
        <v/>
      </c>
      <c r="D102" s="46" t="str">
        <f>IF($J102="","",IF(ISBLANK(INDEX('Product Backlog'!$D$5:$D$504,$J102)),"",INDEX('Product Backlog'!$D$5:$D$504,$J102)))</f>
        <v/>
      </c>
      <c r="E102" s="46" t="str">
        <f>IF($J102="","",IF(ISBLANK(INDEX('Product Backlog'!$E$5:$E$504,$J102)),"",INDEX('Product Backlog'!$E$5:$E$504,$J102)))</f>
        <v/>
      </c>
      <c r="F102" s="47" t="str">
        <f>IF($J102="","",IF(ISBLANK(INDEX('Product Backlog'!$F$5:$F$504,$J102)),"",INDEX('Product Backlog'!$F$5:$F$504,$J102)))</f>
        <v/>
      </c>
      <c r="G102" s="47" t="str">
        <f>IF($J102="","",IF(ISBLANK(INDEX('Product Backlog'!$G$5:$G$504,$J102)),"",INDEX('Product Backlog'!$G$5:$G$504,$J102)))</f>
        <v/>
      </c>
      <c r="H102" s="48" t="str">
        <f>IF($J102="","",IF(ISBLANK(INDEX('Product Backlog'!$H$5:$H$504,$J102)),"",INDEX('Product Backlog'!$H$5:$H$504,$J102)))</f>
        <v/>
      </c>
      <c r="I102" s="48" t="str">
        <f>IF($J102="","",IF(ISBLANK(INDEX('Product Backlog'!$I$5:$I$504,$J102)),"",INDEX('Product Backlog'!$I$5:$I$504,$J102)))</f>
        <v/>
      </c>
      <c r="J102" t="str">
        <f>IFERROR(MATCH($B$4&amp;"-"&amp;ROWS($A$10:A102),'Product Backlog'!$J$5:$J$504,0),"")</f>
        <v/>
      </c>
    </row>
    <row r="103" spans="1:10" ht="21" customHeight="1" x14ac:dyDescent="0.2">
      <c r="A103" s="46" t="str">
        <f>IF($J103="","",IF(ISBLANK(INDEX('Product Backlog'!$A$5:$A$504,$J103)),"",INDEX('Product Backlog'!$A$5:$A$504,$J103)))</f>
        <v/>
      </c>
      <c r="B103" s="46" t="str">
        <f>IF($J103="","",IF(ISBLANK(INDEX('Product Backlog'!$B$5:$B$504,$J103)),"",INDEX('Product Backlog'!$B$5:$B$504,$J103)))</f>
        <v/>
      </c>
      <c r="C103" s="46" t="str">
        <f>IF($J103="","",IF(ISBLANK(INDEX('Product Backlog'!$C$5:$C$504,$J103)),"",INDEX('Product Backlog'!$C$5:$C$504,$J103)))</f>
        <v/>
      </c>
      <c r="D103" s="46" t="str">
        <f>IF($J103="","",IF(ISBLANK(INDEX('Product Backlog'!$D$5:$D$504,$J103)),"",INDEX('Product Backlog'!$D$5:$D$504,$J103)))</f>
        <v/>
      </c>
      <c r="E103" s="46" t="str">
        <f>IF($J103="","",IF(ISBLANK(INDEX('Product Backlog'!$E$5:$E$504,$J103)),"",INDEX('Product Backlog'!$E$5:$E$504,$J103)))</f>
        <v/>
      </c>
      <c r="F103" s="47" t="str">
        <f>IF($J103="","",IF(ISBLANK(INDEX('Product Backlog'!$F$5:$F$504,$J103)),"",INDEX('Product Backlog'!$F$5:$F$504,$J103)))</f>
        <v/>
      </c>
      <c r="G103" s="47" t="str">
        <f>IF($J103="","",IF(ISBLANK(INDEX('Product Backlog'!$G$5:$G$504,$J103)),"",INDEX('Product Backlog'!$G$5:$G$504,$J103)))</f>
        <v/>
      </c>
      <c r="H103" s="48" t="str">
        <f>IF($J103="","",IF(ISBLANK(INDEX('Product Backlog'!$H$5:$H$504,$J103)),"",INDEX('Product Backlog'!$H$5:$H$504,$J103)))</f>
        <v/>
      </c>
      <c r="I103" s="48" t="str">
        <f>IF($J103="","",IF(ISBLANK(INDEX('Product Backlog'!$I$5:$I$504,$J103)),"",INDEX('Product Backlog'!$I$5:$I$504,$J103)))</f>
        <v/>
      </c>
      <c r="J103" t="str">
        <f>IFERROR(MATCH($B$4&amp;"-"&amp;ROWS($A$10:A103),'Product Backlog'!$J$5:$J$504,0),"")</f>
        <v/>
      </c>
    </row>
    <row r="104" spans="1:10" ht="21" customHeight="1" x14ac:dyDescent="0.2">
      <c r="A104" s="46" t="str">
        <f>IF($J104="","",IF(ISBLANK(INDEX('Product Backlog'!$A$5:$A$504,$J104)),"",INDEX('Product Backlog'!$A$5:$A$504,$J104)))</f>
        <v/>
      </c>
      <c r="B104" s="46" t="str">
        <f>IF($J104="","",IF(ISBLANK(INDEX('Product Backlog'!$B$5:$B$504,$J104)),"",INDEX('Product Backlog'!$B$5:$B$504,$J104)))</f>
        <v/>
      </c>
      <c r="C104" s="46" t="str">
        <f>IF($J104="","",IF(ISBLANK(INDEX('Product Backlog'!$C$5:$C$504,$J104)),"",INDEX('Product Backlog'!$C$5:$C$504,$J104)))</f>
        <v/>
      </c>
      <c r="D104" s="46" t="str">
        <f>IF($J104="","",IF(ISBLANK(INDEX('Product Backlog'!$D$5:$D$504,$J104)),"",INDEX('Product Backlog'!$D$5:$D$504,$J104)))</f>
        <v/>
      </c>
      <c r="E104" s="46" t="str">
        <f>IF($J104="","",IF(ISBLANK(INDEX('Product Backlog'!$E$5:$E$504,$J104)),"",INDEX('Product Backlog'!$E$5:$E$504,$J104)))</f>
        <v/>
      </c>
      <c r="F104" s="47" t="str">
        <f>IF($J104="","",IF(ISBLANK(INDEX('Product Backlog'!$F$5:$F$504,$J104)),"",INDEX('Product Backlog'!$F$5:$F$504,$J104)))</f>
        <v/>
      </c>
      <c r="G104" s="47" t="str">
        <f>IF($J104="","",IF(ISBLANK(INDEX('Product Backlog'!$G$5:$G$504,$J104)),"",INDEX('Product Backlog'!$G$5:$G$504,$J104)))</f>
        <v/>
      </c>
      <c r="H104" s="48" t="str">
        <f>IF($J104="","",IF(ISBLANK(INDEX('Product Backlog'!$H$5:$H$504,$J104)),"",INDEX('Product Backlog'!$H$5:$H$504,$J104)))</f>
        <v/>
      </c>
      <c r="I104" s="48" t="str">
        <f>IF($J104="","",IF(ISBLANK(INDEX('Product Backlog'!$I$5:$I$504,$J104)),"",INDEX('Product Backlog'!$I$5:$I$504,$J104)))</f>
        <v/>
      </c>
      <c r="J104" t="str">
        <f>IFERROR(MATCH($B$4&amp;"-"&amp;ROWS($A$10:A104),'Product Backlog'!$J$5:$J$504,0),"")</f>
        <v/>
      </c>
    </row>
    <row r="105" spans="1:10" ht="21" customHeight="1" x14ac:dyDescent="0.2">
      <c r="A105" s="46" t="str">
        <f>IF($J105="","",IF(ISBLANK(INDEX('Product Backlog'!$A$5:$A$504,$J105)),"",INDEX('Product Backlog'!$A$5:$A$504,$J105)))</f>
        <v/>
      </c>
      <c r="B105" s="46" t="str">
        <f>IF($J105="","",IF(ISBLANK(INDEX('Product Backlog'!$B$5:$B$504,$J105)),"",INDEX('Product Backlog'!$B$5:$B$504,$J105)))</f>
        <v/>
      </c>
      <c r="C105" s="46" t="str">
        <f>IF($J105="","",IF(ISBLANK(INDEX('Product Backlog'!$C$5:$C$504,$J105)),"",INDEX('Product Backlog'!$C$5:$C$504,$J105)))</f>
        <v/>
      </c>
      <c r="D105" s="46" t="str">
        <f>IF($J105="","",IF(ISBLANK(INDEX('Product Backlog'!$D$5:$D$504,$J105)),"",INDEX('Product Backlog'!$D$5:$D$504,$J105)))</f>
        <v/>
      </c>
      <c r="E105" s="46" t="str">
        <f>IF($J105="","",IF(ISBLANK(INDEX('Product Backlog'!$E$5:$E$504,$J105)),"",INDEX('Product Backlog'!$E$5:$E$504,$J105)))</f>
        <v/>
      </c>
      <c r="F105" s="47" t="str">
        <f>IF($J105="","",IF(ISBLANK(INDEX('Product Backlog'!$F$5:$F$504,$J105)),"",INDEX('Product Backlog'!$F$5:$F$504,$J105)))</f>
        <v/>
      </c>
      <c r="G105" s="47" t="str">
        <f>IF($J105="","",IF(ISBLANK(INDEX('Product Backlog'!$G$5:$G$504,$J105)),"",INDEX('Product Backlog'!$G$5:$G$504,$J105)))</f>
        <v/>
      </c>
      <c r="H105" s="48" t="str">
        <f>IF($J105="","",IF(ISBLANK(INDEX('Product Backlog'!$H$5:$H$504,$J105)),"",INDEX('Product Backlog'!$H$5:$H$504,$J105)))</f>
        <v/>
      </c>
      <c r="I105" s="48" t="str">
        <f>IF($J105="","",IF(ISBLANK(INDEX('Product Backlog'!$I$5:$I$504,$J105)),"",INDEX('Product Backlog'!$I$5:$I$504,$J105)))</f>
        <v/>
      </c>
      <c r="J105" t="str">
        <f>IFERROR(MATCH($B$4&amp;"-"&amp;ROWS($A$10:A105),'Product Backlog'!$J$5:$J$504,0),"")</f>
        <v/>
      </c>
    </row>
    <row r="106" spans="1:10" ht="21" customHeight="1" x14ac:dyDescent="0.2">
      <c r="A106" s="46" t="str">
        <f>IF($J106="","",IF(ISBLANK(INDEX('Product Backlog'!$A$5:$A$504,$J106)),"",INDEX('Product Backlog'!$A$5:$A$504,$J106)))</f>
        <v/>
      </c>
      <c r="B106" s="46" t="str">
        <f>IF($J106="","",IF(ISBLANK(INDEX('Product Backlog'!$B$5:$B$504,$J106)),"",INDEX('Product Backlog'!$B$5:$B$504,$J106)))</f>
        <v/>
      </c>
      <c r="C106" s="46" t="str">
        <f>IF($J106="","",IF(ISBLANK(INDEX('Product Backlog'!$C$5:$C$504,$J106)),"",INDEX('Product Backlog'!$C$5:$C$504,$J106)))</f>
        <v/>
      </c>
      <c r="D106" s="46" t="str">
        <f>IF($J106="","",IF(ISBLANK(INDEX('Product Backlog'!$D$5:$D$504,$J106)),"",INDEX('Product Backlog'!$D$5:$D$504,$J106)))</f>
        <v/>
      </c>
      <c r="E106" s="46" t="str">
        <f>IF($J106="","",IF(ISBLANK(INDEX('Product Backlog'!$E$5:$E$504,$J106)),"",INDEX('Product Backlog'!$E$5:$E$504,$J106)))</f>
        <v/>
      </c>
      <c r="F106" s="47" t="str">
        <f>IF($J106="","",IF(ISBLANK(INDEX('Product Backlog'!$F$5:$F$504,$J106)),"",INDEX('Product Backlog'!$F$5:$F$504,$J106)))</f>
        <v/>
      </c>
      <c r="G106" s="47" t="str">
        <f>IF($J106="","",IF(ISBLANK(INDEX('Product Backlog'!$G$5:$G$504,$J106)),"",INDEX('Product Backlog'!$G$5:$G$504,$J106)))</f>
        <v/>
      </c>
      <c r="H106" s="48" t="str">
        <f>IF($J106="","",IF(ISBLANK(INDEX('Product Backlog'!$H$5:$H$504,$J106)),"",INDEX('Product Backlog'!$H$5:$H$504,$J106)))</f>
        <v/>
      </c>
      <c r="I106" s="48" t="str">
        <f>IF($J106="","",IF(ISBLANK(INDEX('Product Backlog'!$I$5:$I$504,$J106)),"",INDEX('Product Backlog'!$I$5:$I$504,$J106)))</f>
        <v/>
      </c>
      <c r="J106" t="str">
        <f>IFERROR(MATCH($B$4&amp;"-"&amp;ROWS($A$10:A106),'Product Backlog'!$J$5:$J$504,0),"")</f>
        <v/>
      </c>
    </row>
    <row r="107" spans="1:10" ht="21" customHeight="1" x14ac:dyDescent="0.2">
      <c r="A107" s="46" t="str">
        <f>IF($J107="","",IF(ISBLANK(INDEX('Product Backlog'!$A$5:$A$504,$J107)),"",INDEX('Product Backlog'!$A$5:$A$504,$J107)))</f>
        <v/>
      </c>
      <c r="B107" s="46" t="str">
        <f>IF($J107="","",IF(ISBLANK(INDEX('Product Backlog'!$B$5:$B$504,$J107)),"",INDEX('Product Backlog'!$B$5:$B$504,$J107)))</f>
        <v/>
      </c>
      <c r="C107" s="46" t="str">
        <f>IF($J107="","",IF(ISBLANK(INDEX('Product Backlog'!$C$5:$C$504,$J107)),"",INDEX('Product Backlog'!$C$5:$C$504,$J107)))</f>
        <v/>
      </c>
      <c r="D107" s="46" t="str">
        <f>IF($J107="","",IF(ISBLANK(INDEX('Product Backlog'!$D$5:$D$504,$J107)),"",INDEX('Product Backlog'!$D$5:$D$504,$J107)))</f>
        <v/>
      </c>
      <c r="E107" s="46" t="str">
        <f>IF($J107="","",IF(ISBLANK(INDEX('Product Backlog'!$E$5:$E$504,$J107)),"",INDEX('Product Backlog'!$E$5:$E$504,$J107)))</f>
        <v/>
      </c>
      <c r="F107" s="47" t="str">
        <f>IF($J107="","",IF(ISBLANK(INDEX('Product Backlog'!$F$5:$F$504,$J107)),"",INDEX('Product Backlog'!$F$5:$F$504,$J107)))</f>
        <v/>
      </c>
      <c r="G107" s="47" t="str">
        <f>IF($J107="","",IF(ISBLANK(INDEX('Product Backlog'!$G$5:$G$504,$J107)),"",INDEX('Product Backlog'!$G$5:$G$504,$J107)))</f>
        <v/>
      </c>
      <c r="H107" s="48" t="str">
        <f>IF($J107="","",IF(ISBLANK(INDEX('Product Backlog'!$H$5:$H$504,$J107)),"",INDEX('Product Backlog'!$H$5:$H$504,$J107)))</f>
        <v/>
      </c>
      <c r="I107" s="48" t="str">
        <f>IF($J107="","",IF(ISBLANK(INDEX('Product Backlog'!$I$5:$I$504,$J107)),"",INDEX('Product Backlog'!$I$5:$I$504,$J107)))</f>
        <v/>
      </c>
      <c r="J107" t="str">
        <f>IFERROR(MATCH($B$4&amp;"-"&amp;ROWS($A$10:A107),'Product Backlog'!$J$5:$J$504,0),"")</f>
        <v/>
      </c>
    </row>
    <row r="108" spans="1:10" ht="21" customHeight="1" x14ac:dyDescent="0.2">
      <c r="A108" s="46" t="str">
        <f>IF($J108="","",IF(ISBLANK(INDEX('Product Backlog'!$A$5:$A$504,$J108)),"",INDEX('Product Backlog'!$A$5:$A$504,$J108)))</f>
        <v/>
      </c>
      <c r="B108" s="46" t="str">
        <f>IF($J108="","",IF(ISBLANK(INDEX('Product Backlog'!$B$5:$B$504,$J108)),"",INDEX('Product Backlog'!$B$5:$B$504,$J108)))</f>
        <v/>
      </c>
      <c r="C108" s="46" t="str">
        <f>IF($J108="","",IF(ISBLANK(INDEX('Product Backlog'!$C$5:$C$504,$J108)),"",INDEX('Product Backlog'!$C$5:$C$504,$J108)))</f>
        <v/>
      </c>
      <c r="D108" s="46" t="str">
        <f>IF($J108="","",IF(ISBLANK(INDEX('Product Backlog'!$D$5:$D$504,$J108)),"",INDEX('Product Backlog'!$D$5:$D$504,$J108)))</f>
        <v/>
      </c>
      <c r="E108" s="46" t="str">
        <f>IF($J108="","",IF(ISBLANK(INDEX('Product Backlog'!$E$5:$E$504,$J108)),"",INDEX('Product Backlog'!$E$5:$E$504,$J108)))</f>
        <v/>
      </c>
      <c r="F108" s="47" t="str">
        <f>IF($J108="","",IF(ISBLANK(INDEX('Product Backlog'!$F$5:$F$504,$J108)),"",INDEX('Product Backlog'!$F$5:$F$504,$J108)))</f>
        <v/>
      </c>
      <c r="G108" s="47" t="str">
        <f>IF($J108="","",IF(ISBLANK(INDEX('Product Backlog'!$G$5:$G$504,$J108)),"",INDEX('Product Backlog'!$G$5:$G$504,$J108)))</f>
        <v/>
      </c>
      <c r="H108" s="48" t="str">
        <f>IF($J108="","",IF(ISBLANK(INDEX('Product Backlog'!$H$5:$H$504,$J108)),"",INDEX('Product Backlog'!$H$5:$H$504,$J108)))</f>
        <v/>
      </c>
      <c r="I108" s="48" t="str">
        <f>IF($J108="","",IF(ISBLANK(INDEX('Product Backlog'!$I$5:$I$504,$J108)),"",INDEX('Product Backlog'!$I$5:$I$504,$J108)))</f>
        <v/>
      </c>
      <c r="J108" t="str">
        <f>IFERROR(MATCH($B$4&amp;"-"&amp;ROWS($A$10:A108),'Product Backlog'!$J$5:$J$504,0),"")</f>
        <v/>
      </c>
    </row>
    <row r="109" spans="1:10" ht="21" customHeight="1" x14ac:dyDescent="0.2">
      <c r="A109" s="46" t="str">
        <f>IF($J109="","",IF(ISBLANK(INDEX('Product Backlog'!$A$5:$A$504,$J109)),"",INDEX('Product Backlog'!$A$5:$A$504,$J109)))</f>
        <v/>
      </c>
      <c r="B109" s="46" t="str">
        <f>IF($J109="","",IF(ISBLANK(INDEX('Product Backlog'!$B$5:$B$504,$J109)),"",INDEX('Product Backlog'!$B$5:$B$504,$J109)))</f>
        <v/>
      </c>
      <c r="C109" s="46" t="str">
        <f>IF($J109="","",IF(ISBLANK(INDEX('Product Backlog'!$C$5:$C$504,$J109)),"",INDEX('Product Backlog'!$C$5:$C$504,$J109)))</f>
        <v/>
      </c>
      <c r="D109" s="46" t="str">
        <f>IF($J109="","",IF(ISBLANK(INDEX('Product Backlog'!$D$5:$D$504,$J109)),"",INDEX('Product Backlog'!$D$5:$D$504,$J109)))</f>
        <v/>
      </c>
      <c r="E109" s="46" t="str">
        <f>IF($J109="","",IF(ISBLANK(INDEX('Product Backlog'!$E$5:$E$504,$J109)),"",INDEX('Product Backlog'!$E$5:$E$504,$J109)))</f>
        <v/>
      </c>
      <c r="F109" s="47" t="str">
        <f>IF($J109="","",IF(ISBLANK(INDEX('Product Backlog'!$F$5:$F$504,$J109)),"",INDEX('Product Backlog'!$F$5:$F$504,$J109)))</f>
        <v/>
      </c>
      <c r="G109" s="47" t="str">
        <f>IF($J109="","",IF(ISBLANK(INDEX('Product Backlog'!$G$5:$G$504,$J109)),"",INDEX('Product Backlog'!$G$5:$G$504,$J109)))</f>
        <v/>
      </c>
      <c r="H109" s="48" t="str">
        <f>IF($J109="","",IF(ISBLANK(INDEX('Product Backlog'!$H$5:$H$504,$J109)),"",INDEX('Product Backlog'!$H$5:$H$504,$J109)))</f>
        <v/>
      </c>
      <c r="I109" s="48" t="str">
        <f>IF($J109="","",IF(ISBLANK(INDEX('Product Backlog'!$I$5:$I$504,$J109)),"",INDEX('Product Backlog'!$I$5:$I$504,$J109)))</f>
        <v/>
      </c>
      <c r="J109" t="str">
        <f>IFERROR(MATCH($B$4&amp;"-"&amp;ROWS($A$10:A109),'Product Backlog'!$J$5:$J$504,0),"")</f>
        <v/>
      </c>
    </row>
    <row r="110" spans="1:10" ht="21" customHeight="1" x14ac:dyDescent="0.2">
      <c r="A110" s="46"/>
      <c r="B110" s="46"/>
      <c r="C110" s="46"/>
      <c r="D110" s="46"/>
      <c r="E110" s="46"/>
      <c r="F110" s="47"/>
      <c r="G110" s="47"/>
      <c r="H110" s="48"/>
      <c r="I110" s="48"/>
    </row>
    <row r="111" spans="1:10" ht="21" customHeight="1" x14ac:dyDescent="0.2">
      <c r="A111" s="46"/>
      <c r="B111" s="46"/>
      <c r="C111" s="46"/>
      <c r="D111" s="46"/>
      <c r="E111" s="46"/>
      <c r="F111" s="47"/>
      <c r="G111" s="47"/>
      <c r="H111" s="48"/>
      <c r="I111" s="48"/>
    </row>
    <row r="112" spans="1:10" ht="21" customHeight="1" x14ac:dyDescent="0.2">
      <c r="A112" s="46"/>
      <c r="B112" s="46"/>
      <c r="C112" s="46"/>
      <c r="D112" s="46"/>
      <c r="E112" s="46"/>
      <c r="F112" s="47"/>
      <c r="G112" s="47"/>
      <c r="H112" s="48"/>
      <c r="I112" s="48"/>
    </row>
    <row r="113" spans="1:9" ht="21" customHeight="1" x14ac:dyDescent="0.2">
      <c r="A113" s="46"/>
      <c r="B113" s="46"/>
      <c r="C113" s="46"/>
      <c r="D113" s="46"/>
      <c r="E113" s="46"/>
      <c r="F113" s="47"/>
      <c r="G113" s="47"/>
      <c r="H113" s="48"/>
      <c r="I113" s="48"/>
    </row>
    <row r="114" spans="1:9" ht="21" customHeight="1" x14ac:dyDescent="0.2">
      <c r="A114" s="46"/>
      <c r="B114" s="46"/>
      <c r="C114" s="46"/>
      <c r="D114" s="46"/>
      <c r="E114" s="46"/>
      <c r="F114" s="47"/>
      <c r="G114" s="47"/>
      <c r="H114" s="48"/>
      <c r="I114" s="48"/>
    </row>
    <row r="115" spans="1:9" ht="21" customHeight="1" x14ac:dyDescent="0.2">
      <c r="A115" s="46"/>
      <c r="B115" s="46"/>
      <c r="C115" s="46"/>
      <c r="D115" s="46"/>
      <c r="E115" s="46"/>
      <c r="F115" s="47"/>
      <c r="G115" s="47"/>
      <c r="H115" s="48"/>
      <c r="I115" s="48"/>
    </row>
    <row r="116" spans="1:9" ht="21" customHeight="1" x14ac:dyDescent="0.2">
      <c r="A116" s="46"/>
      <c r="B116" s="46"/>
      <c r="C116" s="46"/>
      <c r="D116" s="46"/>
      <c r="E116" s="46"/>
      <c r="F116" s="47"/>
      <c r="G116" s="47"/>
      <c r="H116" s="48"/>
      <c r="I116" s="48"/>
    </row>
    <row r="117" spans="1:9" ht="21" customHeight="1" x14ac:dyDescent="0.2">
      <c r="A117" s="46"/>
      <c r="B117" s="46"/>
      <c r="C117" s="46"/>
      <c r="D117" s="46"/>
      <c r="E117" s="46"/>
      <c r="F117" s="47"/>
      <c r="G117" s="47"/>
      <c r="H117" s="48"/>
      <c r="I117" s="48"/>
    </row>
    <row r="118" spans="1:9" ht="21" customHeight="1" x14ac:dyDescent="0.2">
      <c r="A118" s="46"/>
      <c r="B118" s="46"/>
      <c r="C118" s="46"/>
      <c r="D118" s="46"/>
      <c r="E118" s="46"/>
      <c r="F118" s="47"/>
      <c r="G118" s="47"/>
      <c r="H118" s="48"/>
      <c r="I118" s="48"/>
    </row>
    <row r="119" spans="1:9" ht="21" customHeight="1" x14ac:dyDescent="0.2">
      <c r="A119" s="46"/>
      <c r="B119" s="46"/>
      <c r="C119" s="46"/>
      <c r="D119" s="46"/>
      <c r="E119" s="46"/>
      <c r="F119" s="47"/>
      <c r="G119" s="47"/>
      <c r="H119" s="48"/>
      <c r="I119" s="48"/>
    </row>
    <row r="120" spans="1:9" ht="21" customHeight="1" x14ac:dyDescent="0.2">
      <c r="A120" s="46"/>
      <c r="B120" s="46"/>
      <c r="C120" s="46"/>
      <c r="D120" s="46"/>
      <c r="E120" s="46"/>
      <c r="F120" s="47"/>
      <c r="G120" s="47"/>
      <c r="H120" s="48"/>
      <c r="I120" s="48"/>
    </row>
    <row r="121" spans="1:9" ht="21" customHeight="1" x14ac:dyDescent="0.2">
      <c r="A121" s="46"/>
      <c r="B121" s="46"/>
      <c r="C121" s="46"/>
      <c r="D121" s="46"/>
      <c r="E121" s="46"/>
      <c r="F121" s="47"/>
      <c r="G121" s="47"/>
      <c r="H121" s="48"/>
      <c r="I121" s="48"/>
    </row>
    <row r="122" spans="1:9" ht="21" customHeight="1" x14ac:dyDescent="0.2">
      <c r="A122" s="46"/>
      <c r="B122" s="46"/>
      <c r="C122" s="46"/>
      <c r="D122" s="46"/>
      <c r="E122" s="46"/>
      <c r="F122" s="47"/>
      <c r="G122" s="47"/>
      <c r="H122" s="48"/>
      <c r="I122" s="48"/>
    </row>
    <row r="123" spans="1:9" ht="21" customHeight="1" x14ac:dyDescent="0.2">
      <c r="A123" s="46"/>
      <c r="B123" s="46"/>
      <c r="C123" s="46"/>
      <c r="D123" s="46"/>
      <c r="E123" s="46"/>
      <c r="F123" s="47"/>
      <c r="G123" s="47"/>
      <c r="H123" s="48"/>
      <c r="I123" s="48"/>
    </row>
    <row r="124" spans="1:9" ht="21" customHeight="1" x14ac:dyDescent="0.2">
      <c r="A124" s="46"/>
      <c r="B124" s="46"/>
      <c r="C124" s="46"/>
      <c r="D124" s="46"/>
      <c r="E124" s="46"/>
      <c r="F124" s="47"/>
      <c r="G124" s="47"/>
      <c r="H124" s="48"/>
      <c r="I124" s="48"/>
    </row>
    <row r="125" spans="1:9" ht="21" customHeight="1" x14ac:dyDescent="0.2">
      <c r="A125" s="46"/>
      <c r="B125" s="46"/>
      <c r="C125" s="46"/>
      <c r="D125" s="46"/>
      <c r="E125" s="46"/>
      <c r="F125" s="47"/>
      <c r="G125" s="47"/>
      <c r="H125" s="48"/>
      <c r="I125" s="48"/>
    </row>
    <row r="126" spans="1:9" ht="21" customHeight="1" x14ac:dyDescent="0.2">
      <c r="A126" s="46"/>
      <c r="B126" s="46"/>
      <c r="C126" s="46"/>
      <c r="D126" s="46"/>
      <c r="E126" s="46"/>
      <c r="F126" s="47"/>
      <c r="G126" s="47"/>
      <c r="H126" s="48"/>
      <c r="I126" s="48"/>
    </row>
    <row r="127" spans="1:9" ht="21" customHeight="1" x14ac:dyDescent="0.2">
      <c r="A127" s="46"/>
      <c r="B127" s="46"/>
      <c r="C127" s="46"/>
      <c r="D127" s="46"/>
      <c r="E127" s="46"/>
      <c r="F127" s="47"/>
      <c r="G127" s="47"/>
      <c r="H127" s="48"/>
      <c r="I127" s="48"/>
    </row>
    <row r="128" spans="1:9" ht="21" customHeight="1" x14ac:dyDescent="0.2">
      <c r="A128" s="46"/>
      <c r="B128" s="46"/>
      <c r="C128" s="46"/>
      <c r="D128" s="46"/>
      <c r="E128" s="46"/>
      <c r="F128" s="47"/>
      <c r="G128" s="47"/>
      <c r="H128" s="48"/>
      <c r="I128" s="48"/>
    </row>
    <row r="129" spans="1:9" ht="21" customHeight="1" x14ac:dyDescent="0.2">
      <c r="A129" s="46"/>
      <c r="B129" s="46"/>
      <c r="C129" s="46"/>
      <c r="D129" s="46"/>
      <c r="E129" s="46"/>
      <c r="F129" s="47"/>
      <c r="G129" s="47"/>
      <c r="H129" s="48"/>
      <c r="I129" s="48"/>
    </row>
    <row r="130" spans="1:9" ht="21" customHeight="1" x14ac:dyDescent="0.2">
      <c r="A130" s="46"/>
      <c r="B130" s="46"/>
      <c r="C130" s="46"/>
      <c r="D130" s="46"/>
      <c r="E130" s="46"/>
      <c r="F130" s="47"/>
      <c r="G130" s="47"/>
      <c r="H130" s="48"/>
      <c r="I130" s="48"/>
    </row>
    <row r="131" spans="1:9" ht="21" customHeight="1" x14ac:dyDescent="0.2">
      <c r="A131" s="46"/>
      <c r="B131" s="46"/>
      <c r="C131" s="46"/>
      <c r="D131" s="46"/>
      <c r="E131" s="46"/>
      <c r="F131" s="47"/>
      <c r="G131" s="47"/>
      <c r="H131" s="48"/>
      <c r="I131" s="48"/>
    </row>
    <row r="132" spans="1:9" ht="21" customHeight="1" x14ac:dyDescent="0.2">
      <c r="A132" s="46"/>
      <c r="B132" s="46"/>
      <c r="C132" s="46"/>
      <c r="D132" s="46"/>
      <c r="E132" s="46"/>
      <c r="F132" s="47"/>
      <c r="G132" s="47"/>
      <c r="H132" s="48"/>
      <c r="I132" s="48"/>
    </row>
    <row r="133" spans="1:9" ht="21" customHeight="1" x14ac:dyDescent="0.2">
      <c r="A133" s="46"/>
      <c r="B133" s="46"/>
      <c r="C133" s="46"/>
      <c r="D133" s="46"/>
      <c r="E133" s="46"/>
      <c r="F133" s="47"/>
      <c r="G133" s="47"/>
      <c r="H133" s="48"/>
      <c r="I133" s="48"/>
    </row>
    <row r="134" spans="1:9" ht="21" customHeight="1" x14ac:dyDescent="0.2">
      <c r="A134" s="46"/>
      <c r="B134" s="46"/>
      <c r="C134" s="46"/>
      <c r="D134" s="46"/>
      <c r="E134" s="46"/>
      <c r="F134" s="47"/>
      <c r="G134" s="47"/>
      <c r="H134" s="48"/>
      <c r="I134" s="48"/>
    </row>
    <row r="135" spans="1:9" ht="21" customHeight="1" x14ac:dyDescent="0.2">
      <c r="A135" s="46"/>
      <c r="B135" s="46"/>
      <c r="C135" s="46"/>
      <c r="D135" s="46"/>
      <c r="E135" s="46"/>
      <c r="F135" s="47"/>
      <c r="G135" s="47"/>
      <c r="H135" s="48"/>
      <c r="I135" s="48"/>
    </row>
    <row r="136" spans="1:9" ht="21" customHeight="1" x14ac:dyDescent="0.2">
      <c r="A136" s="46"/>
      <c r="B136" s="46"/>
      <c r="C136" s="46"/>
      <c r="D136" s="46"/>
      <c r="E136" s="46"/>
      <c r="F136" s="47"/>
      <c r="G136" s="47"/>
      <c r="H136" s="48"/>
      <c r="I136" s="48"/>
    </row>
    <row r="137" spans="1:9" ht="21" customHeight="1" x14ac:dyDescent="0.2">
      <c r="A137" s="46"/>
      <c r="B137" s="46"/>
      <c r="C137" s="46"/>
      <c r="D137" s="46"/>
      <c r="E137" s="46"/>
      <c r="F137" s="47"/>
      <c r="G137" s="47"/>
      <c r="H137" s="48"/>
      <c r="I137" s="48"/>
    </row>
    <row r="138" spans="1:9" ht="21" customHeight="1" x14ac:dyDescent="0.2">
      <c r="A138" s="46"/>
      <c r="B138" s="46"/>
      <c r="C138" s="46"/>
      <c r="D138" s="46"/>
      <c r="E138" s="46"/>
      <c r="F138" s="47"/>
      <c r="G138" s="47"/>
      <c r="H138" s="48"/>
      <c r="I138" s="48"/>
    </row>
    <row r="139" spans="1:9" ht="21" customHeight="1" x14ac:dyDescent="0.2">
      <c r="A139" s="46"/>
      <c r="B139" s="46"/>
      <c r="C139" s="46"/>
      <c r="D139" s="46"/>
      <c r="E139" s="46"/>
      <c r="F139" s="47"/>
      <c r="G139" s="47"/>
      <c r="H139" s="48"/>
      <c r="I139" s="48"/>
    </row>
    <row r="140" spans="1:9" ht="21" customHeight="1" x14ac:dyDescent="0.2">
      <c r="A140" s="46"/>
      <c r="B140" s="46"/>
      <c r="C140" s="46"/>
      <c r="D140" s="46"/>
      <c r="E140" s="46"/>
      <c r="F140" s="47"/>
      <c r="G140" s="47"/>
      <c r="H140" s="48"/>
      <c r="I140" s="48"/>
    </row>
    <row r="141" spans="1:9" ht="21" customHeight="1" x14ac:dyDescent="0.2">
      <c r="A141" s="46"/>
      <c r="B141" s="46"/>
      <c r="C141" s="46"/>
      <c r="D141" s="46"/>
      <c r="E141" s="46"/>
      <c r="F141" s="47"/>
      <c r="G141" s="47"/>
      <c r="H141" s="48"/>
      <c r="I141" s="48"/>
    </row>
    <row r="142" spans="1:9" ht="21" customHeight="1" x14ac:dyDescent="0.2">
      <c r="A142" s="46"/>
      <c r="B142" s="46"/>
      <c r="C142" s="46"/>
      <c r="D142" s="46"/>
      <c r="E142" s="46"/>
      <c r="F142" s="47"/>
      <c r="G142" s="47"/>
      <c r="H142" s="48"/>
      <c r="I142" s="48"/>
    </row>
    <row r="143" spans="1:9" ht="21" customHeight="1" x14ac:dyDescent="0.2">
      <c r="A143" s="46"/>
      <c r="B143" s="46"/>
      <c r="C143" s="46"/>
      <c r="D143" s="46"/>
      <c r="E143" s="46"/>
      <c r="F143" s="47"/>
      <c r="G143" s="47"/>
      <c r="H143" s="48"/>
      <c r="I143" s="48"/>
    </row>
    <row r="144" spans="1:9" ht="21" customHeight="1" x14ac:dyDescent="0.2">
      <c r="A144" s="46"/>
      <c r="B144" s="46"/>
      <c r="C144" s="46"/>
      <c r="D144" s="46"/>
      <c r="E144" s="46"/>
      <c r="F144" s="47"/>
      <c r="G144" s="47"/>
      <c r="H144" s="48"/>
      <c r="I144" s="48"/>
    </row>
    <row r="145" spans="1:9" ht="21" customHeight="1" x14ac:dyDescent="0.2">
      <c r="A145" s="46"/>
      <c r="B145" s="46"/>
      <c r="C145" s="46"/>
      <c r="D145" s="46"/>
      <c r="E145" s="46"/>
      <c r="F145" s="47"/>
      <c r="G145" s="47"/>
      <c r="H145" s="48"/>
      <c r="I145" s="48"/>
    </row>
    <row r="146" spans="1:9" ht="21" customHeight="1" x14ac:dyDescent="0.2">
      <c r="A146" s="46"/>
      <c r="B146" s="46"/>
      <c r="C146" s="46"/>
      <c r="D146" s="46"/>
      <c r="E146" s="46"/>
      <c r="F146" s="47"/>
      <c r="G146" s="47"/>
      <c r="H146" s="48"/>
      <c r="I146" s="48"/>
    </row>
    <row r="147" spans="1:9" ht="21" customHeight="1" x14ac:dyDescent="0.2">
      <c r="A147" s="46"/>
      <c r="B147" s="46"/>
      <c r="C147" s="46"/>
      <c r="D147" s="46"/>
      <c r="E147" s="46"/>
      <c r="F147" s="47"/>
      <c r="G147" s="47"/>
      <c r="H147" s="48"/>
      <c r="I147" s="48"/>
    </row>
    <row r="148" spans="1:9" ht="21" customHeight="1" x14ac:dyDescent="0.2">
      <c r="A148" s="46"/>
      <c r="B148" s="46"/>
      <c r="C148" s="46"/>
      <c r="D148" s="46"/>
      <c r="E148" s="46"/>
      <c r="F148" s="47"/>
      <c r="G148" s="47"/>
      <c r="H148" s="48"/>
      <c r="I148" s="48"/>
    </row>
    <row r="149" spans="1:9" ht="21" customHeight="1" x14ac:dyDescent="0.2">
      <c r="A149" s="46"/>
      <c r="B149" s="46"/>
      <c r="C149" s="46"/>
      <c r="D149" s="46"/>
      <c r="E149" s="46"/>
      <c r="F149" s="47"/>
      <c r="G149" s="47"/>
      <c r="H149" s="48"/>
      <c r="I149" s="48"/>
    </row>
    <row r="150" spans="1:9" ht="21" customHeight="1" x14ac:dyDescent="0.2">
      <c r="A150" s="46"/>
      <c r="B150" s="46"/>
      <c r="C150" s="46"/>
      <c r="D150" s="46"/>
      <c r="E150" s="46"/>
      <c r="F150" s="47"/>
      <c r="G150" s="47"/>
      <c r="H150" s="48"/>
      <c r="I150" s="48"/>
    </row>
    <row r="151" spans="1:9" ht="21" customHeight="1" x14ac:dyDescent="0.2">
      <c r="A151" s="46"/>
      <c r="B151" s="46"/>
      <c r="C151" s="46"/>
      <c r="D151" s="46"/>
      <c r="E151" s="46"/>
      <c r="F151" s="47"/>
      <c r="G151" s="47"/>
      <c r="H151" s="48"/>
      <c r="I151" s="48"/>
    </row>
    <row r="152" spans="1:9" ht="21" customHeight="1" x14ac:dyDescent="0.2">
      <c r="A152" s="46"/>
      <c r="B152" s="46"/>
      <c r="C152" s="46"/>
      <c r="D152" s="46"/>
      <c r="E152" s="46"/>
      <c r="F152" s="47"/>
      <c r="G152" s="47"/>
      <c r="H152" s="48"/>
      <c r="I152" s="48"/>
    </row>
    <row r="153" spans="1:9" ht="21" customHeight="1" x14ac:dyDescent="0.2">
      <c r="A153" s="46"/>
      <c r="B153" s="46"/>
      <c r="C153" s="46"/>
      <c r="D153" s="46"/>
      <c r="E153" s="46"/>
      <c r="F153" s="47"/>
      <c r="G153" s="47"/>
      <c r="H153" s="48"/>
      <c r="I153" s="48"/>
    </row>
    <row r="154" spans="1:9" ht="21" customHeight="1" x14ac:dyDescent="0.2">
      <c r="A154" s="46"/>
      <c r="B154" s="46"/>
      <c r="C154" s="46"/>
      <c r="D154" s="46"/>
      <c r="E154" s="46"/>
      <c r="F154" s="47"/>
      <c r="G154" s="47"/>
      <c r="H154" s="48"/>
      <c r="I154" s="48"/>
    </row>
    <row r="155" spans="1:9" ht="21" customHeight="1" x14ac:dyDescent="0.2">
      <c r="A155" s="46"/>
      <c r="B155" s="46"/>
      <c r="C155" s="46"/>
      <c r="D155" s="46"/>
      <c r="E155" s="46"/>
      <c r="F155" s="47"/>
      <c r="G155" s="47"/>
      <c r="H155" s="48"/>
      <c r="I155" s="48"/>
    </row>
    <row r="156" spans="1:9" ht="21" customHeight="1" x14ac:dyDescent="0.2">
      <c r="A156" s="46"/>
      <c r="B156" s="46"/>
      <c r="C156" s="46"/>
      <c r="D156" s="46"/>
      <c r="E156" s="46"/>
      <c r="F156" s="47"/>
      <c r="G156" s="47"/>
      <c r="H156" s="48"/>
      <c r="I156" s="48"/>
    </row>
    <row r="157" spans="1:9" ht="21" customHeight="1" x14ac:dyDescent="0.2">
      <c r="A157" s="46"/>
      <c r="B157" s="46"/>
      <c r="C157" s="46"/>
      <c r="D157" s="46"/>
      <c r="E157" s="46"/>
      <c r="F157" s="47"/>
      <c r="G157" s="47"/>
      <c r="H157" s="48"/>
      <c r="I157" s="48"/>
    </row>
    <row r="158" spans="1:9" ht="21" customHeight="1" x14ac:dyDescent="0.2">
      <c r="A158" s="46"/>
      <c r="B158" s="46"/>
      <c r="C158" s="46"/>
      <c r="D158" s="46"/>
      <c r="E158" s="46"/>
      <c r="F158" s="47"/>
      <c r="G158" s="47"/>
      <c r="H158" s="48"/>
      <c r="I158" s="48"/>
    </row>
    <row r="159" spans="1:9" ht="21" customHeight="1" x14ac:dyDescent="0.2">
      <c r="A159" s="46"/>
      <c r="B159" s="46"/>
      <c r="C159" s="46"/>
      <c r="D159" s="46"/>
      <c r="E159" s="46"/>
      <c r="F159" s="47"/>
      <c r="G159" s="47"/>
      <c r="H159" s="48"/>
      <c r="I159" s="48"/>
    </row>
    <row r="160" spans="1:9" ht="21" customHeight="1" x14ac:dyDescent="0.2">
      <c r="A160" s="46"/>
      <c r="B160" s="46"/>
      <c r="C160" s="46"/>
      <c r="D160" s="46"/>
      <c r="E160" s="46"/>
      <c r="F160" s="47"/>
      <c r="G160" s="47"/>
      <c r="H160" s="48"/>
      <c r="I160" s="48"/>
    </row>
    <row r="161" spans="1:9" ht="21" customHeight="1" x14ac:dyDescent="0.2">
      <c r="A161" s="46"/>
      <c r="B161" s="46"/>
      <c r="C161" s="46"/>
      <c r="D161" s="46"/>
      <c r="E161" s="46"/>
      <c r="F161" s="47"/>
      <c r="G161" s="47"/>
      <c r="H161" s="48"/>
      <c r="I161" s="48"/>
    </row>
    <row r="162" spans="1:9" ht="21" customHeight="1" x14ac:dyDescent="0.2">
      <c r="A162" s="46"/>
      <c r="B162" s="46"/>
      <c r="C162" s="46"/>
      <c r="D162" s="46"/>
      <c r="E162" s="46"/>
      <c r="F162" s="47"/>
      <c r="G162" s="47"/>
      <c r="H162" s="48"/>
      <c r="I162" s="48"/>
    </row>
    <row r="163" spans="1:9" ht="21" customHeight="1" x14ac:dyDescent="0.2">
      <c r="A163" s="46"/>
      <c r="B163" s="46"/>
      <c r="C163" s="46"/>
      <c r="D163" s="46"/>
      <c r="E163" s="46"/>
      <c r="F163" s="47"/>
      <c r="G163" s="47"/>
      <c r="H163" s="48"/>
      <c r="I163" s="48"/>
    </row>
    <row r="164" spans="1:9" ht="21" customHeight="1" x14ac:dyDescent="0.2">
      <c r="A164" s="46"/>
      <c r="B164" s="46"/>
      <c r="C164" s="46"/>
      <c r="D164" s="46"/>
      <c r="E164" s="46"/>
      <c r="F164" s="47"/>
      <c r="G164" s="47"/>
      <c r="H164" s="48"/>
      <c r="I164" s="48"/>
    </row>
    <row r="165" spans="1:9" ht="21" customHeight="1" x14ac:dyDescent="0.2">
      <c r="A165" s="46"/>
      <c r="B165" s="46"/>
      <c r="C165" s="46"/>
      <c r="D165" s="46"/>
      <c r="E165" s="46"/>
      <c r="F165" s="47"/>
      <c r="G165" s="47"/>
      <c r="H165" s="48"/>
      <c r="I165" s="48"/>
    </row>
    <row r="166" spans="1:9" ht="21" customHeight="1" x14ac:dyDescent="0.2">
      <c r="A166" s="46"/>
      <c r="B166" s="46"/>
      <c r="C166" s="46"/>
      <c r="D166" s="46"/>
      <c r="E166" s="46"/>
      <c r="F166" s="47"/>
      <c r="G166" s="47"/>
      <c r="H166" s="48"/>
      <c r="I166" s="48"/>
    </row>
    <row r="167" spans="1:9" ht="21" customHeight="1" x14ac:dyDescent="0.2">
      <c r="A167" s="46"/>
      <c r="B167" s="46"/>
      <c r="C167" s="46"/>
      <c r="D167" s="46"/>
      <c r="E167" s="46"/>
      <c r="F167" s="47"/>
      <c r="G167" s="47"/>
      <c r="H167" s="48"/>
      <c r="I167" s="48"/>
    </row>
    <row r="168" spans="1:9" ht="21" customHeight="1" x14ac:dyDescent="0.2">
      <c r="A168" s="46"/>
      <c r="B168" s="46"/>
      <c r="C168" s="46"/>
      <c r="D168" s="46"/>
      <c r="E168" s="46"/>
      <c r="F168" s="47"/>
      <c r="G168" s="47"/>
      <c r="H168" s="48"/>
      <c r="I168" s="48"/>
    </row>
    <row r="169" spans="1:9" ht="21" customHeight="1" x14ac:dyDescent="0.2">
      <c r="A169" s="46"/>
      <c r="B169" s="46"/>
      <c r="C169" s="46"/>
      <c r="D169" s="46"/>
      <c r="E169" s="46"/>
      <c r="F169" s="47"/>
      <c r="G169" s="47"/>
      <c r="H169" s="48"/>
      <c r="I169" s="48"/>
    </row>
    <row r="170" spans="1:9" ht="21" customHeight="1" x14ac:dyDescent="0.2">
      <c r="A170" s="46"/>
      <c r="B170" s="46"/>
      <c r="C170" s="46"/>
      <c r="D170" s="46"/>
      <c r="E170" s="46"/>
      <c r="F170" s="47"/>
      <c r="G170" s="47"/>
      <c r="H170" s="48"/>
      <c r="I170" s="48"/>
    </row>
    <row r="171" spans="1:9" ht="21" customHeight="1" x14ac:dyDescent="0.2">
      <c r="A171" s="46"/>
      <c r="B171" s="46"/>
      <c r="C171" s="46"/>
      <c r="D171" s="46"/>
      <c r="E171" s="46"/>
      <c r="F171" s="47"/>
      <c r="G171" s="47"/>
      <c r="H171" s="48"/>
      <c r="I171" s="48"/>
    </row>
    <row r="172" spans="1:9" ht="21" customHeight="1" x14ac:dyDescent="0.2">
      <c r="A172" s="46"/>
      <c r="B172" s="46"/>
      <c r="C172" s="46"/>
      <c r="D172" s="46"/>
      <c r="E172" s="46"/>
      <c r="F172" s="47"/>
      <c r="G172" s="47"/>
      <c r="H172" s="48"/>
      <c r="I172" s="48"/>
    </row>
    <row r="173" spans="1:9" ht="21" customHeight="1" x14ac:dyDescent="0.2">
      <c r="A173" s="46"/>
      <c r="B173" s="46"/>
      <c r="C173" s="46"/>
      <c r="D173" s="46"/>
      <c r="E173" s="46"/>
      <c r="F173" s="47"/>
      <c r="G173" s="47"/>
      <c r="H173" s="48"/>
      <c r="I173" s="48"/>
    </row>
    <row r="174" spans="1:9" ht="21" customHeight="1" x14ac:dyDescent="0.2">
      <c r="A174" s="46"/>
      <c r="B174" s="46"/>
      <c r="C174" s="46"/>
      <c r="D174" s="46"/>
      <c r="E174" s="46"/>
      <c r="F174" s="47"/>
      <c r="G174" s="47"/>
      <c r="H174" s="48"/>
      <c r="I174" s="48"/>
    </row>
    <row r="175" spans="1:9" ht="21" customHeight="1" x14ac:dyDescent="0.2">
      <c r="A175" s="46"/>
      <c r="B175" s="46"/>
      <c r="C175" s="46"/>
      <c r="D175" s="46"/>
      <c r="E175" s="46"/>
      <c r="F175" s="47"/>
      <c r="G175" s="47"/>
      <c r="H175" s="48"/>
      <c r="I175" s="48"/>
    </row>
    <row r="176" spans="1:9" ht="21" customHeight="1" x14ac:dyDescent="0.2">
      <c r="A176" s="46"/>
      <c r="B176" s="46"/>
      <c r="C176" s="46"/>
      <c r="D176" s="46"/>
      <c r="E176" s="46"/>
      <c r="F176" s="47"/>
      <c r="G176" s="47"/>
      <c r="H176" s="48"/>
      <c r="I176" s="48"/>
    </row>
    <row r="177" spans="1:9" ht="21" customHeight="1" x14ac:dyDescent="0.2">
      <c r="A177" s="46"/>
      <c r="B177" s="46"/>
      <c r="C177" s="46"/>
      <c r="D177" s="46"/>
      <c r="E177" s="46"/>
      <c r="F177" s="47"/>
      <c r="G177" s="47"/>
      <c r="H177" s="48"/>
      <c r="I177" s="48"/>
    </row>
    <row r="178" spans="1:9" ht="21" customHeight="1" x14ac:dyDescent="0.2">
      <c r="A178" s="46"/>
      <c r="B178" s="46"/>
      <c r="C178" s="46"/>
      <c r="D178" s="46"/>
      <c r="E178" s="46"/>
      <c r="F178" s="47"/>
      <c r="G178" s="47"/>
      <c r="H178" s="48"/>
      <c r="I178" s="48"/>
    </row>
    <row r="179" spans="1:9" ht="21" customHeight="1" x14ac:dyDescent="0.2">
      <c r="A179" s="46"/>
      <c r="B179" s="46"/>
      <c r="C179" s="46"/>
      <c r="D179" s="46"/>
      <c r="E179" s="46"/>
      <c r="F179" s="47"/>
      <c r="G179" s="47"/>
      <c r="H179" s="48"/>
      <c r="I179" s="48"/>
    </row>
    <row r="180" spans="1:9" ht="21" customHeight="1" x14ac:dyDescent="0.2">
      <c r="A180" s="46"/>
      <c r="B180" s="46"/>
      <c r="C180" s="46"/>
      <c r="D180" s="46"/>
      <c r="E180" s="46"/>
      <c r="F180" s="47"/>
      <c r="G180" s="47"/>
      <c r="H180" s="48"/>
      <c r="I180" s="48"/>
    </row>
    <row r="181" spans="1:9" ht="21" customHeight="1" x14ac:dyDescent="0.2">
      <c r="A181" s="46"/>
      <c r="B181" s="46"/>
      <c r="C181" s="46"/>
      <c r="D181" s="46"/>
      <c r="E181" s="46"/>
      <c r="F181" s="47"/>
      <c r="G181" s="47"/>
      <c r="H181" s="48"/>
      <c r="I181" s="48"/>
    </row>
    <row r="182" spans="1:9" ht="21" customHeight="1" x14ac:dyDescent="0.2">
      <c r="A182" s="46"/>
      <c r="B182" s="46"/>
      <c r="C182" s="46"/>
      <c r="D182" s="46"/>
      <c r="E182" s="46"/>
      <c r="F182" s="47"/>
      <c r="G182" s="47"/>
      <c r="H182" s="48"/>
      <c r="I182" s="48"/>
    </row>
    <row r="183" spans="1:9" ht="21" customHeight="1" x14ac:dyDescent="0.2">
      <c r="A183" s="46"/>
      <c r="B183" s="46"/>
      <c r="C183" s="46"/>
      <c r="D183" s="46"/>
      <c r="E183" s="46"/>
      <c r="F183" s="47"/>
      <c r="G183" s="47"/>
      <c r="H183" s="48"/>
      <c r="I183" s="48"/>
    </row>
    <row r="184" spans="1:9" ht="21" customHeight="1" x14ac:dyDescent="0.2">
      <c r="A184" s="46"/>
      <c r="B184" s="46"/>
      <c r="C184" s="46"/>
      <c r="D184" s="46"/>
      <c r="E184" s="46"/>
      <c r="F184" s="47"/>
      <c r="G184" s="47"/>
      <c r="H184" s="48"/>
      <c r="I184" s="48"/>
    </row>
    <row r="185" spans="1:9" ht="21" customHeight="1" x14ac:dyDescent="0.2">
      <c r="A185" s="46"/>
      <c r="B185" s="46"/>
      <c r="C185" s="46"/>
      <c r="D185" s="46"/>
      <c r="E185" s="46"/>
      <c r="F185" s="47"/>
      <c r="G185" s="47"/>
      <c r="H185" s="48"/>
      <c r="I185" s="48"/>
    </row>
    <row r="186" spans="1:9" ht="21" customHeight="1" x14ac:dyDescent="0.2">
      <c r="A186" s="46"/>
      <c r="B186" s="46"/>
      <c r="C186" s="46"/>
      <c r="D186" s="46"/>
      <c r="E186" s="46"/>
      <c r="F186" s="47"/>
      <c r="G186" s="47"/>
      <c r="H186" s="48"/>
      <c r="I186" s="48"/>
    </row>
    <row r="187" spans="1:9" ht="21" customHeight="1" x14ac:dyDescent="0.2">
      <c r="A187" s="46"/>
      <c r="B187" s="46"/>
      <c r="C187" s="46"/>
      <c r="D187" s="46"/>
      <c r="E187" s="46"/>
      <c r="F187" s="47"/>
      <c r="G187" s="47"/>
      <c r="H187" s="48"/>
      <c r="I187" s="48"/>
    </row>
    <row r="188" spans="1:9" ht="21" customHeight="1" x14ac:dyDescent="0.2">
      <c r="A188" s="46"/>
      <c r="B188" s="46"/>
      <c r="C188" s="46"/>
      <c r="D188" s="46"/>
      <c r="E188" s="46"/>
      <c r="F188" s="47"/>
      <c r="G188" s="47"/>
      <c r="H188" s="48"/>
      <c r="I188" s="48"/>
    </row>
    <row r="189" spans="1:9" ht="21" customHeight="1" x14ac:dyDescent="0.2">
      <c r="A189" s="46"/>
      <c r="B189" s="46"/>
      <c r="C189" s="46"/>
      <c r="D189" s="46"/>
      <c r="E189" s="46"/>
      <c r="F189" s="47"/>
      <c r="G189" s="47"/>
      <c r="H189" s="48"/>
      <c r="I189" s="48"/>
    </row>
    <row r="190" spans="1:9" ht="21" customHeight="1" x14ac:dyDescent="0.2">
      <c r="A190" s="46"/>
      <c r="B190" s="46"/>
      <c r="C190" s="46"/>
      <c r="D190" s="46"/>
      <c r="E190" s="46"/>
      <c r="F190" s="47"/>
      <c r="G190" s="47"/>
      <c r="H190" s="48"/>
      <c r="I190" s="48"/>
    </row>
    <row r="191" spans="1:9" ht="21" customHeight="1" x14ac:dyDescent="0.2">
      <c r="A191" s="46"/>
      <c r="B191" s="46"/>
      <c r="C191" s="46"/>
      <c r="D191" s="46"/>
      <c r="E191" s="46"/>
      <c r="F191" s="47"/>
      <c r="G191" s="47"/>
      <c r="H191" s="48"/>
      <c r="I191" s="48"/>
    </row>
    <row r="192" spans="1:9" ht="21" customHeight="1" x14ac:dyDescent="0.2">
      <c r="A192" s="46"/>
      <c r="B192" s="46"/>
      <c r="C192" s="46"/>
      <c r="D192" s="46"/>
      <c r="E192" s="46"/>
      <c r="F192" s="47"/>
      <c r="G192" s="47"/>
      <c r="H192" s="48"/>
      <c r="I192" s="48"/>
    </row>
    <row r="193" spans="1:9" ht="21" customHeight="1" x14ac:dyDescent="0.2">
      <c r="A193" s="46"/>
      <c r="B193" s="46"/>
      <c r="C193" s="46"/>
      <c r="D193" s="46"/>
      <c r="E193" s="46"/>
      <c r="F193" s="47"/>
      <c r="G193" s="47"/>
      <c r="H193" s="48"/>
      <c r="I193" s="48"/>
    </row>
    <row r="194" spans="1:9" ht="21" customHeight="1" x14ac:dyDescent="0.2">
      <c r="A194" s="46"/>
      <c r="B194" s="46"/>
      <c r="C194" s="46"/>
      <c r="D194" s="46"/>
      <c r="E194" s="46"/>
      <c r="F194" s="47"/>
      <c r="G194" s="47"/>
      <c r="H194" s="48"/>
      <c r="I194" s="48"/>
    </row>
    <row r="195" spans="1:9" ht="21" customHeight="1" x14ac:dyDescent="0.2">
      <c r="A195" s="46"/>
      <c r="B195" s="46"/>
      <c r="C195" s="46"/>
      <c r="D195" s="46"/>
      <c r="E195" s="46"/>
      <c r="F195" s="47"/>
      <c r="G195" s="47"/>
      <c r="H195" s="48"/>
      <c r="I195" s="48"/>
    </row>
    <row r="196" spans="1:9" ht="21" customHeight="1" x14ac:dyDescent="0.2">
      <c r="A196" s="46"/>
      <c r="B196" s="46"/>
      <c r="C196" s="46"/>
      <c r="D196" s="46"/>
      <c r="E196" s="46"/>
      <c r="F196" s="47"/>
      <c r="G196" s="47"/>
      <c r="H196" s="48"/>
      <c r="I196" s="48"/>
    </row>
    <row r="197" spans="1:9" ht="21" customHeight="1" x14ac:dyDescent="0.2">
      <c r="A197" s="46"/>
      <c r="B197" s="46"/>
      <c r="C197" s="46"/>
      <c r="D197" s="46"/>
      <c r="E197" s="46"/>
      <c r="F197" s="47"/>
      <c r="G197" s="47"/>
      <c r="H197" s="48"/>
      <c r="I197" s="48"/>
    </row>
    <row r="198" spans="1:9" ht="21" customHeight="1" x14ac:dyDescent="0.2">
      <c r="A198" s="46"/>
      <c r="B198" s="46"/>
      <c r="C198" s="46"/>
      <c r="D198" s="46"/>
      <c r="E198" s="46"/>
      <c r="F198" s="47"/>
      <c r="G198" s="47"/>
      <c r="H198" s="48"/>
      <c r="I198" s="48"/>
    </row>
    <row r="199" spans="1:9" ht="21" customHeight="1" x14ac:dyDescent="0.2">
      <c r="A199" s="46"/>
      <c r="B199" s="46"/>
      <c r="C199" s="46"/>
      <c r="D199" s="46"/>
      <c r="E199" s="46"/>
      <c r="F199" s="47"/>
      <c r="G199" s="47"/>
      <c r="H199" s="48"/>
      <c r="I199" s="48"/>
    </row>
    <row r="200" spans="1:9" ht="21" customHeight="1" x14ac:dyDescent="0.2">
      <c r="A200" s="46"/>
      <c r="B200" s="46"/>
      <c r="C200" s="46"/>
      <c r="D200" s="46"/>
      <c r="E200" s="46"/>
      <c r="F200" s="47"/>
      <c r="G200" s="47"/>
      <c r="H200" s="48"/>
      <c r="I200" s="48"/>
    </row>
    <row r="201" spans="1:9" ht="21" customHeight="1" x14ac:dyDescent="0.2">
      <c r="A201" s="46"/>
      <c r="B201" s="46"/>
      <c r="C201" s="46"/>
      <c r="D201" s="46"/>
      <c r="E201" s="46"/>
      <c r="F201" s="47"/>
      <c r="G201" s="47"/>
      <c r="H201" s="48"/>
      <c r="I201" s="48"/>
    </row>
    <row r="202" spans="1:9" ht="21" customHeight="1" x14ac:dyDescent="0.2">
      <c r="A202" s="46"/>
      <c r="B202" s="46"/>
      <c r="C202" s="46"/>
      <c r="D202" s="46"/>
      <c r="E202" s="46"/>
      <c r="F202" s="47"/>
      <c r="G202" s="47"/>
      <c r="H202" s="48"/>
      <c r="I202" s="48"/>
    </row>
    <row r="203" spans="1:9" ht="21" customHeight="1" x14ac:dyDescent="0.2">
      <c r="A203" s="46"/>
      <c r="B203" s="46"/>
      <c r="C203" s="46"/>
      <c r="D203" s="46"/>
      <c r="E203" s="46"/>
      <c r="F203" s="47"/>
      <c r="G203" s="47"/>
      <c r="H203" s="48"/>
      <c r="I203" s="48"/>
    </row>
    <row r="204" spans="1:9" ht="21" customHeight="1" x14ac:dyDescent="0.2">
      <c r="A204" s="46"/>
      <c r="B204" s="46"/>
      <c r="C204" s="46"/>
      <c r="D204" s="46"/>
      <c r="E204" s="46"/>
      <c r="F204" s="47"/>
      <c r="G204" s="47"/>
      <c r="H204" s="48"/>
      <c r="I204" s="48"/>
    </row>
    <row r="205" spans="1:9" ht="21" customHeight="1" x14ac:dyDescent="0.2">
      <c r="A205" s="46"/>
      <c r="B205" s="46"/>
      <c r="C205" s="46"/>
      <c r="D205" s="46"/>
      <c r="E205" s="46"/>
      <c r="F205" s="47"/>
      <c r="G205" s="47"/>
      <c r="H205" s="48"/>
      <c r="I205" s="48"/>
    </row>
    <row r="206" spans="1:9" ht="21" customHeight="1" x14ac:dyDescent="0.2">
      <c r="A206" s="46"/>
      <c r="B206" s="46"/>
      <c r="C206" s="46"/>
      <c r="D206" s="46"/>
      <c r="E206" s="46"/>
      <c r="F206" s="47"/>
      <c r="G206" s="47"/>
      <c r="H206" s="48"/>
      <c r="I206" s="48"/>
    </row>
    <row r="207" spans="1:9" ht="21" customHeight="1" x14ac:dyDescent="0.2">
      <c r="A207" s="46"/>
      <c r="B207" s="46"/>
      <c r="C207" s="46"/>
      <c r="D207" s="46"/>
      <c r="E207" s="46"/>
      <c r="F207" s="47"/>
      <c r="G207" s="47"/>
      <c r="H207" s="48"/>
      <c r="I207" s="48"/>
    </row>
    <row r="208" spans="1:9" ht="21" customHeight="1" x14ac:dyDescent="0.2">
      <c r="A208" s="46"/>
      <c r="B208" s="46"/>
      <c r="C208" s="46"/>
      <c r="D208" s="46"/>
      <c r="E208" s="46"/>
      <c r="F208" s="47"/>
      <c r="G208" s="47"/>
      <c r="H208" s="48"/>
      <c r="I208" s="48"/>
    </row>
    <row r="209" spans="1:9" ht="21" customHeight="1" x14ac:dyDescent="0.2">
      <c r="A209" s="46"/>
      <c r="B209" s="46"/>
      <c r="C209" s="46"/>
      <c r="D209" s="46"/>
      <c r="E209" s="46"/>
      <c r="F209" s="47"/>
      <c r="G209" s="47"/>
      <c r="H209" s="48"/>
      <c r="I209" s="48"/>
    </row>
    <row r="210" spans="1:9" ht="21" customHeight="1" x14ac:dyDescent="0.2">
      <c r="A210" s="46"/>
      <c r="B210" s="46"/>
      <c r="C210" s="46"/>
      <c r="D210" s="46"/>
      <c r="E210" s="46"/>
      <c r="F210" s="47"/>
      <c r="G210" s="47"/>
      <c r="H210" s="48"/>
      <c r="I210" s="48"/>
    </row>
    <row r="211" spans="1:9" ht="21" customHeight="1" x14ac:dyDescent="0.2">
      <c r="A211" s="46"/>
      <c r="B211" s="46"/>
      <c r="C211" s="46"/>
      <c r="D211" s="46"/>
      <c r="E211" s="46"/>
      <c r="F211" s="47"/>
      <c r="G211" s="47"/>
      <c r="H211" s="48"/>
      <c r="I211" s="48"/>
    </row>
    <row r="212" spans="1:9" ht="21" customHeight="1" x14ac:dyDescent="0.2">
      <c r="A212" s="46"/>
      <c r="B212" s="46"/>
      <c r="C212" s="46"/>
      <c r="D212" s="46"/>
      <c r="E212" s="46"/>
      <c r="F212" s="47"/>
      <c r="G212" s="47"/>
      <c r="H212" s="48"/>
      <c r="I212" s="48"/>
    </row>
    <row r="213" spans="1:9" ht="21" customHeight="1" x14ac:dyDescent="0.2">
      <c r="A213" s="46"/>
      <c r="B213" s="46"/>
      <c r="C213" s="46"/>
      <c r="D213" s="46"/>
      <c r="E213" s="46"/>
      <c r="F213" s="47"/>
      <c r="G213" s="47"/>
      <c r="H213" s="48"/>
      <c r="I213" s="48"/>
    </row>
    <row r="214" spans="1:9" ht="21" customHeight="1" x14ac:dyDescent="0.2">
      <c r="A214" s="46"/>
      <c r="B214" s="46"/>
      <c r="C214" s="46"/>
      <c r="D214" s="46"/>
      <c r="E214" s="46"/>
      <c r="F214" s="47"/>
      <c r="G214" s="47"/>
      <c r="H214" s="48"/>
      <c r="I214" s="48"/>
    </row>
    <row r="215" spans="1:9" ht="21" customHeight="1" x14ac:dyDescent="0.2">
      <c r="A215" s="46"/>
      <c r="B215" s="46"/>
      <c r="C215" s="46"/>
      <c r="D215" s="46"/>
      <c r="E215" s="46"/>
      <c r="F215" s="47"/>
      <c r="G215" s="47"/>
      <c r="H215" s="48"/>
      <c r="I215" s="48"/>
    </row>
    <row r="216" spans="1:9" ht="21" customHeight="1" x14ac:dyDescent="0.2">
      <c r="A216" s="46"/>
      <c r="B216" s="46"/>
      <c r="C216" s="46"/>
      <c r="D216" s="46"/>
      <c r="E216" s="46"/>
      <c r="F216" s="47"/>
      <c r="G216" s="47"/>
      <c r="H216" s="48"/>
      <c r="I216" s="48"/>
    </row>
    <row r="217" spans="1:9" ht="21" customHeight="1" x14ac:dyDescent="0.2">
      <c r="A217" s="46"/>
      <c r="B217" s="46"/>
      <c r="C217" s="46"/>
      <c r="D217" s="46"/>
      <c r="E217" s="46"/>
      <c r="F217" s="47"/>
      <c r="G217" s="47"/>
      <c r="H217" s="48"/>
      <c r="I217" s="48"/>
    </row>
    <row r="218" spans="1:9" ht="21" customHeight="1" x14ac:dyDescent="0.2">
      <c r="A218" s="46"/>
      <c r="B218" s="46"/>
      <c r="C218" s="46"/>
      <c r="D218" s="46"/>
      <c r="E218" s="46"/>
      <c r="F218" s="47"/>
      <c r="G218" s="47"/>
      <c r="H218" s="48"/>
      <c r="I218" s="48"/>
    </row>
    <row r="219" spans="1:9" ht="21" customHeight="1" x14ac:dyDescent="0.2">
      <c r="A219" s="46"/>
      <c r="B219" s="46"/>
      <c r="C219" s="46"/>
      <c r="D219" s="46"/>
      <c r="E219" s="46"/>
      <c r="F219" s="47"/>
      <c r="G219" s="47"/>
      <c r="H219" s="48"/>
      <c r="I219" s="48"/>
    </row>
    <row r="220" spans="1:9" ht="21" customHeight="1" x14ac:dyDescent="0.2">
      <c r="A220" s="46"/>
      <c r="B220" s="46"/>
      <c r="C220" s="46"/>
      <c r="D220" s="46"/>
      <c r="E220" s="46"/>
      <c r="F220" s="47"/>
      <c r="G220" s="47"/>
      <c r="H220" s="48"/>
      <c r="I220" s="48"/>
    </row>
    <row r="221" spans="1:9" ht="21" customHeight="1" x14ac:dyDescent="0.2">
      <c r="A221" s="46"/>
      <c r="B221" s="46"/>
      <c r="C221" s="46"/>
      <c r="D221" s="46"/>
      <c r="E221" s="46"/>
      <c r="F221" s="47"/>
      <c r="G221" s="47"/>
      <c r="H221" s="48"/>
      <c r="I221" s="48"/>
    </row>
    <row r="222" spans="1:9" ht="21" customHeight="1" x14ac:dyDescent="0.2">
      <c r="A222" s="46"/>
      <c r="B222" s="46"/>
      <c r="C222" s="46"/>
      <c r="D222" s="46"/>
      <c r="E222" s="46"/>
      <c r="F222" s="47"/>
      <c r="G222" s="47"/>
      <c r="H222" s="48"/>
      <c r="I222" s="48"/>
    </row>
    <row r="223" spans="1:9" ht="21" customHeight="1" x14ac:dyDescent="0.2">
      <c r="A223" s="46"/>
      <c r="B223" s="46"/>
      <c r="C223" s="46"/>
      <c r="D223" s="46"/>
      <c r="E223" s="46"/>
      <c r="F223" s="47"/>
      <c r="G223" s="47"/>
      <c r="H223" s="48"/>
      <c r="I223" s="48"/>
    </row>
    <row r="224" spans="1:9" ht="21" customHeight="1" x14ac:dyDescent="0.2">
      <c r="A224" s="46"/>
      <c r="B224" s="46"/>
      <c r="C224" s="46"/>
      <c r="D224" s="46"/>
      <c r="E224" s="46"/>
      <c r="F224" s="47"/>
      <c r="G224" s="47"/>
      <c r="H224" s="48"/>
      <c r="I224" s="48"/>
    </row>
    <row r="225" spans="1:9" ht="21" customHeight="1" x14ac:dyDescent="0.2">
      <c r="A225" s="46"/>
      <c r="B225" s="46"/>
      <c r="C225" s="46"/>
      <c r="D225" s="46"/>
      <c r="E225" s="46"/>
      <c r="F225" s="47"/>
      <c r="G225" s="47"/>
      <c r="H225" s="48"/>
      <c r="I225" s="48"/>
    </row>
    <row r="226" spans="1:9" ht="21" customHeight="1" x14ac:dyDescent="0.2">
      <c r="A226" s="46"/>
      <c r="B226" s="46"/>
      <c r="C226" s="46"/>
      <c r="D226" s="46"/>
      <c r="E226" s="46"/>
      <c r="F226" s="47"/>
      <c r="G226" s="47"/>
      <c r="H226" s="48"/>
      <c r="I226" s="48"/>
    </row>
    <row r="227" spans="1:9" ht="21" customHeight="1" x14ac:dyDescent="0.2">
      <c r="A227" s="46"/>
      <c r="B227" s="46"/>
      <c r="C227" s="46"/>
      <c r="D227" s="46"/>
      <c r="E227" s="46"/>
      <c r="F227" s="47"/>
      <c r="G227" s="47"/>
      <c r="H227" s="48"/>
      <c r="I227" s="48"/>
    </row>
    <row r="228" spans="1:9" ht="21" customHeight="1" x14ac:dyDescent="0.2">
      <c r="A228" s="46"/>
      <c r="B228" s="46"/>
      <c r="C228" s="46"/>
      <c r="D228" s="46"/>
      <c r="E228" s="46"/>
      <c r="F228" s="47"/>
      <c r="G228" s="47"/>
      <c r="H228" s="48"/>
      <c r="I228" s="48"/>
    </row>
    <row r="229" spans="1:9" ht="21" customHeight="1" x14ac:dyDescent="0.2">
      <c r="A229" s="46"/>
      <c r="B229" s="46"/>
      <c r="C229" s="46"/>
      <c r="D229" s="46"/>
      <c r="E229" s="46"/>
      <c r="F229" s="47"/>
      <c r="G229" s="47"/>
      <c r="H229" s="48"/>
      <c r="I229" s="48"/>
    </row>
    <row r="230" spans="1:9" ht="21" customHeight="1" x14ac:dyDescent="0.2">
      <c r="A230" s="46"/>
      <c r="B230" s="46"/>
      <c r="C230" s="46"/>
      <c r="D230" s="46"/>
      <c r="E230" s="46"/>
      <c r="F230" s="47"/>
      <c r="G230" s="47"/>
      <c r="H230" s="48"/>
      <c r="I230" s="48"/>
    </row>
    <row r="231" spans="1:9" ht="21" customHeight="1" x14ac:dyDescent="0.2">
      <c r="A231" s="46"/>
      <c r="B231" s="46"/>
      <c r="C231" s="46"/>
      <c r="D231" s="46"/>
      <c r="E231" s="46"/>
      <c r="F231" s="47"/>
      <c r="G231" s="47"/>
      <c r="H231" s="48"/>
      <c r="I231" s="48"/>
    </row>
    <row r="232" spans="1:9" ht="21" customHeight="1" x14ac:dyDescent="0.2">
      <c r="A232" s="46"/>
      <c r="B232" s="46"/>
      <c r="C232" s="46"/>
      <c r="D232" s="46"/>
      <c r="E232" s="46"/>
      <c r="F232" s="47"/>
      <c r="G232" s="47"/>
      <c r="H232" s="48"/>
      <c r="I232" s="48"/>
    </row>
    <row r="233" spans="1:9" ht="21" customHeight="1" x14ac:dyDescent="0.2">
      <c r="A233" s="46"/>
      <c r="B233" s="46"/>
      <c r="C233" s="46"/>
      <c r="D233" s="46"/>
      <c r="E233" s="46"/>
      <c r="F233" s="47"/>
      <c r="G233" s="47"/>
      <c r="H233" s="48"/>
      <c r="I233" s="48"/>
    </row>
    <row r="234" spans="1:9" ht="21" customHeight="1" x14ac:dyDescent="0.2">
      <c r="A234" s="46"/>
      <c r="B234" s="46"/>
      <c r="C234" s="46"/>
      <c r="D234" s="46"/>
      <c r="E234" s="46"/>
      <c r="F234" s="47"/>
      <c r="G234" s="47"/>
      <c r="H234" s="48"/>
      <c r="I234" s="48"/>
    </row>
    <row r="235" spans="1:9" ht="21" customHeight="1" x14ac:dyDescent="0.2">
      <c r="A235" s="46"/>
      <c r="B235" s="46"/>
      <c r="C235" s="46"/>
      <c r="D235" s="46"/>
      <c r="E235" s="46"/>
      <c r="F235" s="47"/>
      <c r="G235" s="47"/>
      <c r="H235" s="48"/>
      <c r="I235" s="48"/>
    </row>
    <row r="236" spans="1:9" ht="21" customHeight="1" x14ac:dyDescent="0.2">
      <c r="A236" s="46"/>
      <c r="B236" s="46"/>
      <c r="C236" s="46"/>
      <c r="D236" s="46"/>
      <c r="E236" s="46"/>
      <c r="F236" s="47"/>
      <c r="G236" s="47"/>
      <c r="H236" s="48"/>
      <c r="I236" s="48"/>
    </row>
    <row r="237" spans="1:9" ht="21" customHeight="1" x14ac:dyDescent="0.2">
      <c r="A237" s="46"/>
      <c r="B237" s="46"/>
      <c r="C237" s="46"/>
      <c r="D237" s="46"/>
      <c r="E237" s="46"/>
      <c r="F237" s="47"/>
      <c r="G237" s="47"/>
      <c r="H237" s="48"/>
      <c r="I237" s="48"/>
    </row>
    <row r="238" spans="1:9" ht="21" customHeight="1" x14ac:dyDescent="0.2">
      <c r="A238" s="46"/>
      <c r="B238" s="46"/>
      <c r="C238" s="46"/>
      <c r="D238" s="46"/>
      <c r="E238" s="46"/>
      <c r="F238" s="47"/>
      <c r="G238" s="47"/>
      <c r="H238" s="48"/>
      <c r="I238" s="48"/>
    </row>
    <row r="239" spans="1:9" ht="21" customHeight="1" x14ac:dyDescent="0.2">
      <c r="A239" s="46"/>
      <c r="B239" s="46"/>
      <c r="C239" s="46"/>
      <c r="D239" s="46"/>
      <c r="E239" s="46"/>
      <c r="F239" s="47"/>
      <c r="G239" s="47"/>
      <c r="H239" s="48"/>
      <c r="I239" s="48"/>
    </row>
    <row r="240" spans="1:9" ht="21" customHeight="1" x14ac:dyDescent="0.2">
      <c r="A240" s="46"/>
      <c r="B240" s="46"/>
      <c r="C240" s="46"/>
      <c r="D240" s="46"/>
      <c r="E240" s="46"/>
      <c r="F240" s="47"/>
      <c r="G240" s="47"/>
      <c r="H240" s="48"/>
      <c r="I240" s="48"/>
    </row>
    <row r="241" spans="1:9" ht="21" customHeight="1" x14ac:dyDescent="0.2">
      <c r="A241" s="46"/>
      <c r="B241" s="46"/>
      <c r="C241" s="46"/>
      <c r="D241" s="46"/>
      <c r="E241" s="46"/>
      <c r="F241" s="47"/>
      <c r="G241" s="47"/>
      <c r="H241" s="48"/>
      <c r="I241" s="48"/>
    </row>
    <row r="242" spans="1:9" ht="21" customHeight="1" x14ac:dyDescent="0.2">
      <c r="A242" s="46"/>
      <c r="B242" s="46"/>
      <c r="C242" s="46"/>
      <c r="D242" s="46"/>
      <c r="E242" s="46"/>
      <c r="F242" s="47"/>
      <c r="G242" s="47"/>
      <c r="H242" s="48"/>
      <c r="I242" s="48"/>
    </row>
    <row r="243" spans="1:9" ht="21" customHeight="1" x14ac:dyDescent="0.2">
      <c r="A243" s="46"/>
      <c r="B243" s="46"/>
      <c r="C243" s="46"/>
      <c r="D243" s="46"/>
      <c r="E243" s="46"/>
      <c r="F243" s="47"/>
      <c r="G243" s="47"/>
      <c r="H243" s="48"/>
      <c r="I243" s="48"/>
    </row>
    <row r="244" spans="1:9" ht="21" customHeight="1" x14ac:dyDescent="0.2">
      <c r="A244" s="46"/>
      <c r="B244" s="46"/>
      <c r="C244" s="46"/>
      <c r="D244" s="46"/>
      <c r="E244" s="46"/>
      <c r="F244" s="47"/>
      <c r="G244" s="47"/>
      <c r="H244" s="48"/>
      <c r="I244" s="48"/>
    </row>
    <row r="245" spans="1:9" ht="21" customHeight="1" x14ac:dyDescent="0.2">
      <c r="A245" s="46"/>
      <c r="B245" s="46"/>
      <c r="C245" s="46"/>
      <c r="D245" s="46"/>
      <c r="E245" s="46"/>
      <c r="F245" s="47"/>
      <c r="G245" s="47"/>
      <c r="H245" s="48"/>
      <c r="I245" s="48"/>
    </row>
    <row r="246" spans="1:9" ht="21" customHeight="1" x14ac:dyDescent="0.2">
      <c r="A246" s="46"/>
      <c r="B246" s="46"/>
      <c r="C246" s="46"/>
      <c r="D246" s="46"/>
      <c r="E246" s="46"/>
      <c r="F246" s="47"/>
      <c r="G246" s="47"/>
      <c r="H246" s="48"/>
      <c r="I246" s="48"/>
    </row>
    <row r="247" spans="1:9" ht="21" customHeight="1" x14ac:dyDescent="0.2">
      <c r="A247" s="46"/>
      <c r="B247" s="46"/>
      <c r="C247" s="46"/>
      <c r="D247" s="46"/>
      <c r="E247" s="46"/>
      <c r="F247" s="47"/>
      <c r="G247" s="47"/>
      <c r="H247" s="48"/>
      <c r="I247" s="48"/>
    </row>
    <row r="248" spans="1:9" ht="21" customHeight="1" x14ac:dyDescent="0.2">
      <c r="A248" s="46"/>
      <c r="B248" s="46"/>
      <c r="C248" s="46"/>
      <c r="D248" s="46"/>
      <c r="E248" s="46"/>
      <c r="F248" s="47"/>
      <c r="G248" s="47"/>
      <c r="H248" s="48"/>
      <c r="I248" s="48"/>
    </row>
    <row r="249" spans="1:9" ht="21" customHeight="1" x14ac:dyDescent="0.2">
      <c r="A249" s="46"/>
      <c r="B249" s="46"/>
      <c r="C249" s="46"/>
      <c r="D249" s="46"/>
      <c r="E249" s="46"/>
      <c r="F249" s="47"/>
      <c r="G249" s="47"/>
      <c r="H249" s="48"/>
      <c r="I249" s="48"/>
    </row>
    <row r="250" spans="1:9" ht="21" customHeight="1" x14ac:dyDescent="0.2">
      <c r="A250" s="46"/>
      <c r="B250" s="46"/>
      <c r="C250" s="46"/>
      <c r="D250" s="46"/>
      <c r="E250" s="46"/>
      <c r="F250" s="47"/>
      <c r="G250" s="47"/>
      <c r="H250" s="48"/>
      <c r="I250" s="48"/>
    </row>
    <row r="251" spans="1:9" ht="21" customHeight="1" x14ac:dyDescent="0.2">
      <c r="A251" s="46"/>
      <c r="B251" s="46"/>
      <c r="C251" s="46"/>
      <c r="D251" s="46"/>
      <c r="E251" s="46"/>
      <c r="F251" s="47"/>
      <c r="G251" s="47"/>
      <c r="H251" s="48"/>
      <c r="I251" s="48"/>
    </row>
    <row r="252" spans="1:9" ht="21" customHeight="1" x14ac:dyDescent="0.2">
      <c r="A252" s="46"/>
      <c r="B252" s="46"/>
      <c r="C252" s="46"/>
      <c r="D252" s="46"/>
      <c r="E252" s="46"/>
      <c r="F252" s="47"/>
      <c r="G252" s="47"/>
      <c r="H252" s="48"/>
      <c r="I252" s="48"/>
    </row>
    <row r="253" spans="1:9" ht="21" customHeight="1" x14ac:dyDescent="0.2">
      <c r="A253" s="46"/>
      <c r="B253" s="46"/>
      <c r="C253" s="46"/>
      <c r="D253" s="46"/>
      <c r="E253" s="46"/>
      <c r="F253" s="47"/>
      <c r="G253" s="47"/>
      <c r="H253" s="48"/>
      <c r="I253" s="48"/>
    </row>
    <row r="254" spans="1:9" ht="21" customHeight="1" x14ac:dyDescent="0.2">
      <c r="A254" s="46"/>
      <c r="B254" s="46"/>
      <c r="C254" s="46"/>
      <c r="D254" s="46"/>
      <c r="E254" s="46"/>
      <c r="F254" s="47"/>
      <c r="G254" s="47"/>
      <c r="H254" s="48"/>
      <c r="I254" s="48"/>
    </row>
    <row r="255" spans="1:9" ht="21" customHeight="1" x14ac:dyDescent="0.2">
      <c r="A255" s="46"/>
      <c r="B255" s="46"/>
      <c r="C255" s="46"/>
      <c r="D255" s="46"/>
      <c r="E255" s="46"/>
      <c r="F255" s="47"/>
      <c r="G255" s="47"/>
      <c r="H255" s="48"/>
      <c r="I255" s="48"/>
    </row>
    <row r="256" spans="1:9" ht="21" customHeight="1" x14ac:dyDescent="0.2">
      <c r="A256" s="46"/>
      <c r="B256" s="46"/>
      <c r="C256" s="46"/>
      <c r="D256" s="46"/>
      <c r="E256" s="46"/>
      <c r="F256" s="47"/>
      <c r="G256" s="47"/>
      <c r="H256" s="48"/>
      <c r="I256" s="48"/>
    </row>
    <row r="257" spans="1:9" ht="21" customHeight="1" x14ac:dyDescent="0.2">
      <c r="A257" s="46"/>
      <c r="B257" s="46"/>
      <c r="C257" s="46"/>
      <c r="D257" s="46"/>
      <c r="E257" s="46"/>
      <c r="F257" s="47"/>
      <c r="G257" s="47"/>
      <c r="H257" s="48"/>
      <c r="I257" s="48"/>
    </row>
    <row r="258" spans="1:9" ht="21" customHeight="1" x14ac:dyDescent="0.2">
      <c r="A258" s="46"/>
      <c r="B258" s="46"/>
      <c r="C258" s="46"/>
      <c r="D258" s="46"/>
      <c r="E258" s="46"/>
      <c r="F258" s="47"/>
      <c r="G258" s="47"/>
      <c r="H258" s="48"/>
      <c r="I258" s="48"/>
    </row>
    <row r="259" spans="1:9" ht="21" customHeight="1" x14ac:dyDescent="0.2">
      <c r="A259" s="46"/>
      <c r="B259" s="46"/>
      <c r="C259" s="46"/>
      <c r="D259" s="46"/>
      <c r="E259" s="46"/>
      <c r="F259" s="47"/>
      <c r="G259" s="47"/>
      <c r="H259" s="48"/>
      <c r="I259" s="48"/>
    </row>
    <row r="260" spans="1:9" ht="21" customHeight="1" x14ac:dyDescent="0.2">
      <c r="A260" s="46"/>
      <c r="B260" s="46"/>
      <c r="C260" s="46"/>
      <c r="D260" s="46"/>
      <c r="E260" s="46"/>
      <c r="F260" s="47"/>
      <c r="G260" s="47"/>
      <c r="H260" s="48"/>
      <c r="I260" s="48"/>
    </row>
    <row r="261" spans="1:9" ht="21" customHeight="1" x14ac:dyDescent="0.2">
      <c r="A261" s="46"/>
      <c r="B261" s="46"/>
      <c r="C261" s="46"/>
      <c r="D261" s="46"/>
      <c r="E261" s="46"/>
      <c r="F261" s="47"/>
      <c r="G261" s="47"/>
      <c r="H261" s="48"/>
      <c r="I261" s="48"/>
    </row>
    <row r="262" spans="1:9" ht="21" customHeight="1" x14ac:dyDescent="0.2">
      <c r="A262" s="46"/>
      <c r="B262" s="46"/>
      <c r="C262" s="46"/>
      <c r="D262" s="46"/>
      <c r="E262" s="46"/>
      <c r="F262" s="47"/>
      <c r="G262" s="47"/>
      <c r="H262" s="48"/>
      <c r="I262" s="48"/>
    </row>
    <row r="263" spans="1:9" ht="21" customHeight="1" x14ac:dyDescent="0.2">
      <c r="A263" s="46"/>
      <c r="B263" s="46"/>
      <c r="C263" s="46"/>
      <c r="D263" s="46"/>
      <c r="E263" s="46"/>
      <c r="F263" s="47"/>
      <c r="G263" s="47"/>
      <c r="H263" s="48"/>
      <c r="I263" s="48"/>
    </row>
    <row r="264" spans="1:9" ht="21" customHeight="1" x14ac:dyDescent="0.2">
      <c r="A264" s="46"/>
      <c r="B264" s="46"/>
      <c r="C264" s="46"/>
      <c r="D264" s="46"/>
      <c r="E264" s="46"/>
      <c r="F264" s="47"/>
      <c r="G264" s="47"/>
      <c r="H264" s="48"/>
      <c r="I264" s="48"/>
    </row>
    <row r="265" spans="1:9" ht="21" customHeight="1" x14ac:dyDescent="0.2">
      <c r="A265" s="46"/>
      <c r="B265" s="46"/>
      <c r="C265" s="46"/>
      <c r="D265" s="46"/>
      <c r="E265" s="46"/>
      <c r="F265" s="47"/>
      <c r="G265" s="47"/>
      <c r="H265" s="48"/>
      <c r="I265" s="48"/>
    </row>
    <row r="266" spans="1:9" ht="21" customHeight="1" x14ac:dyDescent="0.2">
      <c r="A266" s="46"/>
      <c r="B266" s="46"/>
      <c r="C266" s="46"/>
      <c r="D266" s="46"/>
      <c r="E266" s="46"/>
      <c r="F266" s="47"/>
      <c r="G266" s="47"/>
      <c r="H266" s="48"/>
      <c r="I266" s="48"/>
    </row>
    <row r="267" spans="1:9" ht="21" customHeight="1" x14ac:dyDescent="0.2">
      <c r="A267" s="46"/>
      <c r="B267" s="46"/>
      <c r="C267" s="46"/>
      <c r="D267" s="46"/>
      <c r="E267" s="46"/>
      <c r="F267" s="47"/>
      <c r="G267" s="47"/>
      <c r="H267" s="48"/>
      <c r="I267" s="48"/>
    </row>
    <row r="268" spans="1:9" ht="21" customHeight="1" x14ac:dyDescent="0.2">
      <c r="A268" s="46"/>
      <c r="B268" s="46"/>
      <c r="C268" s="46"/>
      <c r="D268" s="46"/>
      <c r="E268" s="46"/>
      <c r="F268" s="47"/>
      <c r="G268" s="47"/>
      <c r="H268" s="48"/>
      <c r="I268" s="48"/>
    </row>
    <row r="269" spans="1:9" ht="21" customHeight="1" x14ac:dyDescent="0.2">
      <c r="A269" s="46"/>
      <c r="B269" s="46"/>
      <c r="C269" s="46"/>
      <c r="D269" s="46"/>
      <c r="E269" s="46"/>
      <c r="F269" s="47"/>
      <c r="G269" s="47"/>
      <c r="H269" s="48"/>
      <c r="I269" s="48"/>
    </row>
    <row r="270" spans="1:9" ht="21" customHeight="1" x14ac:dyDescent="0.2">
      <c r="A270" s="46"/>
      <c r="B270" s="46"/>
      <c r="C270" s="46"/>
      <c r="D270" s="46"/>
      <c r="E270" s="46"/>
      <c r="F270" s="47"/>
      <c r="G270" s="47"/>
      <c r="H270" s="48"/>
      <c r="I270" s="48"/>
    </row>
    <row r="271" spans="1:9" ht="21" customHeight="1" x14ac:dyDescent="0.2">
      <c r="A271" s="46"/>
      <c r="B271" s="46"/>
      <c r="C271" s="46"/>
      <c r="D271" s="46"/>
      <c r="E271" s="46"/>
      <c r="F271" s="47"/>
      <c r="G271" s="47"/>
      <c r="H271" s="48"/>
      <c r="I271" s="48"/>
    </row>
    <row r="272" spans="1:9" ht="21" customHeight="1" x14ac:dyDescent="0.2">
      <c r="A272" s="46"/>
      <c r="B272" s="46"/>
      <c r="C272" s="46"/>
      <c r="D272" s="46"/>
      <c r="E272" s="46"/>
      <c r="F272" s="47"/>
      <c r="G272" s="47"/>
      <c r="H272" s="48"/>
      <c r="I272" s="48"/>
    </row>
    <row r="273" spans="1:9" ht="21" customHeight="1" x14ac:dyDescent="0.2">
      <c r="A273" s="46"/>
      <c r="B273" s="46"/>
      <c r="C273" s="46"/>
      <c r="D273" s="46"/>
      <c r="E273" s="46"/>
      <c r="F273" s="47"/>
      <c r="G273" s="47"/>
      <c r="H273" s="48"/>
      <c r="I273" s="48"/>
    </row>
    <row r="274" spans="1:9" ht="21" customHeight="1" x14ac:dyDescent="0.2">
      <c r="A274" s="46"/>
      <c r="B274" s="46"/>
      <c r="C274" s="46"/>
      <c r="D274" s="46"/>
      <c r="E274" s="46"/>
      <c r="F274" s="47"/>
      <c r="G274" s="47"/>
      <c r="H274" s="48"/>
      <c r="I274" s="48"/>
    </row>
    <row r="275" spans="1:9" ht="21" customHeight="1" x14ac:dyDescent="0.2">
      <c r="A275" s="46"/>
      <c r="B275" s="46"/>
      <c r="C275" s="46"/>
      <c r="D275" s="46"/>
      <c r="E275" s="46"/>
      <c r="F275" s="47"/>
      <c r="G275" s="47"/>
      <c r="H275" s="48"/>
      <c r="I275" s="48"/>
    </row>
    <row r="276" spans="1:9" ht="21" customHeight="1" x14ac:dyDescent="0.2">
      <c r="A276" s="46"/>
      <c r="B276" s="46"/>
      <c r="C276" s="46"/>
      <c r="D276" s="46"/>
      <c r="E276" s="46"/>
      <c r="F276" s="47"/>
      <c r="G276" s="47"/>
      <c r="H276" s="48"/>
      <c r="I276" s="48"/>
    </row>
    <row r="277" spans="1:9" ht="21" customHeight="1" x14ac:dyDescent="0.2">
      <c r="A277" s="46"/>
      <c r="B277" s="46"/>
      <c r="C277" s="46"/>
      <c r="D277" s="46"/>
      <c r="E277" s="46"/>
      <c r="F277" s="47"/>
      <c r="G277" s="47"/>
      <c r="H277" s="48"/>
      <c r="I277" s="48"/>
    </row>
    <row r="278" spans="1:9" ht="21" customHeight="1" x14ac:dyDescent="0.2">
      <c r="A278" s="46"/>
      <c r="B278" s="46"/>
      <c r="C278" s="46"/>
      <c r="D278" s="46"/>
      <c r="E278" s="46"/>
      <c r="F278" s="47"/>
      <c r="G278" s="47"/>
      <c r="H278" s="48"/>
      <c r="I278" s="48"/>
    </row>
    <row r="279" spans="1:9" ht="21" customHeight="1" x14ac:dyDescent="0.2">
      <c r="A279" s="46"/>
      <c r="B279" s="46"/>
      <c r="C279" s="46"/>
      <c r="D279" s="46"/>
      <c r="E279" s="46"/>
      <c r="F279" s="47"/>
      <c r="G279" s="47"/>
      <c r="H279" s="48"/>
      <c r="I279" s="48"/>
    </row>
    <row r="280" spans="1:9" ht="21" customHeight="1" x14ac:dyDescent="0.2">
      <c r="A280" s="46"/>
      <c r="B280" s="46"/>
      <c r="C280" s="46"/>
      <c r="D280" s="46"/>
      <c r="E280" s="46"/>
      <c r="F280" s="47"/>
      <c r="G280" s="47"/>
      <c r="H280" s="48"/>
      <c r="I280" s="48"/>
    </row>
    <row r="281" spans="1:9" ht="21" customHeight="1" x14ac:dyDescent="0.2">
      <c r="A281" s="46"/>
      <c r="B281" s="46"/>
      <c r="C281" s="46"/>
      <c r="D281" s="46"/>
      <c r="E281" s="46"/>
      <c r="F281" s="47"/>
      <c r="G281" s="47"/>
      <c r="H281" s="48"/>
      <c r="I281" s="48"/>
    </row>
    <row r="282" spans="1:9" ht="21" customHeight="1" x14ac:dyDescent="0.2">
      <c r="A282" s="46"/>
      <c r="B282" s="46"/>
      <c r="C282" s="46"/>
      <c r="D282" s="46"/>
      <c r="E282" s="46"/>
      <c r="F282" s="47"/>
      <c r="G282" s="47"/>
      <c r="H282" s="48"/>
      <c r="I282" s="48"/>
    </row>
    <row r="283" spans="1:9" ht="21" customHeight="1" x14ac:dyDescent="0.2">
      <c r="A283" s="46"/>
      <c r="B283" s="46"/>
      <c r="C283" s="46"/>
      <c r="D283" s="46"/>
      <c r="E283" s="46"/>
      <c r="F283" s="47"/>
      <c r="G283" s="47"/>
      <c r="H283" s="48"/>
      <c r="I283" s="48"/>
    </row>
    <row r="284" spans="1:9" ht="21" customHeight="1" x14ac:dyDescent="0.2">
      <c r="A284" s="46"/>
      <c r="B284" s="46"/>
      <c r="C284" s="46"/>
      <c r="D284" s="46"/>
      <c r="E284" s="46"/>
      <c r="F284" s="47"/>
      <c r="G284" s="47"/>
      <c r="H284" s="48"/>
      <c r="I284" s="48"/>
    </row>
    <row r="285" spans="1:9" ht="21" customHeight="1" x14ac:dyDescent="0.2">
      <c r="A285" s="46"/>
      <c r="B285" s="46"/>
      <c r="C285" s="46"/>
      <c r="D285" s="46"/>
      <c r="E285" s="46"/>
      <c r="F285" s="47"/>
      <c r="G285" s="47"/>
      <c r="H285" s="48"/>
      <c r="I285" s="48"/>
    </row>
    <row r="286" spans="1:9" ht="21" customHeight="1" x14ac:dyDescent="0.2">
      <c r="A286" s="46"/>
      <c r="B286" s="46"/>
      <c r="C286" s="46"/>
      <c r="D286" s="46"/>
      <c r="E286" s="46"/>
      <c r="F286" s="47"/>
      <c r="G286" s="47"/>
      <c r="H286" s="48"/>
      <c r="I286" s="48"/>
    </row>
    <row r="287" spans="1:9" ht="21" customHeight="1" x14ac:dyDescent="0.2">
      <c r="A287" s="46"/>
      <c r="B287" s="46"/>
      <c r="C287" s="46"/>
      <c r="D287" s="46"/>
      <c r="E287" s="46"/>
      <c r="F287" s="47"/>
      <c r="G287" s="47"/>
      <c r="H287" s="48"/>
      <c r="I287" s="48"/>
    </row>
    <row r="288" spans="1:9" ht="21" customHeight="1" x14ac:dyDescent="0.2">
      <c r="A288" s="46"/>
      <c r="B288" s="46"/>
      <c r="C288" s="46"/>
      <c r="D288" s="46"/>
      <c r="E288" s="46"/>
      <c r="F288" s="47"/>
      <c r="G288" s="47"/>
      <c r="H288" s="48"/>
      <c r="I288" s="48"/>
    </row>
    <row r="289" spans="1:9" ht="21" customHeight="1" x14ac:dyDescent="0.2">
      <c r="A289" s="46"/>
      <c r="B289" s="46"/>
      <c r="C289" s="46"/>
      <c r="D289" s="46"/>
      <c r="E289" s="46"/>
      <c r="F289" s="47"/>
      <c r="G289" s="47"/>
      <c r="H289" s="48"/>
      <c r="I289" s="48"/>
    </row>
    <row r="290" spans="1:9" ht="21" customHeight="1" x14ac:dyDescent="0.2">
      <c r="A290" s="46"/>
      <c r="B290" s="46"/>
      <c r="C290" s="46"/>
      <c r="D290" s="46"/>
      <c r="E290" s="46"/>
      <c r="F290" s="47"/>
      <c r="G290" s="47"/>
      <c r="H290" s="48"/>
      <c r="I290" s="48"/>
    </row>
    <row r="291" spans="1:9" ht="21" customHeight="1" x14ac:dyDescent="0.2">
      <c r="A291" s="46"/>
      <c r="B291" s="46"/>
      <c r="C291" s="46"/>
      <c r="D291" s="46"/>
      <c r="E291" s="46"/>
      <c r="F291" s="47"/>
      <c r="G291" s="47"/>
      <c r="H291" s="48"/>
      <c r="I291" s="48"/>
    </row>
    <row r="292" spans="1:9" ht="21" customHeight="1" x14ac:dyDescent="0.2">
      <c r="A292" s="46"/>
      <c r="B292" s="46"/>
      <c r="C292" s="46"/>
      <c r="D292" s="46"/>
      <c r="E292" s="46"/>
      <c r="F292" s="47"/>
      <c r="G292" s="47"/>
      <c r="H292" s="48"/>
      <c r="I292" s="48"/>
    </row>
    <row r="293" spans="1:9" ht="21" customHeight="1" x14ac:dyDescent="0.2">
      <c r="A293" s="46"/>
      <c r="B293" s="46"/>
      <c r="C293" s="46"/>
      <c r="D293" s="46"/>
      <c r="E293" s="46"/>
      <c r="F293" s="47"/>
      <c r="G293" s="47"/>
      <c r="H293" s="48"/>
      <c r="I293" s="48"/>
    </row>
    <row r="294" spans="1:9" ht="21" customHeight="1" x14ac:dyDescent="0.2">
      <c r="A294" s="46"/>
      <c r="B294" s="46"/>
      <c r="C294" s="46"/>
      <c r="D294" s="46"/>
      <c r="E294" s="46"/>
      <c r="F294" s="47"/>
      <c r="G294" s="47"/>
      <c r="H294" s="48"/>
      <c r="I294" s="48"/>
    </row>
    <row r="295" spans="1:9" ht="21" customHeight="1" x14ac:dyDescent="0.2">
      <c r="A295" s="46"/>
      <c r="B295" s="46"/>
      <c r="C295" s="46"/>
      <c r="D295" s="46"/>
      <c r="E295" s="46"/>
      <c r="F295" s="47"/>
      <c r="G295" s="47"/>
      <c r="H295" s="48"/>
      <c r="I295" s="48"/>
    </row>
    <row r="296" spans="1:9" ht="21" customHeight="1" x14ac:dyDescent="0.2">
      <c r="A296" s="46"/>
      <c r="B296" s="46"/>
      <c r="C296" s="46"/>
      <c r="D296" s="46"/>
      <c r="E296" s="46"/>
      <c r="F296" s="47"/>
      <c r="G296" s="47"/>
      <c r="H296" s="48"/>
      <c r="I296" s="48"/>
    </row>
    <row r="297" spans="1:9" ht="21" customHeight="1" x14ac:dyDescent="0.2">
      <c r="A297" s="46"/>
      <c r="B297" s="46"/>
      <c r="C297" s="46"/>
      <c r="D297" s="46"/>
      <c r="E297" s="46"/>
      <c r="F297" s="47"/>
      <c r="G297" s="47"/>
      <c r="H297" s="48"/>
      <c r="I297" s="48"/>
    </row>
    <row r="298" spans="1:9" ht="21" customHeight="1" x14ac:dyDescent="0.2">
      <c r="A298" s="46"/>
      <c r="B298" s="46"/>
      <c r="C298" s="46"/>
      <c r="D298" s="46"/>
      <c r="E298" s="46"/>
      <c r="F298" s="47"/>
      <c r="G298" s="47"/>
      <c r="H298" s="48"/>
      <c r="I298" s="48"/>
    </row>
    <row r="299" spans="1:9" ht="21" customHeight="1" x14ac:dyDescent="0.2">
      <c r="A299" s="46"/>
      <c r="B299" s="46"/>
      <c r="C299" s="46"/>
      <c r="D299" s="46"/>
      <c r="E299" s="46"/>
      <c r="F299" s="47"/>
      <c r="G299" s="47"/>
      <c r="H299" s="48"/>
      <c r="I299" s="48"/>
    </row>
    <row r="300" spans="1:9" ht="21" customHeight="1" x14ac:dyDescent="0.2">
      <c r="A300" s="46"/>
      <c r="B300" s="46"/>
      <c r="C300" s="46"/>
      <c r="D300" s="46"/>
      <c r="E300" s="46"/>
      <c r="F300" s="47"/>
      <c r="G300" s="47"/>
      <c r="H300" s="48"/>
      <c r="I300" s="48"/>
    </row>
    <row r="301" spans="1:9" ht="21" customHeight="1" x14ac:dyDescent="0.2">
      <c r="A301" s="46"/>
      <c r="B301" s="46"/>
      <c r="C301" s="46"/>
      <c r="D301" s="46"/>
      <c r="E301" s="46"/>
      <c r="F301" s="47"/>
      <c r="G301" s="47"/>
      <c r="H301" s="48"/>
      <c r="I301" s="48"/>
    </row>
    <row r="302" spans="1:9" ht="21" customHeight="1" x14ac:dyDescent="0.2">
      <c r="A302" s="46"/>
      <c r="B302" s="46"/>
      <c r="C302" s="46"/>
      <c r="D302" s="46"/>
      <c r="E302" s="46"/>
      <c r="F302" s="47"/>
      <c r="G302" s="47"/>
      <c r="H302" s="48"/>
      <c r="I302" s="48"/>
    </row>
    <row r="303" spans="1:9" ht="21" customHeight="1" x14ac:dyDescent="0.2">
      <c r="A303" s="46"/>
      <c r="B303" s="46"/>
      <c r="C303" s="46"/>
      <c r="D303" s="46"/>
      <c r="E303" s="46"/>
      <c r="F303" s="47"/>
      <c r="G303" s="47"/>
      <c r="H303" s="48"/>
      <c r="I303" s="48"/>
    </row>
    <row r="304" spans="1:9" ht="21" customHeight="1" x14ac:dyDescent="0.2">
      <c r="A304" s="46"/>
      <c r="B304" s="46"/>
      <c r="C304" s="46"/>
      <c r="D304" s="46"/>
      <c r="E304" s="46"/>
      <c r="F304" s="47"/>
      <c r="G304" s="47"/>
      <c r="H304" s="48"/>
      <c r="I304" s="48"/>
    </row>
    <row r="305" spans="1:9" ht="21" customHeight="1" x14ac:dyDescent="0.2">
      <c r="A305" s="46"/>
      <c r="B305" s="46"/>
      <c r="C305" s="46"/>
      <c r="D305" s="46"/>
      <c r="E305" s="46"/>
      <c r="F305" s="47"/>
      <c r="G305" s="47"/>
      <c r="H305" s="48"/>
      <c r="I305" s="48"/>
    </row>
    <row r="306" spans="1:9" ht="21" customHeight="1" x14ac:dyDescent="0.2">
      <c r="A306" s="46"/>
      <c r="B306" s="46"/>
      <c r="C306" s="46"/>
      <c r="D306" s="46"/>
      <c r="E306" s="46"/>
      <c r="F306" s="47"/>
      <c r="G306" s="47"/>
      <c r="H306" s="48"/>
      <c r="I306" s="48"/>
    </row>
    <row r="307" spans="1:9" ht="21" customHeight="1" x14ac:dyDescent="0.2">
      <c r="A307" s="46"/>
      <c r="B307" s="46"/>
      <c r="C307" s="46"/>
      <c r="D307" s="46"/>
      <c r="E307" s="46"/>
      <c r="F307" s="47"/>
      <c r="G307" s="47"/>
      <c r="H307" s="48"/>
      <c r="I307" s="48"/>
    </row>
    <row r="308" spans="1:9" ht="21" customHeight="1" x14ac:dyDescent="0.2">
      <c r="A308" s="46"/>
      <c r="B308" s="46"/>
      <c r="C308" s="46"/>
      <c r="D308" s="46"/>
      <c r="E308" s="46"/>
      <c r="F308" s="47"/>
      <c r="G308" s="47"/>
      <c r="H308" s="48"/>
      <c r="I308" s="48"/>
    </row>
    <row r="309" spans="1:9" ht="21" customHeight="1" x14ac:dyDescent="0.2">
      <c r="A309" s="46"/>
      <c r="B309" s="46"/>
      <c r="C309" s="46"/>
      <c r="D309" s="46"/>
      <c r="E309" s="46"/>
      <c r="F309" s="47"/>
      <c r="G309" s="47"/>
      <c r="H309" s="48"/>
      <c r="I309" s="48"/>
    </row>
    <row r="310" spans="1:9" ht="21" customHeight="1" x14ac:dyDescent="0.2">
      <c r="A310" s="46"/>
      <c r="B310" s="46"/>
      <c r="C310" s="46"/>
      <c r="D310" s="46"/>
      <c r="E310" s="46"/>
      <c r="F310" s="47"/>
      <c r="G310" s="47"/>
      <c r="H310" s="48"/>
      <c r="I310" s="48"/>
    </row>
    <row r="311" spans="1:9" ht="21" customHeight="1" x14ac:dyDescent="0.2">
      <c r="A311" s="46"/>
      <c r="B311" s="46"/>
      <c r="C311" s="46"/>
      <c r="D311" s="46"/>
      <c r="E311" s="46"/>
      <c r="F311" s="47"/>
      <c r="G311" s="47"/>
      <c r="H311" s="48"/>
      <c r="I311" s="48"/>
    </row>
    <row r="312" spans="1:9" ht="21" customHeight="1" x14ac:dyDescent="0.2">
      <c r="A312" s="46"/>
      <c r="B312" s="46"/>
      <c r="C312" s="46"/>
      <c r="D312" s="46"/>
      <c r="E312" s="46"/>
      <c r="F312" s="47"/>
      <c r="G312" s="47"/>
      <c r="H312" s="48"/>
      <c r="I312" s="48"/>
    </row>
    <row r="313" spans="1:9" ht="21" customHeight="1" x14ac:dyDescent="0.2">
      <c r="A313" s="46"/>
      <c r="B313" s="46"/>
      <c r="C313" s="46"/>
      <c r="D313" s="46"/>
      <c r="E313" s="46"/>
      <c r="F313" s="47"/>
      <c r="G313" s="47"/>
      <c r="H313" s="48"/>
      <c r="I313" s="48"/>
    </row>
    <row r="314" spans="1:9" ht="21" customHeight="1" x14ac:dyDescent="0.2">
      <c r="A314" s="46"/>
      <c r="B314" s="46"/>
      <c r="C314" s="46"/>
      <c r="D314" s="46"/>
      <c r="E314" s="46"/>
      <c r="F314" s="47"/>
      <c r="G314" s="47"/>
      <c r="H314" s="48"/>
      <c r="I314" s="48"/>
    </row>
    <row r="315" spans="1:9" ht="21" customHeight="1" x14ac:dyDescent="0.2">
      <c r="A315" s="46"/>
      <c r="B315" s="46"/>
      <c r="C315" s="46"/>
      <c r="D315" s="46"/>
      <c r="E315" s="46"/>
      <c r="F315" s="47"/>
      <c r="G315" s="47"/>
      <c r="H315" s="48"/>
      <c r="I315" s="48"/>
    </row>
    <row r="316" spans="1:9" ht="21" customHeight="1" x14ac:dyDescent="0.2">
      <c r="A316" s="46"/>
      <c r="B316" s="46"/>
      <c r="C316" s="46"/>
      <c r="D316" s="46"/>
      <c r="E316" s="46"/>
      <c r="F316" s="47"/>
      <c r="G316" s="47"/>
      <c r="H316" s="48"/>
      <c r="I316" s="48"/>
    </row>
    <row r="317" spans="1:9" ht="21" customHeight="1" x14ac:dyDescent="0.2">
      <c r="A317" s="46"/>
      <c r="B317" s="46"/>
      <c r="C317" s="46"/>
      <c r="D317" s="46"/>
      <c r="E317" s="46"/>
      <c r="F317" s="47"/>
      <c r="G317" s="47"/>
      <c r="H317" s="48"/>
      <c r="I317" s="48"/>
    </row>
    <row r="318" spans="1:9" ht="21" customHeight="1" x14ac:dyDescent="0.2">
      <c r="A318" s="46"/>
      <c r="B318" s="46"/>
      <c r="C318" s="46"/>
      <c r="D318" s="46"/>
      <c r="E318" s="46"/>
      <c r="F318" s="47"/>
      <c r="G318" s="47"/>
      <c r="H318" s="48"/>
      <c r="I318" s="48"/>
    </row>
    <row r="319" spans="1:9" ht="21" customHeight="1" x14ac:dyDescent="0.2">
      <c r="A319" s="46"/>
      <c r="B319" s="46"/>
      <c r="C319" s="46"/>
      <c r="D319" s="46"/>
      <c r="E319" s="46"/>
      <c r="F319" s="47"/>
      <c r="G319" s="47"/>
      <c r="H319" s="48"/>
      <c r="I319" s="48"/>
    </row>
    <row r="320" spans="1:9" ht="21" customHeight="1" x14ac:dyDescent="0.2">
      <c r="A320" s="46"/>
      <c r="B320" s="46"/>
      <c r="C320" s="46"/>
      <c r="D320" s="46"/>
      <c r="E320" s="46"/>
      <c r="F320" s="47"/>
      <c r="G320" s="47"/>
      <c r="H320" s="48"/>
      <c r="I320" s="48"/>
    </row>
    <row r="321" spans="1:9" ht="21" customHeight="1" x14ac:dyDescent="0.2">
      <c r="A321" s="46"/>
      <c r="B321" s="46"/>
      <c r="C321" s="46"/>
      <c r="D321" s="46"/>
      <c r="E321" s="46"/>
      <c r="F321" s="47"/>
      <c r="G321" s="47"/>
      <c r="H321" s="48"/>
      <c r="I321" s="48"/>
    </row>
    <row r="322" spans="1:9" ht="21" customHeight="1" x14ac:dyDescent="0.2">
      <c r="A322" s="46"/>
      <c r="B322" s="46"/>
      <c r="C322" s="46"/>
      <c r="D322" s="46"/>
      <c r="E322" s="46"/>
      <c r="F322" s="47"/>
      <c r="G322" s="47"/>
      <c r="H322" s="48"/>
      <c r="I322" s="48"/>
    </row>
    <row r="323" spans="1:9" ht="21" customHeight="1" x14ac:dyDescent="0.2">
      <c r="A323" s="46"/>
      <c r="B323" s="46"/>
      <c r="C323" s="46"/>
      <c r="D323" s="46"/>
      <c r="E323" s="46"/>
      <c r="F323" s="47"/>
      <c r="G323" s="47"/>
      <c r="H323" s="48"/>
      <c r="I323" s="48"/>
    </row>
    <row r="324" spans="1:9" ht="21" customHeight="1" x14ac:dyDescent="0.2">
      <c r="A324" s="46"/>
      <c r="B324" s="46"/>
      <c r="C324" s="46"/>
      <c r="D324" s="46"/>
      <c r="E324" s="46"/>
      <c r="F324" s="47"/>
      <c r="G324" s="47"/>
      <c r="H324" s="48"/>
      <c r="I324" s="48"/>
    </row>
    <row r="325" spans="1:9" ht="21" customHeight="1" x14ac:dyDescent="0.2">
      <c r="A325" s="46"/>
      <c r="B325" s="46"/>
      <c r="C325" s="46"/>
      <c r="D325" s="46"/>
      <c r="E325" s="46"/>
      <c r="F325" s="47"/>
      <c r="G325" s="47"/>
      <c r="H325" s="48"/>
      <c r="I325" s="48"/>
    </row>
    <row r="326" spans="1:9" ht="21" customHeight="1" x14ac:dyDescent="0.2">
      <c r="A326" s="46"/>
      <c r="B326" s="46"/>
      <c r="C326" s="46"/>
      <c r="D326" s="46"/>
      <c r="E326" s="46"/>
      <c r="F326" s="47"/>
      <c r="G326" s="47"/>
      <c r="H326" s="48"/>
      <c r="I326" s="48"/>
    </row>
    <row r="327" spans="1:9" ht="21" customHeight="1" x14ac:dyDescent="0.2">
      <c r="A327" s="46"/>
      <c r="B327" s="46"/>
      <c r="C327" s="46"/>
      <c r="D327" s="46"/>
      <c r="E327" s="46"/>
      <c r="F327" s="47"/>
      <c r="G327" s="47"/>
      <c r="H327" s="48"/>
      <c r="I327" s="48"/>
    </row>
    <row r="328" spans="1:9" ht="21" customHeight="1" x14ac:dyDescent="0.2">
      <c r="A328" s="46"/>
      <c r="B328" s="46"/>
      <c r="C328" s="46"/>
      <c r="D328" s="46"/>
      <c r="E328" s="46"/>
      <c r="F328" s="47"/>
      <c r="G328" s="47"/>
      <c r="H328" s="48"/>
      <c r="I328" s="48"/>
    </row>
    <row r="329" spans="1:9" ht="21" customHeight="1" x14ac:dyDescent="0.2">
      <c r="A329" s="46"/>
      <c r="B329" s="46"/>
      <c r="C329" s="46"/>
      <c r="D329" s="46"/>
      <c r="E329" s="46"/>
      <c r="F329" s="47"/>
      <c r="G329" s="47"/>
      <c r="H329" s="48"/>
      <c r="I329" s="48"/>
    </row>
    <row r="330" spans="1:9" ht="21" customHeight="1" x14ac:dyDescent="0.2">
      <c r="A330" s="46"/>
      <c r="B330" s="46"/>
      <c r="C330" s="46"/>
      <c r="D330" s="46"/>
      <c r="E330" s="46"/>
      <c r="F330" s="47"/>
      <c r="G330" s="47"/>
      <c r="H330" s="48"/>
      <c r="I330" s="48"/>
    </row>
    <row r="331" spans="1:9" ht="21" customHeight="1" x14ac:dyDescent="0.2">
      <c r="A331" s="46"/>
      <c r="B331" s="46"/>
      <c r="C331" s="46"/>
      <c r="D331" s="46"/>
      <c r="E331" s="46"/>
      <c r="F331" s="47"/>
      <c r="G331" s="47"/>
      <c r="H331" s="48"/>
      <c r="I331" s="48"/>
    </row>
    <row r="332" spans="1:9" ht="21" customHeight="1" x14ac:dyDescent="0.2">
      <c r="A332" s="46"/>
      <c r="B332" s="46"/>
      <c r="C332" s="46"/>
      <c r="D332" s="46"/>
      <c r="E332" s="46"/>
      <c r="F332" s="47"/>
      <c r="G332" s="47"/>
      <c r="H332" s="48"/>
      <c r="I332" s="48"/>
    </row>
    <row r="333" spans="1:9" ht="21" customHeight="1" x14ac:dyDescent="0.2">
      <c r="A333" s="46"/>
      <c r="B333" s="46"/>
      <c r="C333" s="46"/>
      <c r="D333" s="46"/>
      <c r="E333" s="46"/>
      <c r="F333" s="47"/>
      <c r="G333" s="47"/>
      <c r="H333" s="48"/>
      <c r="I333" s="48"/>
    </row>
    <row r="334" spans="1:9" ht="21" customHeight="1" x14ac:dyDescent="0.2">
      <c r="A334" s="46"/>
      <c r="B334" s="46"/>
      <c r="C334" s="46"/>
      <c r="D334" s="46"/>
      <c r="E334" s="46"/>
      <c r="F334" s="47"/>
      <c r="G334" s="47"/>
      <c r="H334" s="48"/>
      <c r="I334" s="48"/>
    </row>
    <row r="335" spans="1:9" ht="21" customHeight="1" x14ac:dyDescent="0.2">
      <c r="A335" s="46"/>
      <c r="B335" s="46"/>
      <c r="C335" s="46"/>
      <c r="D335" s="46"/>
      <c r="E335" s="46"/>
      <c r="F335" s="47"/>
      <c r="G335" s="47"/>
      <c r="H335" s="48"/>
      <c r="I335" s="48"/>
    </row>
    <row r="336" spans="1:9" ht="21" customHeight="1" x14ac:dyDescent="0.2">
      <c r="A336" s="46"/>
      <c r="B336" s="46"/>
      <c r="C336" s="46"/>
      <c r="D336" s="46"/>
      <c r="E336" s="46"/>
      <c r="F336" s="47"/>
      <c r="G336" s="47"/>
      <c r="H336" s="48"/>
      <c r="I336" s="48"/>
    </row>
    <row r="337" spans="1:9" ht="21" customHeight="1" x14ac:dyDescent="0.2">
      <c r="A337" s="46"/>
      <c r="B337" s="46"/>
      <c r="C337" s="46"/>
      <c r="D337" s="46"/>
      <c r="E337" s="46"/>
      <c r="F337" s="47"/>
      <c r="G337" s="47"/>
      <c r="H337" s="48"/>
      <c r="I337" s="48"/>
    </row>
    <row r="338" spans="1:9" ht="21" customHeight="1" x14ac:dyDescent="0.2">
      <c r="A338" s="46"/>
      <c r="B338" s="46"/>
      <c r="C338" s="46"/>
      <c r="D338" s="46"/>
      <c r="E338" s="46"/>
      <c r="F338" s="47"/>
      <c r="G338" s="47"/>
      <c r="H338" s="48"/>
      <c r="I338" s="48"/>
    </row>
    <row r="339" spans="1:9" ht="21" customHeight="1" x14ac:dyDescent="0.2">
      <c r="A339" s="46"/>
      <c r="B339" s="46"/>
      <c r="C339" s="46"/>
      <c r="D339" s="46"/>
      <c r="E339" s="46"/>
      <c r="F339" s="47"/>
      <c r="G339" s="47"/>
      <c r="H339" s="48"/>
      <c r="I339" s="48"/>
    </row>
    <row r="340" spans="1:9" ht="21" customHeight="1" x14ac:dyDescent="0.2">
      <c r="A340" s="46"/>
      <c r="B340" s="46"/>
      <c r="C340" s="46"/>
      <c r="D340" s="46"/>
      <c r="E340" s="46"/>
      <c r="F340" s="47"/>
      <c r="G340" s="47"/>
      <c r="H340" s="48"/>
      <c r="I340" s="48"/>
    </row>
    <row r="341" spans="1:9" ht="21" customHeight="1" x14ac:dyDescent="0.2">
      <c r="A341" s="46"/>
      <c r="B341" s="46"/>
      <c r="C341" s="46"/>
      <c r="D341" s="46"/>
      <c r="E341" s="46"/>
      <c r="F341" s="47"/>
      <c r="G341" s="47"/>
      <c r="H341" s="48"/>
      <c r="I341" s="48"/>
    </row>
    <row r="342" spans="1:9" ht="21" customHeight="1" x14ac:dyDescent="0.2">
      <c r="A342" s="46"/>
      <c r="B342" s="46"/>
      <c r="C342" s="46"/>
      <c r="D342" s="46"/>
      <c r="E342" s="46"/>
      <c r="F342" s="47"/>
      <c r="G342" s="47"/>
      <c r="H342" s="48"/>
      <c r="I342" s="48"/>
    </row>
    <row r="343" spans="1:9" ht="21" customHeight="1" x14ac:dyDescent="0.2">
      <c r="A343" s="46"/>
      <c r="B343" s="46"/>
      <c r="C343" s="46"/>
      <c r="D343" s="46"/>
      <c r="E343" s="46"/>
      <c r="F343" s="47"/>
      <c r="G343" s="47"/>
      <c r="H343" s="48"/>
      <c r="I343" s="48"/>
    </row>
    <row r="344" spans="1:9" ht="21" customHeight="1" x14ac:dyDescent="0.2">
      <c r="A344" s="46"/>
      <c r="B344" s="46"/>
      <c r="C344" s="46"/>
      <c r="D344" s="46"/>
      <c r="E344" s="46"/>
      <c r="F344" s="47"/>
      <c r="G344" s="47"/>
      <c r="H344" s="48"/>
      <c r="I344" s="48"/>
    </row>
    <row r="345" spans="1:9" ht="21" customHeight="1" x14ac:dyDescent="0.2">
      <c r="A345" s="46"/>
      <c r="B345" s="46"/>
      <c r="C345" s="46"/>
      <c r="D345" s="46"/>
      <c r="E345" s="46"/>
      <c r="F345" s="47"/>
      <c r="G345" s="47"/>
      <c r="H345" s="48"/>
      <c r="I345" s="48"/>
    </row>
    <row r="346" spans="1:9" ht="21" customHeight="1" x14ac:dyDescent="0.2">
      <c r="A346" s="46"/>
      <c r="B346" s="46"/>
      <c r="C346" s="46"/>
      <c r="D346" s="46"/>
      <c r="E346" s="46"/>
      <c r="F346" s="47"/>
      <c r="G346" s="47"/>
      <c r="H346" s="48"/>
      <c r="I346" s="48"/>
    </row>
    <row r="347" spans="1:9" ht="21" customHeight="1" x14ac:dyDescent="0.2">
      <c r="A347" s="46"/>
      <c r="B347" s="46"/>
      <c r="C347" s="46"/>
      <c r="D347" s="46"/>
      <c r="E347" s="46"/>
      <c r="F347" s="47"/>
      <c r="G347" s="47"/>
      <c r="H347" s="48"/>
      <c r="I347" s="48"/>
    </row>
    <row r="348" spans="1:9" ht="21" customHeight="1" x14ac:dyDescent="0.2">
      <c r="A348" s="46"/>
      <c r="B348" s="46"/>
      <c r="C348" s="46"/>
      <c r="D348" s="46"/>
      <c r="E348" s="46"/>
      <c r="F348" s="47"/>
      <c r="G348" s="47"/>
      <c r="H348" s="48"/>
      <c r="I348" s="48"/>
    </row>
    <row r="349" spans="1:9" ht="21" customHeight="1" x14ac:dyDescent="0.2">
      <c r="A349" s="46"/>
      <c r="B349" s="46"/>
      <c r="C349" s="46"/>
      <c r="D349" s="46"/>
      <c r="E349" s="46"/>
      <c r="F349" s="47"/>
      <c r="G349" s="47"/>
      <c r="H349" s="48"/>
      <c r="I349" s="48"/>
    </row>
    <row r="350" spans="1:9" ht="21" customHeight="1" x14ac:dyDescent="0.2">
      <c r="A350" s="46"/>
      <c r="B350" s="46"/>
      <c r="C350" s="46"/>
      <c r="D350" s="46"/>
      <c r="E350" s="46"/>
      <c r="F350" s="47"/>
      <c r="G350" s="47"/>
      <c r="H350" s="48"/>
      <c r="I350" s="48"/>
    </row>
    <row r="351" spans="1:9" ht="21" customHeight="1" x14ac:dyDescent="0.2">
      <c r="A351" s="46"/>
      <c r="B351" s="46"/>
      <c r="C351" s="46"/>
      <c r="D351" s="46"/>
      <c r="E351" s="46"/>
      <c r="F351" s="47"/>
      <c r="G351" s="47"/>
      <c r="H351" s="48"/>
      <c r="I351" s="48"/>
    </row>
    <row r="352" spans="1:9" ht="21" customHeight="1" x14ac:dyDescent="0.2">
      <c r="A352" s="46"/>
      <c r="B352" s="46"/>
      <c r="C352" s="46"/>
      <c r="D352" s="46"/>
      <c r="E352" s="46"/>
      <c r="F352" s="47"/>
      <c r="G352" s="47"/>
      <c r="H352" s="48"/>
      <c r="I352" s="48"/>
    </row>
    <row r="353" spans="1:9" ht="21" customHeight="1" x14ac:dyDescent="0.2">
      <c r="A353" s="46"/>
      <c r="B353" s="46"/>
      <c r="C353" s="46"/>
      <c r="D353" s="46"/>
      <c r="E353" s="46"/>
      <c r="F353" s="47"/>
      <c r="G353" s="47"/>
      <c r="H353" s="48"/>
      <c r="I353" s="48"/>
    </row>
    <row r="354" spans="1:9" ht="21" customHeight="1" x14ac:dyDescent="0.2">
      <c r="A354" s="46"/>
      <c r="B354" s="46"/>
      <c r="C354" s="46"/>
      <c r="D354" s="46"/>
      <c r="E354" s="46"/>
      <c r="F354" s="47"/>
      <c r="G354" s="47"/>
      <c r="H354" s="48"/>
      <c r="I354" s="48"/>
    </row>
    <row r="355" spans="1:9" ht="21" customHeight="1" x14ac:dyDescent="0.2">
      <c r="A355" s="46"/>
      <c r="B355" s="46"/>
      <c r="C355" s="46"/>
      <c r="D355" s="46"/>
      <c r="E355" s="46"/>
      <c r="F355" s="47"/>
      <c r="G355" s="47"/>
      <c r="H355" s="48"/>
      <c r="I355" s="48"/>
    </row>
    <row r="356" spans="1:9" ht="21" customHeight="1" x14ac:dyDescent="0.2">
      <c r="A356" s="46"/>
      <c r="B356" s="46"/>
      <c r="C356" s="46"/>
      <c r="D356" s="46"/>
      <c r="E356" s="46"/>
      <c r="F356" s="47"/>
      <c r="G356" s="47"/>
      <c r="H356" s="48"/>
      <c r="I356" s="48"/>
    </row>
    <row r="357" spans="1:9" ht="21" customHeight="1" x14ac:dyDescent="0.2">
      <c r="A357" s="46"/>
      <c r="B357" s="46"/>
      <c r="C357" s="46"/>
      <c r="D357" s="46"/>
      <c r="E357" s="46"/>
      <c r="F357" s="47"/>
      <c r="G357" s="47"/>
      <c r="H357" s="48"/>
      <c r="I357" s="48"/>
    </row>
    <row r="358" spans="1:9" ht="21" customHeight="1" x14ac:dyDescent="0.2">
      <c r="A358" s="46"/>
      <c r="B358" s="46"/>
      <c r="C358" s="46"/>
      <c r="D358" s="46"/>
      <c r="E358" s="46"/>
      <c r="F358" s="47"/>
      <c r="G358" s="47"/>
      <c r="H358" s="48"/>
      <c r="I358" s="48"/>
    </row>
    <row r="359" spans="1:9" ht="21" customHeight="1" x14ac:dyDescent="0.2">
      <c r="A359" s="46"/>
      <c r="B359" s="46"/>
      <c r="C359" s="46"/>
      <c r="D359" s="46"/>
      <c r="E359" s="46"/>
      <c r="F359" s="47"/>
      <c r="G359" s="47"/>
      <c r="H359" s="48"/>
      <c r="I359" s="48"/>
    </row>
    <row r="360" spans="1:9" ht="21" customHeight="1" x14ac:dyDescent="0.2">
      <c r="A360" s="46"/>
      <c r="B360" s="46"/>
      <c r="C360" s="46"/>
      <c r="D360" s="46"/>
      <c r="E360" s="46"/>
      <c r="F360" s="47"/>
      <c r="G360" s="47"/>
      <c r="H360" s="48"/>
      <c r="I360" s="48"/>
    </row>
    <row r="361" spans="1:9" ht="21" customHeight="1" x14ac:dyDescent="0.2">
      <c r="A361" s="46"/>
      <c r="B361" s="46"/>
      <c r="C361" s="46"/>
      <c r="D361" s="46"/>
      <c r="E361" s="46"/>
      <c r="F361" s="47"/>
      <c r="G361" s="47"/>
      <c r="H361" s="48"/>
      <c r="I361" s="48"/>
    </row>
    <row r="362" spans="1:9" ht="21" customHeight="1" x14ac:dyDescent="0.2">
      <c r="A362" s="46"/>
      <c r="B362" s="46"/>
      <c r="C362" s="46"/>
      <c r="D362" s="46"/>
      <c r="E362" s="46"/>
      <c r="F362" s="47"/>
      <c r="G362" s="47"/>
      <c r="H362" s="48"/>
      <c r="I362" s="48"/>
    </row>
    <row r="363" spans="1:9" ht="21" customHeight="1" x14ac:dyDescent="0.2">
      <c r="A363" s="46"/>
      <c r="B363" s="46"/>
      <c r="C363" s="46"/>
      <c r="D363" s="46"/>
      <c r="E363" s="46"/>
      <c r="F363" s="47"/>
      <c r="G363" s="47"/>
      <c r="H363" s="48"/>
      <c r="I363" s="48"/>
    </row>
    <row r="364" spans="1:9" ht="21" customHeight="1" x14ac:dyDescent="0.2">
      <c r="A364" s="46"/>
      <c r="B364" s="46"/>
      <c r="C364" s="46"/>
      <c r="D364" s="46"/>
      <c r="E364" s="46"/>
      <c r="F364" s="47"/>
      <c r="G364" s="47"/>
      <c r="H364" s="48"/>
      <c r="I364" s="48"/>
    </row>
    <row r="365" spans="1:9" ht="21" customHeight="1" x14ac:dyDescent="0.2">
      <c r="A365" s="46"/>
      <c r="B365" s="46"/>
      <c r="C365" s="46"/>
      <c r="D365" s="46"/>
      <c r="E365" s="46"/>
      <c r="F365" s="47"/>
      <c r="G365" s="47"/>
      <c r="H365" s="48"/>
      <c r="I365" s="48"/>
    </row>
    <row r="366" spans="1:9" ht="21" customHeight="1" x14ac:dyDescent="0.2">
      <c r="A366" s="46"/>
      <c r="B366" s="46"/>
      <c r="C366" s="46"/>
      <c r="D366" s="46"/>
      <c r="E366" s="46"/>
      <c r="F366" s="47"/>
      <c r="G366" s="47"/>
      <c r="H366" s="48"/>
      <c r="I366" s="48"/>
    </row>
    <row r="367" spans="1:9" ht="21" customHeight="1" x14ac:dyDescent="0.2">
      <c r="A367" s="46"/>
      <c r="B367" s="46"/>
      <c r="C367" s="46"/>
      <c r="D367" s="46"/>
      <c r="E367" s="46"/>
      <c r="F367" s="47"/>
      <c r="G367" s="47"/>
      <c r="H367" s="48"/>
      <c r="I367" s="48"/>
    </row>
    <row r="368" spans="1:9" ht="21" customHeight="1" x14ac:dyDescent="0.2">
      <c r="A368" s="46"/>
      <c r="B368" s="46"/>
      <c r="C368" s="46"/>
      <c r="D368" s="46"/>
      <c r="E368" s="46"/>
      <c r="F368" s="47"/>
      <c r="G368" s="47"/>
      <c r="H368" s="48"/>
      <c r="I368" s="48"/>
    </row>
    <row r="369" spans="1:9" ht="21" customHeight="1" x14ac:dyDescent="0.2">
      <c r="A369" s="46"/>
      <c r="B369" s="46"/>
      <c r="C369" s="46"/>
      <c r="D369" s="46"/>
      <c r="E369" s="46"/>
      <c r="F369" s="47"/>
      <c r="G369" s="47"/>
      <c r="H369" s="48"/>
      <c r="I369" s="48"/>
    </row>
    <row r="370" spans="1:9" ht="21" customHeight="1" x14ac:dyDescent="0.2">
      <c r="A370" s="46"/>
      <c r="B370" s="46"/>
      <c r="C370" s="46"/>
      <c r="D370" s="46"/>
      <c r="E370" s="46"/>
      <c r="F370" s="47"/>
      <c r="G370" s="47"/>
      <c r="H370" s="48"/>
      <c r="I370" s="48"/>
    </row>
    <row r="371" spans="1:9" ht="21" customHeight="1" x14ac:dyDescent="0.2">
      <c r="A371" s="46"/>
      <c r="B371" s="46"/>
      <c r="C371" s="46"/>
      <c r="D371" s="46"/>
      <c r="E371" s="46"/>
      <c r="F371" s="47"/>
      <c r="G371" s="47"/>
      <c r="H371" s="48"/>
      <c r="I371" s="48"/>
    </row>
    <row r="372" spans="1:9" ht="21" customHeight="1" x14ac:dyDescent="0.2">
      <c r="A372" s="46"/>
      <c r="B372" s="46"/>
      <c r="C372" s="46"/>
      <c r="D372" s="46"/>
      <c r="E372" s="46"/>
      <c r="F372" s="47"/>
      <c r="G372" s="47"/>
      <c r="H372" s="48"/>
      <c r="I372" s="48"/>
    </row>
    <row r="373" spans="1:9" ht="21" customHeight="1" x14ac:dyDescent="0.2">
      <c r="A373" s="46"/>
      <c r="B373" s="46"/>
      <c r="C373" s="46"/>
      <c r="D373" s="46"/>
      <c r="E373" s="46"/>
      <c r="F373" s="47"/>
      <c r="G373" s="47"/>
      <c r="H373" s="48"/>
      <c r="I373" s="48"/>
    </row>
    <row r="374" spans="1:9" ht="21" customHeight="1" x14ac:dyDescent="0.2">
      <c r="A374" s="46"/>
      <c r="B374" s="46"/>
      <c r="C374" s="46"/>
      <c r="D374" s="46"/>
      <c r="E374" s="46"/>
      <c r="F374" s="47"/>
      <c r="G374" s="47"/>
      <c r="H374" s="48"/>
      <c r="I374" s="48"/>
    </row>
    <row r="375" spans="1:9" ht="21" customHeight="1" x14ac:dyDescent="0.2">
      <c r="A375" s="46"/>
      <c r="B375" s="46"/>
      <c r="C375" s="46"/>
      <c r="D375" s="46"/>
      <c r="E375" s="46"/>
      <c r="F375" s="47"/>
      <c r="G375" s="47"/>
      <c r="H375" s="48"/>
      <c r="I375" s="48"/>
    </row>
    <row r="376" spans="1:9" ht="21" customHeight="1" x14ac:dyDescent="0.2">
      <c r="A376" s="46"/>
      <c r="B376" s="46"/>
      <c r="C376" s="46"/>
      <c r="D376" s="46"/>
      <c r="E376" s="46"/>
      <c r="F376" s="47"/>
      <c r="G376" s="47"/>
      <c r="H376" s="48"/>
      <c r="I376" s="48"/>
    </row>
    <row r="377" spans="1:9" ht="21" customHeight="1" x14ac:dyDescent="0.2">
      <c r="A377" s="46"/>
      <c r="B377" s="46"/>
      <c r="C377" s="46"/>
      <c r="D377" s="46"/>
      <c r="E377" s="46"/>
      <c r="F377" s="47"/>
      <c r="G377" s="47"/>
      <c r="H377" s="48"/>
      <c r="I377" s="48"/>
    </row>
    <row r="378" spans="1:9" ht="21" customHeight="1" x14ac:dyDescent="0.2">
      <c r="A378" s="46"/>
      <c r="B378" s="46"/>
      <c r="C378" s="46"/>
      <c r="D378" s="46"/>
      <c r="E378" s="46"/>
      <c r="F378" s="47"/>
      <c r="G378" s="47"/>
      <c r="H378" s="48"/>
      <c r="I378" s="48"/>
    </row>
    <row r="379" spans="1:9" ht="21" customHeight="1" x14ac:dyDescent="0.2">
      <c r="A379" s="46"/>
      <c r="B379" s="46"/>
      <c r="C379" s="46"/>
      <c r="D379" s="46"/>
      <c r="E379" s="46"/>
      <c r="F379" s="47"/>
      <c r="G379" s="47"/>
      <c r="H379" s="48"/>
      <c r="I379" s="48"/>
    </row>
    <row r="380" spans="1:9" ht="21" customHeight="1" x14ac:dyDescent="0.2">
      <c r="A380" s="46"/>
      <c r="B380" s="46"/>
      <c r="C380" s="46"/>
      <c r="D380" s="46"/>
      <c r="E380" s="46"/>
      <c r="F380" s="47"/>
      <c r="G380" s="47"/>
      <c r="H380" s="48"/>
      <c r="I380" s="48"/>
    </row>
    <row r="381" spans="1:9" ht="21" customHeight="1" x14ac:dyDescent="0.2">
      <c r="A381" s="46"/>
      <c r="B381" s="46"/>
      <c r="C381" s="46"/>
      <c r="D381" s="46"/>
      <c r="E381" s="46"/>
      <c r="F381" s="47"/>
      <c r="G381" s="47"/>
      <c r="H381" s="48"/>
      <c r="I381" s="48"/>
    </row>
    <row r="382" spans="1:9" ht="21" customHeight="1" x14ac:dyDescent="0.2">
      <c r="A382" s="46"/>
      <c r="B382" s="46"/>
      <c r="C382" s="46"/>
      <c r="D382" s="46"/>
      <c r="E382" s="46"/>
      <c r="F382" s="47"/>
      <c r="G382" s="47"/>
      <c r="H382" s="48"/>
      <c r="I382" s="48"/>
    </row>
    <row r="383" spans="1:9" ht="21" customHeight="1" x14ac:dyDescent="0.2">
      <c r="A383" s="46"/>
      <c r="B383" s="46"/>
      <c r="C383" s="46"/>
      <c r="D383" s="46"/>
      <c r="E383" s="46"/>
      <c r="F383" s="47"/>
      <c r="G383" s="47"/>
      <c r="H383" s="48"/>
      <c r="I383" s="48"/>
    </row>
    <row r="384" spans="1:9" ht="21" customHeight="1" x14ac:dyDescent="0.2">
      <c r="A384" s="46"/>
      <c r="B384" s="46"/>
      <c r="C384" s="46"/>
      <c r="D384" s="46"/>
      <c r="E384" s="46"/>
      <c r="F384" s="47"/>
      <c r="G384" s="47"/>
      <c r="H384" s="48"/>
      <c r="I384" s="48"/>
    </row>
    <row r="385" spans="1:9" ht="21" customHeight="1" x14ac:dyDescent="0.2">
      <c r="A385" s="46"/>
      <c r="B385" s="46"/>
      <c r="C385" s="46"/>
      <c r="D385" s="46"/>
      <c r="E385" s="46"/>
      <c r="F385" s="47"/>
      <c r="G385" s="47"/>
      <c r="H385" s="48"/>
      <c r="I385" s="48"/>
    </row>
    <row r="386" spans="1:9" ht="21" customHeight="1" x14ac:dyDescent="0.2">
      <c r="A386" s="46"/>
      <c r="B386" s="46"/>
      <c r="C386" s="46"/>
      <c r="D386" s="46"/>
      <c r="E386" s="46"/>
      <c r="F386" s="47"/>
      <c r="G386" s="47"/>
      <c r="H386" s="48"/>
      <c r="I386" s="48"/>
    </row>
    <row r="387" spans="1:9" ht="21" customHeight="1" x14ac:dyDescent="0.2">
      <c r="A387" s="46"/>
      <c r="B387" s="46"/>
      <c r="C387" s="46"/>
      <c r="D387" s="46"/>
      <c r="E387" s="46"/>
      <c r="F387" s="47"/>
      <c r="G387" s="47"/>
      <c r="H387" s="48"/>
      <c r="I387" s="48"/>
    </row>
    <row r="388" spans="1:9" ht="21" customHeight="1" x14ac:dyDescent="0.2">
      <c r="A388" s="46"/>
      <c r="B388" s="46"/>
      <c r="C388" s="46"/>
      <c r="D388" s="46"/>
      <c r="E388" s="46"/>
      <c r="F388" s="47"/>
      <c r="G388" s="47"/>
      <c r="H388" s="48"/>
      <c r="I388" s="48"/>
    </row>
    <row r="389" spans="1:9" ht="21" customHeight="1" x14ac:dyDescent="0.2">
      <c r="A389" s="46"/>
      <c r="B389" s="46"/>
      <c r="C389" s="46"/>
      <c r="D389" s="46"/>
      <c r="E389" s="46"/>
      <c r="F389" s="47"/>
      <c r="G389" s="47"/>
      <c r="H389" s="48"/>
      <c r="I389" s="48"/>
    </row>
    <row r="390" spans="1:9" ht="21" customHeight="1" x14ac:dyDescent="0.2">
      <c r="A390" s="46"/>
      <c r="B390" s="46"/>
      <c r="C390" s="46"/>
      <c r="D390" s="46"/>
      <c r="E390" s="46"/>
      <c r="F390" s="47"/>
      <c r="G390" s="47"/>
      <c r="H390" s="48"/>
      <c r="I390" s="48"/>
    </row>
    <row r="391" spans="1:9" ht="21" customHeight="1" x14ac:dyDescent="0.2">
      <c r="A391" s="46"/>
      <c r="B391" s="46"/>
      <c r="C391" s="46"/>
      <c r="D391" s="46"/>
      <c r="E391" s="46"/>
      <c r="F391" s="47"/>
      <c r="G391" s="47"/>
      <c r="H391" s="48"/>
      <c r="I391" s="48"/>
    </row>
    <row r="392" spans="1:9" ht="21" customHeight="1" x14ac:dyDescent="0.2">
      <c r="A392" s="46"/>
      <c r="B392" s="46"/>
      <c r="C392" s="46"/>
      <c r="D392" s="46"/>
      <c r="E392" s="46"/>
      <c r="F392" s="47"/>
      <c r="G392" s="47"/>
      <c r="H392" s="48"/>
      <c r="I392" s="48"/>
    </row>
    <row r="393" spans="1:9" ht="21" customHeight="1" x14ac:dyDescent="0.2">
      <c r="A393" s="46"/>
      <c r="B393" s="46"/>
      <c r="C393" s="46"/>
      <c r="D393" s="46"/>
      <c r="E393" s="46"/>
      <c r="F393" s="47"/>
      <c r="G393" s="47"/>
      <c r="H393" s="48"/>
      <c r="I393" s="48"/>
    </row>
    <row r="394" spans="1:9" ht="21" customHeight="1" x14ac:dyDescent="0.2">
      <c r="A394" s="46"/>
      <c r="B394" s="46"/>
      <c r="C394" s="46"/>
      <c r="D394" s="46"/>
      <c r="E394" s="46"/>
      <c r="F394" s="47"/>
      <c r="G394" s="47"/>
      <c r="H394" s="48"/>
      <c r="I394" s="48"/>
    </row>
    <row r="395" spans="1:9" ht="21" customHeight="1" x14ac:dyDescent="0.2">
      <c r="A395" s="46"/>
      <c r="B395" s="46"/>
      <c r="C395" s="46"/>
      <c r="D395" s="46"/>
      <c r="E395" s="46"/>
      <c r="F395" s="47"/>
      <c r="G395" s="47"/>
      <c r="H395" s="48"/>
      <c r="I395" s="48"/>
    </row>
    <row r="396" spans="1:9" ht="21" customHeight="1" x14ac:dyDescent="0.2">
      <c r="A396" s="46"/>
      <c r="B396" s="46"/>
      <c r="C396" s="46"/>
      <c r="D396" s="46"/>
      <c r="E396" s="46"/>
      <c r="F396" s="47"/>
      <c r="G396" s="47"/>
      <c r="H396" s="48"/>
      <c r="I396" s="48"/>
    </row>
    <row r="397" spans="1:9" ht="21" customHeight="1" x14ac:dyDescent="0.2">
      <c r="A397" s="46"/>
      <c r="B397" s="46"/>
      <c r="C397" s="46"/>
      <c r="D397" s="46"/>
      <c r="E397" s="46"/>
      <c r="F397" s="47"/>
      <c r="G397" s="47"/>
      <c r="H397" s="48"/>
      <c r="I397" s="48"/>
    </row>
    <row r="398" spans="1:9" ht="21" customHeight="1" x14ac:dyDescent="0.2">
      <c r="A398" s="46"/>
      <c r="B398" s="46"/>
      <c r="C398" s="46"/>
      <c r="D398" s="46"/>
      <c r="E398" s="46"/>
      <c r="F398" s="47"/>
      <c r="G398" s="47"/>
      <c r="H398" s="48"/>
      <c r="I398" s="48"/>
    </row>
    <row r="399" spans="1:9" ht="21" customHeight="1" x14ac:dyDescent="0.2">
      <c r="A399" s="46"/>
      <c r="B399" s="46"/>
      <c r="C399" s="46"/>
      <c r="D399" s="46"/>
      <c r="E399" s="46"/>
      <c r="F399" s="47"/>
      <c r="G399" s="47"/>
      <c r="H399" s="48"/>
      <c r="I399" s="48"/>
    </row>
    <row r="400" spans="1:9" ht="21" customHeight="1" x14ac:dyDescent="0.2">
      <c r="A400" s="46"/>
      <c r="B400" s="46"/>
      <c r="C400" s="46"/>
      <c r="D400" s="46"/>
      <c r="E400" s="46"/>
      <c r="F400" s="47"/>
      <c r="G400" s="47"/>
      <c r="H400" s="48"/>
      <c r="I400" s="48"/>
    </row>
    <row r="401" spans="1:9" ht="21" customHeight="1" x14ac:dyDescent="0.2">
      <c r="A401" s="46"/>
      <c r="B401" s="46"/>
      <c r="C401" s="46"/>
      <c r="D401" s="46"/>
      <c r="E401" s="46"/>
      <c r="F401" s="47"/>
      <c r="G401" s="47"/>
      <c r="H401" s="48"/>
      <c r="I401" s="48"/>
    </row>
    <row r="402" spans="1:9" ht="21" customHeight="1" x14ac:dyDescent="0.2">
      <c r="A402" s="46"/>
      <c r="B402" s="46"/>
      <c r="C402" s="46"/>
      <c r="D402" s="46"/>
      <c r="E402" s="46"/>
      <c r="F402" s="47"/>
      <c r="G402" s="47"/>
      <c r="H402" s="48"/>
      <c r="I402" s="48"/>
    </row>
    <row r="403" spans="1:9" ht="21" customHeight="1" x14ac:dyDescent="0.2">
      <c r="A403" s="46"/>
      <c r="B403" s="46"/>
      <c r="C403" s="46"/>
      <c r="D403" s="46"/>
      <c r="E403" s="46"/>
      <c r="F403" s="47"/>
      <c r="G403" s="47"/>
      <c r="H403" s="48"/>
      <c r="I403" s="48"/>
    </row>
    <row r="404" spans="1:9" ht="21" customHeight="1" x14ac:dyDescent="0.2">
      <c r="A404" s="46"/>
      <c r="B404" s="46"/>
      <c r="C404" s="46"/>
      <c r="D404" s="46"/>
      <c r="E404" s="46"/>
      <c r="F404" s="47"/>
      <c r="G404" s="47"/>
      <c r="H404" s="48"/>
      <c r="I404" s="48"/>
    </row>
    <row r="405" spans="1:9" ht="21" customHeight="1" x14ac:dyDescent="0.2">
      <c r="A405" s="46"/>
      <c r="B405" s="46"/>
      <c r="C405" s="46"/>
      <c r="D405" s="46"/>
      <c r="E405" s="46"/>
      <c r="F405" s="47"/>
      <c r="G405" s="47"/>
      <c r="H405" s="48"/>
      <c r="I405" s="48"/>
    </row>
    <row r="406" spans="1:9" ht="21" customHeight="1" x14ac:dyDescent="0.2">
      <c r="A406" s="46"/>
      <c r="B406" s="46"/>
      <c r="C406" s="46"/>
      <c r="D406" s="46"/>
      <c r="E406" s="46"/>
      <c r="F406" s="47"/>
      <c r="G406" s="47"/>
      <c r="H406" s="48"/>
      <c r="I406" s="48"/>
    </row>
    <row r="407" spans="1:9" ht="21" customHeight="1" x14ac:dyDescent="0.2">
      <c r="A407" s="46"/>
      <c r="B407" s="46"/>
      <c r="C407" s="46"/>
      <c r="D407" s="46"/>
      <c r="E407" s="46"/>
      <c r="F407" s="47"/>
      <c r="G407" s="47"/>
      <c r="H407" s="48"/>
      <c r="I407" s="48"/>
    </row>
    <row r="408" spans="1:9" ht="21" customHeight="1" x14ac:dyDescent="0.2">
      <c r="A408" s="46"/>
      <c r="B408" s="46"/>
      <c r="C408" s="46"/>
      <c r="D408" s="46"/>
      <c r="E408" s="46"/>
      <c r="F408" s="47"/>
      <c r="G408" s="47"/>
      <c r="H408" s="48"/>
      <c r="I408" s="48"/>
    </row>
    <row r="409" spans="1:9" ht="21" customHeight="1" x14ac:dyDescent="0.2">
      <c r="A409" s="46"/>
      <c r="B409" s="46"/>
      <c r="C409" s="46"/>
      <c r="D409" s="46"/>
      <c r="E409" s="46"/>
      <c r="F409" s="47"/>
      <c r="G409" s="47"/>
      <c r="H409" s="48"/>
      <c r="I409" s="48"/>
    </row>
    <row r="410" spans="1:9" ht="21" customHeight="1" x14ac:dyDescent="0.2">
      <c r="A410" s="46"/>
      <c r="B410" s="46"/>
      <c r="C410" s="46"/>
      <c r="D410" s="46"/>
      <c r="E410" s="46"/>
      <c r="F410" s="47"/>
      <c r="G410" s="47"/>
      <c r="H410" s="48"/>
      <c r="I410" s="48"/>
    </row>
    <row r="411" spans="1:9" ht="21" customHeight="1" x14ac:dyDescent="0.2">
      <c r="A411" s="46"/>
      <c r="B411" s="46"/>
      <c r="C411" s="46"/>
      <c r="D411" s="46"/>
      <c r="E411" s="46"/>
      <c r="F411" s="47"/>
      <c r="G411" s="47"/>
      <c r="H411" s="48"/>
      <c r="I411" s="48"/>
    </row>
    <row r="412" spans="1:9" ht="21" customHeight="1" x14ac:dyDescent="0.2">
      <c r="A412" s="46"/>
      <c r="B412" s="46"/>
      <c r="C412" s="46"/>
      <c r="D412" s="46"/>
      <c r="E412" s="46"/>
      <c r="F412" s="47"/>
      <c r="G412" s="47"/>
      <c r="H412" s="48"/>
      <c r="I412" s="48"/>
    </row>
    <row r="413" spans="1:9" ht="21" customHeight="1" x14ac:dyDescent="0.2">
      <c r="A413" s="46"/>
      <c r="B413" s="46"/>
      <c r="C413" s="46"/>
      <c r="D413" s="46"/>
      <c r="E413" s="46"/>
      <c r="F413" s="47"/>
      <c r="G413" s="47"/>
      <c r="H413" s="48"/>
      <c r="I413" s="48"/>
    </row>
    <row r="414" spans="1:9" ht="21" customHeight="1" x14ac:dyDescent="0.2">
      <c r="A414" s="46"/>
      <c r="B414" s="46"/>
      <c r="C414" s="46"/>
      <c r="D414" s="46"/>
      <c r="E414" s="46"/>
      <c r="F414" s="47"/>
      <c r="G414" s="47"/>
      <c r="H414" s="48"/>
      <c r="I414" s="48"/>
    </row>
    <row r="415" spans="1:9" ht="21" customHeight="1" x14ac:dyDescent="0.2">
      <c r="A415" s="46"/>
      <c r="B415" s="46"/>
      <c r="C415" s="46"/>
      <c r="D415" s="46"/>
      <c r="E415" s="46"/>
      <c r="F415" s="47"/>
      <c r="G415" s="47"/>
      <c r="H415" s="48"/>
      <c r="I415" s="48"/>
    </row>
    <row r="416" spans="1:9" ht="21" customHeight="1" x14ac:dyDescent="0.2">
      <c r="A416" s="46"/>
      <c r="B416" s="46"/>
      <c r="C416" s="46"/>
      <c r="D416" s="46"/>
      <c r="E416" s="46"/>
      <c r="F416" s="47"/>
      <c r="G416" s="47"/>
      <c r="H416" s="48"/>
      <c r="I416" s="48"/>
    </row>
    <row r="417" spans="1:9" ht="21" customHeight="1" x14ac:dyDescent="0.2">
      <c r="A417" s="46"/>
      <c r="B417" s="46"/>
      <c r="C417" s="46"/>
      <c r="D417" s="46"/>
      <c r="E417" s="46"/>
      <c r="F417" s="47"/>
      <c r="G417" s="47"/>
      <c r="H417" s="48"/>
      <c r="I417" s="48"/>
    </row>
    <row r="418" spans="1:9" ht="21" customHeight="1" x14ac:dyDescent="0.2">
      <c r="A418" s="46"/>
      <c r="B418" s="46"/>
      <c r="C418" s="46"/>
      <c r="D418" s="46"/>
      <c r="E418" s="46"/>
      <c r="F418" s="47"/>
      <c r="G418" s="47"/>
      <c r="H418" s="48"/>
      <c r="I418" s="48"/>
    </row>
    <row r="419" spans="1:9" ht="21" customHeight="1" x14ac:dyDescent="0.2">
      <c r="A419" s="46"/>
      <c r="B419" s="46"/>
      <c r="C419" s="46"/>
      <c r="D419" s="46"/>
      <c r="E419" s="46"/>
      <c r="F419" s="47"/>
      <c r="G419" s="47"/>
      <c r="H419" s="48"/>
      <c r="I419" s="48"/>
    </row>
    <row r="420" spans="1:9" ht="21" customHeight="1" x14ac:dyDescent="0.2">
      <c r="A420" s="46"/>
      <c r="B420" s="46"/>
      <c r="C420" s="46"/>
      <c r="D420" s="46"/>
      <c r="E420" s="46"/>
      <c r="F420" s="47"/>
      <c r="G420" s="47"/>
      <c r="H420" s="48"/>
      <c r="I420" s="48"/>
    </row>
    <row r="421" spans="1:9" ht="21" customHeight="1" x14ac:dyDescent="0.2">
      <c r="A421" s="46"/>
      <c r="B421" s="46"/>
      <c r="C421" s="46"/>
      <c r="D421" s="46"/>
      <c r="E421" s="46"/>
      <c r="F421" s="47"/>
      <c r="G421" s="47"/>
      <c r="H421" s="48"/>
      <c r="I421" s="48"/>
    </row>
    <row r="422" spans="1:9" ht="21" customHeight="1" x14ac:dyDescent="0.2">
      <c r="A422" s="46"/>
      <c r="B422" s="46"/>
      <c r="C422" s="46"/>
      <c r="D422" s="46"/>
      <c r="E422" s="46"/>
      <c r="F422" s="47"/>
      <c r="G422" s="47"/>
      <c r="H422" s="48"/>
      <c r="I422" s="48"/>
    </row>
    <row r="423" spans="1:9" ht="21" customHeight="1" x14ac:dyDescent="0.2">
      <c r="A423" s="46"/>
      <c r="B423" s="46"/>
      <c r="C423" s="46"/>
      <c r="D423" s="46"/>
      <c r="E423" s="46"/>
      <c r="F423" s="47"/>
      <c r="G423" s="47"/>
      <c r="H423" s="48"/>
      <c r="I423" s="48"/>
    </row>
    <row r="424" spans="1:9" ht="21" customHeight="1" x14ac:dyDescent="0.2">
      <c r="A424" s="46"/>
      <c r="B424" s="46"/>
      <c r="C424" s="46"/>
      <c r="D424" s="46"/>
      <c r="E424" s="46"/>
      <c r="F424" s="47"/>
      <c r="G424" s="47"/>
      <c r="H424" s="48"/>
      <c r="I424" s="48"/>
    </row>
    <row r="425" spans="1:9" ht="21" customHeight="1" x14ac:dyDescent="0.2">
      <c r="A425" s="46"/>
      <c r="B425" s="46"/>
      <c r="C425" s="46"/>
      <c r="D425" s="46"/>
      <c r="E425" s="46"/>
      <c r="F425" s="47"/>
      <c r="G425" s="47"/>
      <c r="H425" s="48"/>
      <c r="I425" s="48"/>
    </row>
    <row r="426" spans="1:9" ht="21" customHeight="1" x14ac:dyDescent="0.2">
      <c r="A426" s="46"/>
      <c r="B426" s="46"/>
      <c r="C426" s="46"/>
      <c r="D426" s="46"/>
      <c r="E426" s="46"/>
      <c r="F426" s="47"/>
      <c r="G426" s="47"/>
      <c r="H426" s="48"/>
      <c r="I426" s="48"/>
    </row>
    <row r="427" spans="1:9" ht="21" customHeight="1" x14ac:dyDescent="0.2">
      <c r="A427" s="46"/>
      <c r="B427" s="46"/>
      <c r="C427" s="46"/>
      <c r="D427" s="46"/>
      <c r="E427" s="46"/>
      <c r="F427" s="47"/>
      <c r="G427" s="47"/>
      <c r="H427" s="48"/>
      <c r="I427" s="48"/>
    </row>
    <row r="428" spans="1:9" ht="21" customHeight="1" x14ac:dyDescent="0.2">
      <c r="A428" s="46"/>
      <c r="B428" s="46"/>
      <c r="C428" s="46"/>
      <c r="D428" s="46"/>
      <c r="E428" s="46"/>
      <c r="F428" s="47"/>
      <c r="G428" s="47"/>
      <c r="H428" s="48"/>
      <c r="I428" s="48"/>
    </row>
    <row r="429" spans="1:9" ht="21" customHeight="1" x14ac:dyDescent="0.2">
      <c r="A429" s="46"/>
      <c r="B429" s="46"/>
      <c r="C429" s="46"/>
      <c r="D429" s="46"/>
      <c r="E429" s="46"/>
      <c r="F429" s="47"/>
      <c r="G429" s="47"/>
      <c r="H429" s="48"/>
      <c r="I429" s="48"/>
    </row>
    <row r="430" spans="1:9" ht="21" customHeight="1" x14ac:dyDescent="0.2">
      <c r="A430" s="46"/>
      <c r="B430" s="46"/>
      <c r="C430" s="46"/>
      <c r="D430" s="46"/>
      <c r="E430" s="46"/>
      <c r="F430" s="47"/>
      <c r="G430" s="47"/>
      <c r="H430" s="48"/>
      <c r="I430" s="48"/>
    </row>
    <row r="431" spans="1:9" ht="21" customHeight="1" x14ac:dyDescent="0.2">
      <c r="A431" s="46"/>
      <c r="B431" s="46"/>
      <c r="C431" s="46"/>
      <c r="D431" s="46"/>
      <c r="E431" s="46"/>
      <c r="F431" s="47"/>
      <c r="G431" s="47"/>
      <c r="H431" s="48"/>
      <c r="I431" s="48"/>
    </row>
    <row r="432" spans="1:9" ht="21" customHeight="1" x14ac:dyDescent="0.2">
      <c r="A432" s="46"/>
      <c r="B432" s="46"/>
      <c r="C432" s="46"/>
      <c r="D432" s="46"/>
      <c r="E432" s="46"/>
      <c r="F432" s="47"/>
      <c r="G432" s="47"/>
      <c r="H432" s="48"/>
      <c r="I432" s="48"/>
    </row>
    <row r="433" spans="1:9" ht="21" customHeight="1" x14ac:dyDescent="0.2">
      <c r="A433" s="46"/>
      <c r="B433" s="46"/>
      <c r="C433" s="46"/>
      <c r="D433" s="46"/>
      <c r="E433" s="46"/>
      <c r="F433" s="47"/>
      <c r="G433" s="47"/>
      <c r="H433" s="48"/>
      <c r="I433" s="48"/>
    </row>
    <row r="434" spans="1:9" ht="21" customHeight="1" x14ac:dyDescent="0.2">
      <c r="A434" s="46"/>
      <c r="B434" s="46"/>
      <c r="C434" s="46"/>
      <c r="D434" s="46"/>
      <c r="E434" s="46"/>
      <c r="F434" s="47"/>
      <c r="G434" s="47"/>
      <c r="H434" s="48"/>
      <c r="I434" s="48"/>
    </row>
    <row r="435" spans="1:9" ht="21" customHeight="1" x14ac:dyDescent="0.2">
      <c r="A435" s="46"/>
      <c r="B435" s="46"/>
      <c r="C435" s="46"/>
      <c r="D435" s="46"/>
      <c r="E435" s="46"/>
      <c r="F435" s="47"/>
      <c r="G435" s="47"/>
      <c r="H435" s="48"/>
      <c r="I435" s="48"/>
    </row>
    <row r="436" spans="1:9" ht="21" customHeight="1" x14ac:dyDescent="0.2">
      <c r="A436" s="46"/>
      <c r="B436" s="46"/>
      <c r="C436" s="46"/>
      <c r="D436" s="46"/>
      <c r="E436" s="46"/>
      <c r="F436" s="47"/>
      <c r="G436" s="47"/>
      <c r="H436" s="48"/>
      <c r="I436" s="48"/>
    </row>
    <row r="437" spans="1:9" ht="21" customHeight="1" x14ac:dyDescent="0.2">
      <c r="A437" s="46"/>
      <c r="B437" s="46"/>
      <c r="C437" s="46"/>
      <c r="D437" s="46"/>
      <c r="E437" s="46"/>
      <c r="F437" s="47"/>
      <c r="G437" s="47"/>
      <c r="H437" s="48"/>
      <c r="I437" s="48"/>
    </row>
    <row r="438" spans="1:9" ht="21" customHeight="1" x14ac:dyDescent="0.2">
      <c r="A438" s="46"/>
      <c r="B438" s="46"/>
      <c r="C438" s="46"/>
      <c r="D438" s="46"/>
      <c r="E438" s="46"/>
      <c r="F438" s="47"/>
      <c r="G438" s="47"/>
      <c r="H438" s="48"/>
      <c r="I438" s="48"/>
    </row>
    <row r="439" spans="1:9" ht="21" customHeight="1" x14ac:dyDescent="0.2">
      <c r="A439" s="46"/>
      <c r="B439" s="46"/>
      <c r="C439" s="46"/>
      <c r="D439" s="46"/>
      <c r="E439" s="46"/>
      <c r="F439" s="47"/>
      <c r="G439" s="47"/>
      <c r="H439" s="48"/>
      <c r="I439" s="48"/>
    </row>
    <row r="440" spans="1:9" ht="21" customHeight="1" x14ac:dyDescent="0.2">
      <c r="A440" s="46"/>
      <c r="B440" s="46"/>
      <c r="C440" s="46"/>
      <c r="D440" s="46"/>
      <c r="E440" s="46"/>
      <c r="F440" s="47"/>
      <c r="G440" s="47"/>
      <c r="H440" s="48"/>
      <c r="I440" s="48"/>
    </row>
    <row r="441" spans="1:9" ht="21" customHeight="1" x14ac:dyDescent="0.2">
      <c r="A441" s="46"/>
      <c r="B441" s="46"/>
      <c r="C441" s="46"/>
      <c r="D441" s="46"/>
      <c r="E441" s="46"/>
      <c r="F441" s="47"/>
      <c r="G441" s="47"/>
      <c r="H441" s="48"/>
      <c r="I441" s="48"/>
    </row>
    <row r="442" spans="1:9" ht="21" customHeight="1" x14ac:dyDescent="0.2">
      <c r="A442" s="46"/>
      <c r="B442" s="46"/>
      <c r="C442" s="46"/>
      <c r="D442" s="46"/>
      <c r="E442" s="46"/>
      <c r="F442" s="47"/>
      <c r="G442" s="47"/>
      <c r="H442" s="48"/>
      <c r="I442" s="48"/>
    </row>
    <row r="443" spans="1:9" ht="21" customHeight="1" x14ac:dyDescent="0.2">
      <c r="A443" s="46"/>
      <c r="B443" s="46"/>
      <c r="C443" s="46"/>
      <c r="D443" s="46"/>
      <c r="E443" s="46"/>
      <c r="F443" s="47"/>
      <c r="G443" s="47"/>
      <c r="H443" s="48"/>
      <c r="I443" s="48"/>
    </row>
    <row r="444" spans="1:9" ht="21" customHeight="1" x14ac:dyDescent="0.2">
      <c r="A444" s="46"/>
      <c r="B444" s="46"/>
      <c r="C444" s="46"/>
      <c r="D444" s="46"/>
      <c r="E444" s="46"/>
      <c r="F444" s="47"/>
      <c r="G444" s="47"/>
      <c r="H444" s="48"/>
      <c r="I444" s="48"/>
    </row>
    <row r="445" spans="1:9" ht="21" customHeight="1" x14ac:dyDescent="0.2">
      <c r="A445" s="46"/>
      <c r="B445" s="46"/>
      <c r="C445" s="46"/>
      <c r="D445" s="46"/>
      <c r="E445" s="46"/>
      <c r="F445" s="47"/>
      <c r="G445" s="47"/>
      <c r="H445" s="48"/>
      <c r="I445" s="48"/>
    </row>
    <row r="446" spans="1:9" ht="21" customHeight="1" x14ac:dyDescent="0.2">
      <c r="A446" s="46"/>
      <c r="B446" s="46"/>
      <c r="C446" s="46"/>
      <c r="D446" s="46"/>
      <c r="E446" s="46"/>
      <c r="F446" s="47"/>
      <c r="G446" s="47"/>
      <c r="H446" s="48"/>
      <c r="I446" s="48"/>
    </row>
    <row r="447" spans="1:9" ht="21" customHeight="1" x14ac:dyDescent="0.2">
      <c r="A447" s="46"/>
      <c r="B447" s="46"/>
      <c r="C447" s="46"/>
      <c r="D447" s="46"/>
      <c r="E447" s="46"/>
      <c r="F447" s="47"/>
      <c r="G447" s="47"/>
      <c r="H447" s="48"/>
      <c r="I447" s="48"/>
    </row>
    <row r="448" spans="1:9" ht="21" customHeight="1" x14ac:dyDescent="0.2">
      <c r="A448" s="46"/>
      <c r="B448" s="46"/>
      <c r="C448" s="46"/>
      <c r="D448" s="46"/>
      <c r="E448" s="46"/>
      <c r="F448" s="47"/>
      <c r="G448" s="47"/>
      <c r="H448" s="48"/>
      <c r="I448" s="48"/>
    </row>
    <row r="449" spans="1:9" ht="21" customHeight="1" x14ac:dyDescent="0.2">
      <c r="A449" s="46"/>
      <c r="B449" s="46"/>
      <c r="C449" s="46"/>
      <c r="D449" s="46"/>
      <c r="E449" s="46"/>
      <c r="F449" s="47"/>
      <c r="G449" s="47"/>
      <c r="H449" s="48"/>
      <c r="I449" s="48"/>
    </row>
    <row r="450" spans="1:9" ht="21" customHeight="1" x14ac:dyDescent="0.2">
      <c r="A450" s="46"/>
      <c r="B450" s="46"/>
      <c r="C450" s="46"/>
      <c r="D450" s="46"/>
      <c r="E450" s="46"/>
      <c r="F450" s="47"/>
      <c r="G450" s="47"/>
      <c r="H450" s="48"/>
      <c r="I450" s="48"/>
    </row>
    <row r="451" spans="1:9" ht="21" customHeight="1" x14ac:dyDescent="0.2">
      <c r="A451" s="46"/>
      <c r="B451" s="46"/>
      <c r="C451" s="46"/>
      <c r="D451" s="46"/>
      <c r="E451" s="46"/>
      <c r="F451" s="47"/>
      <c r="G451" s="47"/>
      <c r="H451" s="48"/>
      <c r="I451" s="48"/>
    </row>
    <row r="452" spans="1:9" ht="21" customHeight="1" x14ac:dyDescent="0.2">
      <c r="A452" s="46"/>
      <c r="B452" s="46"/>
      <c r="C452" s="46"/>
      <c r="D452" s="46"/>
      <c r="E452" s="46"/>
      <c r="F452" s="47"/>
      <c r="G452" s="47"/>
      <c r="H452" s="48"/>
      <c r="I452" s="48"/>
    </row>
    <row r="453" spans="1:9" ht="21" customHeight="1" x14ac:dyDescent="0.2">
      <c r="A453" s="46"/>
      <c r="B453" s="46"/>
      <c r="C453" s="46"/>
      <c r="D453" s="46"/>
      <c r="E453" s="46"/>
      <c r="F453" s="47"/>
      <c r="G453" s="47"/>
      <c r="H453" s="48"/>
      <c r="I453" s="48"/>
    </row>
    <row r="454" spans="1:9" ht="21" customHeight="1" x14ac:dyDescent="0.2">
      <c r="A454" s="46"/>
      <c r="B454" s="46"/>
      <c r="C454" s="46"/>
      <c r="D454" s="46"/>
      <c r="E454" s="46"/>
      <c r="F454" s="47"/>
      <c r="G454" s="47"/>
      <c r="H454" s="48"/>
      <c r="I454" s="48"/>
    </row>
    <row r="455" spans="1:9" ht="21" customHeight="1" x14ac:dyDescent="0.2">
      <c r="A455" s="46"/>
      <c r="B455" s="46"/>
      <c r="C455" s="46"/>
      <c r="D455" s="46"/>
      <c r="E455" s="46"/>
      <c r="F455" s="47"/>
      <c r="G455" s="47"/>
      <c r="H455" s="48"/>
      <c r="I455" s="48"/>
    </row>
    <row r="456" spans="1:9" ht="21" customHeight="1" x14ac:dyDescent="0.2">
      <c r="A456" s="46"/>
      <c r="B456" s="46"/>
      <c r="C456" s="46"/>
      <c r="D456" s="46"/>
      <c r="E456" s="46"/>
      <c r="F456" s="47"/>
      <c r="G456" s="47"/>
      <c r="H456" s="48"/>
      <c r="I456" s="48"/>
    </row>
    <row r="457" spans="1:9" ht="21" customHeight="1" x14ac:dyDescent="0.2">
      <c r="A457" s="46"/>
      <c r="B457" s="46"/>
      <c r="C457" s="46"/>
      <c r="D457" s="46"/>
      <c r="E457" s="46"/>
      <c r="F457" s="47"/>
      <c r="G457" s="47"/>
      <c r="H457" s="48"/>
      <c r="I457" s="48"/>
    </row>
    <row r="458" spans="1:9" ht="21" customHeight="1" x14ac:dyDescent="0.2">
      <c r="A458" s="46"/>
      <c r="B458" s="46"/>
      <c r="C458" s="46"/>
      <c r="D458" s="46"/>
      <c r="E458" s="46"/>
      <c r="F458" s="47"/>
      <c r="G458" s="47"/>
      <c r="H458" s="48"/>
      <c r="I458" s="48"/>
    </row>
    <row r="459" spans="1:9" ht="21" customHeight="1" x14ac:dyDescent="0.2">
      <c r="A459" s="46"/>
      <c r="B459" s="46"/>
      <c r="C459" s="46"/>
      <c r="D459" s="46"/>
      <c r="E459" s="46"/>
      <c r="F459" s="47"/>
      <c r="G459" s="47"/>
      <c r="H459" s="48"/>
      <c r="I459" s="48"/>
    </row>
    <row r="460" spans="1:9" ht="21" customHeight="1" x14ac:dyDescent="0.2">
      <c r="A460" s="46"/>
      <c r="B460" s="46"/>
      <c r="C460" s="46"/>
      <c r="D460" s="46"/>
      <c r="E460" s="46"/>
      <c r="F460" s="47"/>
      <c r="G460" s="47"/>
      <c r="H460" s="48"/>
      <c r="I460" s="48"/>
    </row>
    <row r="461" spans="1:9" ht="21" customHeight="1" x14ac:dyDescent="0.2">
      <c r="A461" s="46"/>
      <c r="B461" s="46"/>
      <c r="C461" s="46"/>
      <c r="D461" s="46"/>
      <c r="E461" s="46"/>
      <c r="F461" s="47"/>
      <c r="G461" s="47"/>
      <c r="H461" s="48"/>
      <c r="I461" s="48"/>
    </row>
    <row r="462" spans="1:9" ht="21" customHeight="1" x14ac:dyDescent="0.2">
      <c r="A462" s="46"/>
      <c r="B462" s="46"/>
      <c r="C462" s="46"/>
      <c r="D462" s="46"/>
      <c r="E462" s="46"/>
      <c r="F462" s="47"/>
      <c r="G462" s="47"/>
      <c r="H462" s="48"/>
      <c r="I462" s="48"/>
    </row>
    <row r="463" spans="1:9" ht="21" customHeight="1" x14ac:dyDescent="0.2">
      <c r="A463" s="46"/>
      <c r="B463" s="46"/>
      <c r="C463" s="46"/>
      <c r="D463" s="46"/>
      <c r="E463" s="46"/>
      <c r="F463" s="47"/>
      <c r="G463" s="47"/>
      <c r="H463" s="48"/>
      <c r="I463" s="48"/>
    </row>
    <row r="464" spans="1:9" ht="21" customHeight="1" x14ac:dyDescent="0.2">
      <c r="A464" s="46"/>
      <c r="B464" s="46"/>
      <c r="C464" s="46"/>
      <c r="D464" s="46"/>
      <c r="E464" s="46"/>
      <c r="F464" s="47"/>
      <c r="G464" s="47"/>
      <c r="H464" s="48"/>
      <c r="I464" s="48"/>
    </row>
    <row r="465" spans="1:9" ht="21" customHeight="1" x14ac:dyDescent="0.2">
      <c r="A465" s="46"/>
      <c r="B465" s="46"/>
      <c r="C465" s="46"/>
      <c r="D465" s="46"/>
      <c r="E465" s="46"/>
      <c r="F465" s="47"/>
      <c r="G465" s="47"/>
      <c r="H465" s="48"/>
      <c r="I465" s="48"/>
    </row>
    <row r="466" spans="1:9" ht="21" customHeight="1" x14ac:dyDescent="0.2">
      <c r="A466" s="46"/>
      <c r="B466" s="46"/>
      <c r="C466" s="46"/>
      <c r="D466" s="46"/>
      <c r="E466" s="46"/>
      <c r="F466" s="47"/>
      <c r="G466" s="47"/>
      <c r="H466" s="48"/>
      <c r="I466" s="48"/>
    </row>
    <row r="467" spans="1:9" ht="21" customHeight="1" x14ac:dyDescent="0.2">
      <c r="A467" s="46"/>
      <c r="B467" s="46"/>
      <c r="C467" s="46"/>
      <c r="D467" s="46"/>
      <c r="E467" s="46"/>
      <c r="F467" s="47"/>
      <c r="G467" s="47"/>
      <c r="H467" s="48"/>
      <c r="I467" s="48"/>
    </row>
    <row r="468" spans="1:9" ht="21" customHeight="1" x14ac:dyDescent="0.2">
      <c r="A468" s="46"/>
      <c r="B468" s="46"/>
      <c r="C468" s="46"/>
      <c r="D468" s="46"/>
      <c r="E468" s="46"/>
      <c r="F468" s="47"/>
      <c r="G468" s="47"/>
      <c r="H468" s="48"/>
      <c r="I468" s="48"/>
    </row>
    <row r="469" spans="1:9" ht="21" customHeight="1" x14ac:dyDescent="0.2">
      <c r="A469" s="46"/>
      <c r="B469" s="46"/>
      <c r="C469" s="46"/>
      <c r="D469" s="46"/>
      <c r="E469" s="46"/>
      <c r="F469" s="47"/>
      <c r="G469" s="47"/>
      <c r="H469" s="48"/>
      <c r="I469" s="48"/>
    </row>
    <row r="470" spans="1:9" ht="21" customHeight="1" x14ac:dyDescent="0.2">
      <c r="A470" s="46"/>
      <c r="B470" s="46"/>
      <c r="C470" s="46"/>
      <c r="D470" s="46"/>
      <c r="E470" s="46"/>
      <c r="F470" s="47"/>
      <c r="G470" s="47"/>
      <c r="H470" s="48"/>
      <c r="I470" s="48"/>
    </row>
    <row r="471" spans="1:9" ht="21" customHeight="1" x14ac:dyDescent="0.2">
      <c r="A471" s="46"/>
      <c r="B471" s="46"/>
      <c r="C471" s="46"/>
      <c r="D471" s="46"/>
      <c r="E471" s="46"/>
      <c r="F471" s="47"/>
      <c r="G471" s="47"/>
      <c r="H471" s="48"/>
      <c r="I471" s="48"/>
    </row>
    <row r="472" spans="1:9" ht="21" customHeight="1" x14ac:dyDescent="0.2">
      <c r="A472" s="46"/>
      <c r="B472" s="46"/>
      <c r="C472" s="46"/>
      <c r="D472" s="46"/>
      <c r="E472" s="46"/>
      <c r="F472" s="47"/>
      <c r="G472" s="47"/>
      <c r="H472" s="48"/>
      <c r="I472" s="48"/>
    </row>
    <row r="473" spans="1:9" ht="21" customHeight="1" x14ac:dyDescent="0.2">
      <c r="A473" s="46"/>
      <c r="B473" s="46"/>
      <c r="C473" s="46"/>
      <c r="D473" s="46"/>
      <c r="E473" s="46"/>
      <c r="F473" s="47"/>
      <c r="G473" s="47"/>
      <c r="H473" s="48"/>
      <c r="I473" s="48"/>
    </row>
    <row r="474" spans="1:9" ht="21" customHeight="1" x14ac:dyDescent="0.2">
      <c r="A474" s="46"/>
      <c r="B474" s="46"/>
      <c r="C474" s="46"/>
      <c r="D474" s="46"/>
      <c r="E474" s="46"/>
      <c r="F474" s="47"/>
      <c r="G474" s="47"/>
      <c r="H474" s="48"/>
      <c r="I474" s="48"/>
    </row>
    <row r="475" spans="1:9" ht="21" customHeight="1" x14ac:dyDescent="0.2">
      <c r="A475" s="46"/>
      <c r="B475" s="46"/>
      <c r="C475" s="46"/>
      <c r="D475" s="46"/>
      <c r="E475" s="46"/>
      <c r="F475" s="47"/>
      <c r="G475" s="47"/>
      <c r="H475" s="48"/>
      <c r="I475" s="48"/>
    </row>
    <row r="476" spans="1:9" ht="21" customHeight="1" x14ac:dyDescent="0.2">
      <c r="A476" s="46"/>
      <c r="B476" s="46"/>
      <c r="C476" s="46"/>
      <c r="D476" s="46"/>
      <c r="E476" s="46"/>
      <c r="F476" s="47"/>
      <c r="G476" s="47"/>
      <c r="H476" s="48"/>
      <c r="I476" s="48"/>
    </row>
    <row r="477" spans="1:9" ht="21" customHeight="1" x14ac:dyDescent="0.2">
      <c r="A477" s="46"/>
      <c r="B477" s="46"/>
      <c r="C477" s="46"/>
      <c r="D477" s="46"/>
      <c r="E477" s="46"/>
      <c r="F477" s="47"/>
      <c r="G477" s="47"/>
      <c r="H477" s="48"/>
      <c r="I477" s="48"/>
    </row>
    <row r="478" spans="1:9" ht="21" customHeight="1" x14ac:dyDescent="0.2">
      <c r="A478" s="46"/>
      <c r="B478" s="46"/>
      <c r="C478" s="46"/>
      <c r="D478" s="46"/>
      <c r="E478" s="46"/>
      <c r="F478" s="47"/>
      <c r="G478" s="47"/>
      <c r="H478" s="48"/>
      <c r="I478" s="48"/>
    </row>
    <row r="479" spans="1:9" ht="21" customHeight="1" x14ac:dyDescent="0.2">
      <c r="A479" s="46"/>
      <c r="B479" s="46"/>
      <c r="C479" s="46"/>
      <c r="D479" s="46"/>
      <c r="E479" s="46"/>
      <c r="F479" s="47"/>
      <c r="G479" s="47"/>
      <c r="H479" s="48"/>
      <c r="I479" s="48"/>
    </row>
    <row r="480" spans="1:9" ht="21" customHeight="1" x14ac:dyDescent="0.2">
      <c r="A480" s="46"/>
      <c r="B480" s="46"/>
      <c r="C480" s="46"/>
      <c r="D480" s="46"/>
      <c r="E480" s="46"/>
      <c r="F480" s="47"/>
      <c r="G480" s="47"/>
      <c r="H480" s="48"/>
      <c r="I480" s="48"/>
    </row>
    <row r="481" spans="1:9" ht="21" customHeight="1" x14ac:dyDescent="0.2">
      <c r="A481" s="46"/>
      <c r="B481" s="46"/>
      <c r="C481" s="46"/>
      <c r="D481" s="46"/>
      <c r="E481" s="46"/>
      <c r="F481" s="47"/>
      <c r="G481" s="47"/>
      <c r="H481" s="48"/>
      <c r="I481" s="48"/>
    </row>
    <row r="482" spans="1:9" ht="21" customHeight="1" x14ac:dyDescent="0.2">
      <c r="A482" s="46"/>
      <c r="B482" s="46"/>
      <c r="C482" s="46"/>
      <c r="D482" s="46"/>
      <c r="E482" s="46"/>
      <c r="F482" s="47"/>
      <c r="G482" s="47"/>
      <c r="H482" s="48"/>
      <c r="I482" s="48"/>
    </row>
    <row r="483" spans="1:9" ht="21" customHeight="1" x14ac:dyDescent="0.2">
      <c r="A483" s="46"/>
      <c r="B483" s="46"/>
      <c r="C483" s="46"/>
      <c r="D483" s="46"/>
      <c r="E483" s="46"/>
      <c r="F483" s="47"/>
      <c r="G483" s="47"/>
      <c r="H483" s="48"/>
      <c r="I483" s="48"/>
    </row>
    <row r="484" spans="1:9" ht="21" customHeight="1" x14ac:dyDescent="0.2">
      <c r="A484" s="46"/>
      <c r="B484" s="46"/>
      <c r="C484" s="46"/>
      <c r="D484" s="46"/>
      <c r="E484" s="46"/>
      <c r="F484" s="47"/>
      <c r="G484" s="47"/>
      <c r="H484" s="48"/>
      <c r="I484" s="48"/>
    </row>
    <row r="485" spans="1:9" ht="21" customHeight="1" x14ac:dyDescent="0.2">
      <c r="A485" s="46"/>
      <c r="B485" s="46"/>
      <c r="C485" s="46"/>
      <c r="D485" s="46"/>
      <c r="E485" s="46"/>
      <c r="F485" s="47"/>
      <c r="G485" s="47"/>
      <c r="H485" s="48"/>
      <c r="I485" s="48"/>
    </row>
    <row r="486" spans="1:9" ht="21" customHeight="1" x14ac:dyDescent="0.2">
      <c r="A486" s="46"/>
      <c r="B486" s="46"/>
      <c r="C486" s="46"/>
      <c r="D486" s="46"/>
      <c r="E486" s="46"/>
      <c r="F486" s="47"/>
      <c r="G486" s="47"/>
      <c r="H486" s="48"/>
      <c r="I486" s="48"/>
    </row>
    <row r="487" spans="1:9" ht="21" customHeight="1" x14ac:dyDescent="0.2">
      <c r="A487" s="46"/>
      <c r="B487" s="46"/>
      <c r="C487" s="46"/>
      <c r="D487" s="46"/>
      <c r="E487" s="46"/>
      <c r="F487" s="47"/>
      <c r="G487" s="47"/>
      <c r="H487" s="48"/>
      <c r="I487" s="48"/>
    </row>
    <row r="488" spans="1:9" ht="21" customHeight="1" x14ac:dyDescent="0.2">
      <c r="A488" s="46"/>
      <c r="B488" s="46"/>
      <c r="C488" s="46"/>
      <c r="D488" s="46"/>
      <c r="E488" s="46"/>
      <c r="F488" s="47"/>
      <c r="G488" s="47"/>
      <c r="H488" s="48"/>
      <c r="I488" s="48"/>
    </row>
    <row r="489" spans="1:9" ht="21" customHeight="1" x14ac:dyDescent="0.2">
      <c r="A489" s="46"/>
      <c r="B489" s="46"/>
      <c r="C489" s="46"/>
      <c r="D489" s="46"/>
      <c r="E489" s="46"/>
      <c r="F489" s="47"/>
      <c r="G489" s="47"/>
      <c r="H489" s="48"/>
      <c r="I489" s="48"/>
    </row>
    <row r="490" spans="1:9" ht="21" customHeight="1" x14ac:dyDescent="0.2">
      <c r="A490" s="46"/>
      <c r="B490" s="46"/>
      <c r="C490" s="46"/>
      <c r="D490" s="46"/>
      <c r="E490" s="46"/>
      <c r="F490" s="47"/>
      <c r="G490" s="47"/>
      <c r="H490" s="48"/>
      <c r="I490" s="48"/>
    </row>
    <row r="491" spans="1:9" ht="21" customHeight="1" x14ac:dyDescent="0.2">
      <c r="A491" s="46"/>
      <c r="B491" s="46"/>
      <c r="C491" s="46"/>
      <c r="D491" s="46"/>
      <c r="E491" s="46"/>
      <c r="F491" s="47"/>
      <c r="G491" s="47"/>
      <c r="H491" s="48"/>
      <c r="I491" s="48"/>
    </row>
    <row r="492" spans="1:9" ht="21" customHeight="1" x14ac:dyDescent="0.2">
      <c r="A492" s="46"/>
      <c r="B492" s="46"/>
      <c r="C492" s="46"/>
      <c r="D492" s="46"/>
      <c r="E492" s="46"/>
      <c r="F492" s="47"/>
      <c r="G492" s="47"/>
      <c r="H492" s="48"/>
      <c r="I492" s="48"/>
    </row>
    <row r="493" spans="1:9" ht="21" customHeight="1" x14ac:dyDescent="0.2">
      <c r="A493" s="46"/>
      <c r="B493" s="46"/>
      <c r="C493" s="46"/>
      <c r="D493" s="46"/>
      <c r="E493" s="46"/>
      <c r="F493" s="47"/>
      <c r="G493" s="47"/>
      <c r="H493" s="48"/>
      <c r="I493" s="48"/>
    </row>
    <row r="494" spans="1:9" ht="21" customHeight="1" x14ac:dyDescent="0.2">
      <c r="A494" s="46"/>
      <c r="B494" s="46"/>
      <c r="C494" s="46"/>
      <c r="D494" s="46"/>
      <c r="E494" s="46"/>
      <c r="F494" s="47"/>
      <c r="G494" s="47"/>
      <c r="H494" s="48"/>
      <c r="I494" s="48"/>
    </row>
    <row r="495" spans="1:9" ht="21" customHeight="1" x14ac:dyDescent="0.2">
      <c r="A495" s="46"/>
      <c r="B495" s="46"/>
      <c r="C495" s="46"/>
      <c r="D495" s="46"/>
      <c r="E495" s="46"/>
      <c r="F495" s="47"/>
      <c r="G495" s="47"/>
      <c r="H495" s="48"/>
      <c r="I495" s="48"/>
    </row>
    <row r="496" spans="1:9" ht="21" customHeight="1" x14ac:dyDescent="0.2">
      <c r="A496" s="46"/>
      <c r="B496" s="46"/>
      <c r="C496" s="46"/>
      <c r="D496" s="46"/>
      <c r="E496" s="46"/>
      <c r="F496" s="47"/>
      <c r="G496" s="47"/>
      <c r="H496" s="48"/>
      <c r="I496" s="48"/>
    </row>
    <row r="497" spans="1:9" ht="21" customHeight="1" x14ac:dyDescent="0.2">
      <c r="A497" s="46"/>
      <c r="B497" s="46"/>
      <c r="C497" s="46"/>
      <c r="D497" s="46"/>
      <c r="E497" s="46"/>
      <c r="F497" s="47"/>
      <c r="G497" s="47"/>
      <c r="H497" s="48"/>
      <c r="I497" s="48"/>
    </row>
    <row r="498" spans="1:9" ht="21" customHeight="1" x14ac:dyDescent="0.2">
      <c r="A498" s="46"/>
      <c r="B498" s="46"/>
      <c r="C498" s="46"/>
      <c r="D498" s="46"/>
      <c r="E498" s="46"/>
      <c r="F498" s="47"/>
      <c r="G498" s="47"/>
      <c r="H498" s="48"/>
      <c r="I498" s="48"/>
    </row>
    <row r="499" spans="1:9" ht="21" customHeight="1" x14ac:dyDescent="0.2">
      <c r="A499" s="46"/>
      <c r="B499" s="46"/>
      <c r="C499" s="46"/>
      <c r="D499" s="46"/>
      <c r="E499" s="46"/>
      <c r="F499" s="47"/>
      <c r="G499" s="47"/>
      <c r="H499" s="48"/>
      <c r="I499" s="48"/>
    </row>
    <row r="500" spans="1:9" ht="21" customHeight="1" x14ac:dyDescent="0.2">
      <c r="A500" s="46"/>
      <c r="B500" s="46"/>
      <c r="C500" s="46"/>
      <c r="D500" s="46"/>
      <c r="E500" s="46"/>
      <c r="F500" s="47"/>
      <c r="G500" s="47"/>
      <c r="H500" s="48"/>
      <c r="I500" s="48"/>
    </row>
    <row r="501" spans="1:9" ht="21" customHeight="1" x14ac:dyDescent="0.2">
      <c r="A501" s="46"/>
      <c r="B501" s="46"/>
      <c r="C501" s="46"/>
      <c r="D501" s="46"/>
      <c r="E501" s="46"/>
      <c r="F501" s="47"/>
      <c r="G501" s="47"/>
      <c r="H501" s="48"/>
      <c r="I501" s="48"/>
    </row>
    <row r="502" spans="1:9" ht="21" customHeight="1" x14ac:dyDescent="0.2">
      <c r="A502" s="46"/>
      <c r="B502" s="46"/>
      <c r="C502" s="46"/>
      <c r="D502" s="46"/>
      <c r="E502" s="46"/>
      <c r="F502" s="47"/>
      <c r="G502" s="47"/>
      <c r="H502" s="48"/>
      <c r="I502" s="48"/>
    </row>
    <row r="503" spans="1:9" ht="21" customHeight="1" x14ac:dyDescent="0.2">
      <c r="A503" s="46"/>
      <c r="B503" s="46"/>
      <c r="C503" s="46"/>
      <c r="D503" s="46"/>
      <c r="E503" s="46"/>
      <c r="F503" s="47"/>
      <c r="G503" s="47"/>
      <c r="H503" s="48"/>
      <c r="I503" s="48"/>
    </row>
    <row r="504" spans="1:9" ht="21" customHeight="1" x14ac:dyDescent="0.2">
      <c r="A504" s="46"/>
      <c r="B504" s="46"/>
      <c r="C504" s="46"/>
      <c r="D504" s="46"/>
      <c r="E504" s="46"/>
      <c r="F504" s="47"/>
      <c r="G504" s="47"/>
      <c r="H504" s="48"/>
      <c r="I504" s="48"/>
    </row>
    <row r="505" spans="1:9" ht="21" customHeight="1" x14ac:dyDescent="0.2">
      <c r="A505" s="46"/>
      <c r="B505" s="46"/>
      <c r="C505" s="46"/>
      <c r="D505" s="46"/>
      <c r="E505" s="46"/>
      <c r="F505" s="47"/>
      <c r="G505" s="47"/>
      <c r="H505" s="48"/>
      <c r="I505" s="48"/>
    </row>
    <row r="506" spans="1:9" ht="21" customHeight="1" x14ac:dyDescent="0.2">
      <c r="A506" s="46"/>
      <c r="B506" s="46"/>
      <c r="C506" s="46"/>
      <c r="D506" s="46"/>
      <c r="E506" s="46"/>
      <c r="F506" s="47"/>
      <c r="G506" s="47"/>
      <c r="H506" s="48"/>
      <c r="I506" s="48"/>
    </row>
    <row r="507" spans="1:9" ht="21" customHeight="1" x14ac:dyDescent="0.2">
      <c r="A507" s="46"/>
      <c r="B507" s="46"/>
      <c r="C507" s="46"/>
      <c r="D507" s="46"/>
      <c r="E507" s="46"/>
      <c r="F507" s="47"/>
      <c r="G507" s="47"/>
      <c r="H507" s="48"/>
      <c r="I507" s="48"/>
    </row>
    <row r="508" spans="1:9" ht="21" customHeight="1" x14ac:dyDescent="0.2">
      <c r="A508" s="46"/>
      <c r="B508" s="46"/>
      <c r="C508" s="46"/>
      <c r="D508" s="46"/>
      <c r="E508" s="46"/>
      <c r="F508" s="47"/>
      <c r="G508" s="47"/>
      <c r="H508" s="48"/>
      <c r="I508" s="48"/>
    </row>
    <row r="509" spans="1:9" ht="21" customHeight="1" x14ac:dyDescent="0.2">
      <c r="A509" s="49"/>
      <c r="B509" s="49"/>
      <c r="C509" s="49"/>
      <c r="D509" s="49"/>
      <c r="E509" s="49"/>
      <c r="F509" s="50"/>
      <c r="G509" s="50"/>
      <c r="H509" s="51"/>
      <c r="I509" s="51"/>
    </row>
  </sheetData>
  <mergeCells count="4">
    <mergeCell ref="A1:I1"/>
    <mergeCell ref="A2:I2"/>
    <mergeCell ref="B5:I6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Backlog</vt:lpstr>
      <vt:lpstr>Burndown Chart</vt:lpstr>
      <vt:lpstr>Sprint 1</vt:lpstr>
      <vt:lpstr>Sprint 2</vt:lpstr>
      <vt:lpstr>Sprint 3</vt:lpstr>
      <vt:lpstr>Sprint 4</vt:lpstr>
      <vt:lpstr>Sprint 5</vt:lpstr>
      <vt:lpstr>Sprint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Sanford, Owen</cp:lastModifiedBy>
  <dcterms:modified xsi:type="dcterms:W3CDTF">2026-10-14T17:37:55Z</dcterms:modified>
</cp:coreProperties>
</file>