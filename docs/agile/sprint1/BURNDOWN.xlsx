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b7881960c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rndown" sheetId="1" r:id="R57dc0fe3a9a24867"/>
    <x:sheet xmlns:r="http://schemas.openxmlformats.org/officeDocument/2006/relationships" name="Chart Data" sheetId="2" r:id="Ra65d4252564943f0"/>
    <x:sheet xmlns:r="http://schemas.openxmlformats.org/officeDocument/2006/relationships" name="Backlog" sheetId="3" r:id="Rd81df8720ac64489"/>
    <x:sheet xmlns:r="http://schemas.openxmlformats.org/officeDocument/2006/relationships" name="Work Log" sheetId="4" r:id="R874f8572864e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#,##0.0"/>
    <x:numFmt numFmtId="202" formatCode="&quot;#&quot;0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sz val="10"/>
      <x:color rgb="FF52617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/>
    <x:xf numFmtId="202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d88fb61014ac3" /><Relationship Type="http://schemas.openxmlformats.org/officeDocument/2006/relationships/theme" Target="/xl/theme/theme1.xml" Id="R68a2723c824b43c6" /><Relationship Type="http://schemas.openxmlformats.org/officeDocument/2006/relationships/sharedStrings" Target="/xl/sharedStrings.xml" Id="Rca40c370d74243da" /><Relationship Type="http://schemas.openxmlformats.org/officeDocument/2006/relationships/worksheet" Target="/xl/worksheets/sheet1.xml" Id="R57dc0fe3a9a24867" /><Relationship Type="http://schemas.openxmlformats.org/officeDocument/2006/relationships/worksheet" Target="/xl/worksheets/sheet2.xml" Id="Ra65d4252564943f0" /><Relationship Type="http://schemas.openxmlformats.org/officeDocument/2006/relationships/worksheet" Target="/xl/worksheets/sheet3.xml" Id="Rd81df8720ac64489" /><Relationship Type="http://schemas.openxmlformats.org/officeDocument/2006/relationships/worksheet" Target="/xl/worksheets/sheet4.xml" Id="R874f8572864e42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8b76d161cb4f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S1 remaining work units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spPr>
            <a:ln xmlns:a="http://schemas.openxmlformats.org/drawingml/2006/main" w="19050">
              <a:solidFill>
                <a:srgbClr val="136F63"/>
              </a:solidFill>
              <a:prstDash val="solid"/>
            </a:ln>
          </c:spPr>
          <c:marker>
            <c:symbol val="none"/>
          </c:marker>
          <c:cat>
            <c:strRef>
              <c:f>'Chart Data'!$A$2:$A$203</c:f>
              <c:strCache>
                <c:ptCount val="0"/>
              </c:strCache>
            </c:strRef>
          </c:cat>
          <c:val>
            <c:numRef>
              <c:f>'Chart Data'!$B$2:$B$203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spPr>
            <a:ln xmlns:a="http://schemas.openxmlformats.org/drawingml/2006/main"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'Chart Data'!$A$2:$A$203</c:f>
              <c:strCache>
                <c:ptCount val="0"/>
              </c:strCache>
            </c:strRef>
          </c:cat>
          <c:val>
            <c:numRef>
              <c:f>'Chart Data'!$C$2:$C$203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Work units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8b76d161cb4f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c7a75222c2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3" hidden="0" customWidth="1"/>
    <x:col min="5" max="5" width="2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7" customHeight="1">
      <x:c r="A1" s="2" t="str">
        <x:v>Project burndown S1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This workbook copy focuses on one sprint. The project workbook is the shared source.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9" t="str">
        <x:v>Sprint</x:v>
      </x:c>
      <x:c r="B4" s="9" t="str">
        <x:v>Start date</x:v>
      </x:c>
      <x:c r="C4" s="9" t="str">
        <x:v>End date</x:v>
      </x:c>
      <x:c r="D4" s="9" t="str">
        <x:v>Planned work units</x:v>
      </x:c>
      <x:c r="E4" s="9" t="str">
        <x:v>Remaining work units</x:v>
      </x:c>
      <x:c r="F4" s="18" t="str">
        <x:v>Solid green line: actual work remaining. Dashed gray line: ideal burndown. Add estimates and dated work entries to populate each chart.</x:v>
      </x:c>
      <x:c r="G4" s="18"/>
      <x:c r="H4" s="18"/>
      <x:c r="I4" s="18"/>
      <x:c r="J4" s="18"/>
      <x:c r="K4" s="18"/>
    </x:row>
    <x:row r="5">
      <x:c r="A5" s="13" t="str">
        <x:v>S1</x:v>
      </x:c>
      <x:c r="B5" s="14"/>
      <x:c r="C5" s="14"/>
      <x:c r="D5" s="15" t="str">
        <x:f>IF(SUMIF('Backlog'!$B$6:$B$25,A5,'Backlog'!$E$6:$E$25)=0,"",SUMIF('Backlog'!$B$6:$B$25,A5,'Backlog'!$E$6:$E$25))</x:f>
      </x:c>
      <x:c r="E5" s="15" t="str">
        <x:f>IF(D5="","",MAX(0,D5-SUMIF('Work Log'!$E$6:$E$205,A5,'Work Log'!$D$6:$D$205)))</x:f>
      </x:c>
      <x:c r="F5" s="18"/>
      <x:c r="G5" s="18"/>
      <x:c r="H5" s="18"/>
      <x:c r="I5" s="18"/>
      <x:c r="J5" s="18"/>
      <x:c r="K5" s="18"/>
    </x:row>
    <x:row r="6">
      <x:c r="A6" s="13" t="str">
        <x:v>S2</x:v>
      </x:c>
      <x:c r="B6" s="14" t="n">
        <x:v>46282</x:v>
      </x:c>
      <x:c r="C6" s="14" t="n">
        <x:v>46285</x:v>
      </x:c>
      <x:c r="D6" s="15" t="str">
        <x:f>IF(SUMIF('Backlog'!$B$6:$B$25,A6,'Backlog'!$E$6:$E$25)=0,"",SUMIF('Backlog'!$B$6:$B$25,A6,'Backlog'!$E$6:$E$25))</x:f>
      </x:c>
      <x:c r="E6" s="15" t="str">
        <x:f>IF(D6="","",MAX(0,D6-SUMIF('Work Log'!$E$6:$E$205,A6,'Work Log'!$D$6:$D$205)))</x:f>
      </x:c>
      <x:c r="F6" s="18"/>
      <x:c r="G6" s="18"/>
      <x:c r="H6" s="18"/>
      <x:c r="I6" s="18"/>
      <x:c r="J6" s="18"/>
      <x:c r="K6" s="18"/>
    </x:row>
    <x:row r="7">
      <x:c r="A7" s="13" t="str">
        <x:v>S3</x:v>
      </x:c>
      <x:c r="B7" s="14"/>
      <x:c r="C7" s="14"/>
      <x:c r="D7" s="15" t="str">
        <x:f>IF(SUMIF('Backlog'!$B$6:$B$25,A7,'Backlog'!$E$6:$E$25)=0,"",SUMIF('Backlog'!$B$6:$B$25,A7,'Backlog'!$E$6:$E$25))</x:f>
      </x:c>
      <x:c r="E7" s="15" t="str">
        <x:f>IF(D7="","",MAX(0,D7-SUMIF('Work Log'!$E$6:$E$205,A7,'Work Log'!$D$6:$D$205)))</x:f>
      </x:c>
      <x:c r="F7" s="18"/>
      <x:c r="G7" s="18"/>
      <x:c r="H7" s="18"/>
      <x:c r="I7" s="18"/>
      <x:c r="J7" s="18"/>
      <x:c r="K7" s="18"/>
    </x:row>
    <x:row r="8">
      <x:c r="A8" s="13" t="str">
        <x:v>S4</x:v>
      </x:c>
      <x:c r="B8" s="14"/>
      <x:c r="C8" s="14"/>
      <x:c r="D8" s="15" t="str">
        <x:f>IF(SUMIF('Backlog'!$B$6:$B$25,A8,'Backlog'!$E$6:$E$25)=0,"",SUMIF('Backlog'!$B$6:$B$25,A8,'Backlog'!$E$6:$E$25))</x:f>
      </x:c>
      <x:c r="E8" s="15" t="str">
        <x:f>IF(D8="","",MAX(0,D8-SUMIF('Work Log'!$E$6:$E$205,A8,'Work Log'!$D$6:$D$205)))</x:f>
      </x:c>
    </x:row>
    <x:row r="9">
      <x:c r="A9" s="13" t="str">
        <x:v>S5</x:v>
      </x:c>
      <x:c r="B9" s="14"/>
      <x:c r="C9" s="14"/>
      <x:c r="D9" s="15" t="str">
        <x:f>IF(SUMIF('Backlog'!$B$6:$B$25,A9,'Backlog'!$E$6:$E$25)=0,"",SUMIF('Backlog'!$B$6:$B$25,A9,'Backlog'!$E$6:$E$25))</x:f>
      </x:c>
      <x:c r="E9" s="15" t="str">
        <x:f>IF(D9="","",MAX(0,D9-SUMIF('Work Log'!$E$6:$E$205,A9,'Work Log'!$D$6:$D$205)))</x:f>
      </x:c>
    </x:row>
  </x:sheetData>
  <x:mergeCells>
    <x:mergeCell ref="A2:K2"/>
    <x:mergeCell ref="F4:K7"/>
  </x:mergeCells>
  <x:pageMargins left="0.7" right="0.7" top="0.75" bottom="0.75" header="0.3" footer="0.3"/>
  <x:drawing xmlns:r="http://schemas.openxmlformats.org/officeDocument/2006/relationships" r:id="R32c7a75222c24f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0" customHeight="1">
      <x:c r="A1" s="9" t="str">
        <x:v>S1 chart date</x:v>
      </x:c>
      <x:c r="B1" s="9" t="str">
        <x:v>S1 actual</x:v>
      </x:c>
      <x:c r="C1" s="9" t="str">
        <x:v>S1 ideal</x:v>
      </x:c>
      <x:c r="D1" s="9" t="str">
        <x:v>S1 date value</x:v>
      </x:c>
      <x:c r="E1" s="9" t="str">
        <x:v>S2 chart date</x:v>
      </x:c>
      <x:c r="F1" s="9" t="str">
        <x:v>S2 actual</x:v>
      </x:c>
      <x:c r="G1" s="9" t="str">
        <x:v>S2 ideal</x:v>
      </x:c>
      <x:c r="H1" s="9" t="str">
        <x:v>S2 date value</x:v>
      </x:c>
      <x:c r="I1" s="9" t="str">
        <x:v>S3 chart date</x:v>
      </x:c>
      <x:c r="J1" s="9" t="str">
        <x:v>S3 actual</x:v>
      </x:c>
      <x:c r="K1" s="9" t="str">
        <x:v>S3 ideal</x:v>
      </x:c>
      <x:c r="L1" s="9" t="str">
        <x:v>S3 date value</x:v>
      </x:c>
      <x:c r="M1" s="9" t="str">
        <x:v>S4 chart date</x:v>
      </x:c>
      <x:c r="N1" s="9" t="str">
        <x:v>S4 actual</x:v>
      </x:c>
      <x:c r="O1" s="9" t="str">
        <x:v>S4 ideal</x:v>
      </x:c>
      <x:c r="P1" s="9" t="str">
        <x:v>S4 date value</x:v>
      </x:c>
      <x:c r="Q1" s="9" t="str">
        <x:v>S5 chart date</x:v>
      </x:c>
      <x:c r="R1" s="9" t="str">
        <x:v>S5 actual</x:v>
      </x:c>
      <x:c r="S1" s="9" t="str">
        <x:v>S5 ideal</x:v>
      </x:c>
      <x:c r="T1" s="9" t="str">
        <x:v>S5 date value</x:v>
      </x:c>
    </x:row>
    <x:row r="2">
      <x:c r="A2" t="str">
        <x:f>IF(D2="","",TEXT(D2,"mm/dd/yy"))</x:f>
      </x:c>
      <x:c r="B2" s="11" t="str">
        <x:f>IF(SUMIF('Backlog'!$B$6:$B$25,"S1",'Backlog'!$E$6:$E$25)=0,"",SUMIF('Backlog'!$B$6:$B$25,"S1",'Backlog'!$E$6:$E$25))</x:f>
      </x:c>
      <x:c r="C2" s="11" t="str">
        <x:f>IF(SUMIF('Backlog'!$B$6:$B$25,"S1",'Backlog'!$E$6:$E$25)=0,"",SUMIF('Backlog'!$B$6:$B$25,"S1",'Backlog'!$E$6:$E$25))</x:f>
      </x:c>
      <x:c r="D2" s="10" t="str">
        <x:f>IF(OR(Burndown!$B$5="",Burndown!$C$5=""),"",Burndown!$B$5)</x:f>
      </x:c>
      <x:c r="E2" t="str">
        <x:f>IF(H2="","",TEXT(H2,"mm/dd/yy"))</x:f>
        <x:v>09/17/26</x:v>
      </x:c>
      <x:c r="F2" s="11" t="str">
        <x:f>IF(SUMIF('Backlog'!$B$6:$B$25,"S2",'Backlog'!$E$6:$E$25)=0,"",SUMIF('Backlog'!$B$6:$B$25,"S2",'Backlog'!$E$6:$E$25))</x:f>
      </x:c>
      <x:c r="G2" s="11" t="str">
        <x:f>IF(SUMIF('Backlog'!$B$6:$B$25,"S2",'Backlog'!$E$6:$E$25)=0,"",SUMIF('Backlog'!$B$6:$B$25,"S2",'Backlog'!$E$6:$E$25))</x:f>
      </x:c>
      <x:c r="H2" s="10" t="n">
        <x:f>IF(OR(Burndown!$B$6="",Burndown!$C$6=""),"",Burndown!$B$6)</x:f>
        <x:v>46282</x:v>
      </x:c>
      <x:c r="I2" t="str">
        <x:f>IF(L2="","",TEXT(L2,"mm/dd/yy"))</x:f>
      </x:c>
      <x:c r="J2" s="11" t="str">
        <x:f>IF(SUMIF('Backlog'!$B$6:$B$25,"S3",'Backlog'!$E$6:$E$25)=0,"",SUMIF('Backlog'!$B$6:$B$25,"S3",'Backlog'!$E$6:$E$25))</x:f>
      </x:c>
      <x:c r="K2" s="11" t="str">
        <x:f>IF(SUMIF('Backlog'!$B$6:$B$25,"S3",'Backlog'!$E$6:$E$25)=0,"",SUMIF('Backlog'!$B$6:$B$25,"S3",'Backlog'!$E$6:$E$25))</x:f>
      </x:c>
      <x:c r="L2" s="10" t="str">
        <x:f>IF(OR(Burndown!$B$7="",Burndown!$C$7=""),"",Burndown!$B$7)</x:f>
      </x:c>
      <x:c r="M2" t="str">
        <x:f>IF(P2="","",TEXT(P2,"mm/dd/yy"))</x:f>
      </x:c>
      <x:c r="N2" s="11" t="str">
        <x:f>IF(SUMIF('Backlog'!$B$6:$B$25,"S4",'Backlog'!$E$6:$E$25)=0,"",SUMIF('Backlog'!$B$6:$B$25,"S4",'Backlog'!$E$6:$E$25))</x:f>
      </x:c>
      <x:c r="O2" s="11" t="str">
        <x:f>IF(SUMIF('Backlog'!$B$6:$B$25,"S4",'Backlog'!$E$6:$E$25)=0,"",SUMIF('Backlog'!$B$6:$B$25,"S4",'Backlog'!$E$6:$E$25))</x:f>
      </x:c>
      <x:c r="P2" s="10" t="str">
        <x:f>IF(OR(Burndown!$B$8="",Burndown!$C$8=""),"",Burndown!$B$8)</x:f>
      </x:c>
      <x:c r="Q2" t="str">
        <x:f>IF(T2="","",TEXT(T2,"mm/dd/yy"))</x:f>
      </x:c>
      <x:c r="R2" s="11" t="str">
        <x:f>IF(SUMIF('Backlog'!$B$6:$B$25,"S5",'Backlog'!$E$6:$E$25)=0,"",SUMIF('Backlog'!$B$6:$B$25,"S5",'Backlog'!$E$6:$E$25))</x:f>
      </x:c>
      <x:c r="S2" s="11" t="str">
        <x:f>IF(SUMIF('Backlog'!$B$6:$B$25,"S5",'Backlog'!$E$6:$E$25)=0,"",SUMIF('Backlog'!$B$6:$B$25,"S5",'Backlog'!$E$6:$E$25))</x:f>
      </x:c>
      <x:c r="T2" s="10" t="str">
        <x:f>IF(OR(Burndown!$B$9="",Burndown!$C$9=""),"",Burndown!$B$9)</x:f>
      </x:c>
    </x:row>
    <x:row r="3">
      <x:c r="A3" t="str">
        <x:f>IF(D3="","",TEXT(D3,"mm/dd/yy"))</x:f>
      </x:c>
      <x:c r="B3" s="11" t="str">
        <x:f>IF(OR(D3="",SUMIF('Backlog'!$B$6:$B$25,"S1",'Backlog'!$E$6:$E$25)=0,Burndown!$B$5="",Burndown!$C$5=""),"",MAX(0,SUMIF('Backlog'!$B$6:$B$25,"S1",'Backlog'!$E$6:$E$25)-SUMIFS('Work Log'!$D$6:$D$205,'Work Log'!$E$6:$E$205,"S1",'Work Log'!$A$6:$A$205,"&lt;="&amp;D3)))</x:f>
      </x:c>
      <x:c r="C3" s="11" t="str">
        <x:f>IF(OR(D3="",SUMIF('Backlog'!$B$6:$B$25,"S1",'Backlog'!$E$6:$E$25)=0,Burndown!$B$5="",Burndown!$C$5="",Burndown!$C$5&lt;=Burndown!$B$5),"",MAX(0,SUMIF('Backlog'!$B$6:$B$25,"S1",'Backlog'!$E$6:$E$25)*(Burndown!$C$5-D3)/(Burndown!$C$5-Burndown!$B$5)))</x:f>
      </x:c>
      <x:c r="D3" s="10" t="str">
        <x:f>IF(OR('Work Log'!$E$6&lt;&gt;"S1",'Work Log'!$A$6=""),"",'Work Log'!$A$6)</x:f>
      </x:c>
      <x:c r="E3" t="str">
        <x:f>IF(H3="","",TEXT(H3,"mm/dd/yy"))</x:f>
      </x:c>
      <x:c r="F3" s="11" t="str">
        <x:f>IF(OR(H3="",SUMIF('Backlog'!$B$6:$B$25,"S2",'Backlog'!$E$6:$E$25)=0,Burndown!$B$6="",Burndown!$C$6=""),"",MAX(0,SUMIF('Backlog'!$B$6:$B$25,"S2",'Backlog'!$E$6:$E$25)-SUMIFS('Work Log'!$D$6:$D$205,'Work Log'!$E$6:$E$205,"S2",'Work Log'!$A$6:$A$205,"&lt;="&amp;H3)))</x:f>
      </x:c>
      <x:c r="G3" s="11" t="str">
        <x:f>IF(OR(H3="",SUMIF('Backlog'!$B$6:$B$25,"S2",'Backlog'!$E$6:$E$25)=0,Burndown!$B$6="",Burndown!$C$6="",Burndown!$C$6&lt;=Burndown!$B$6),"",MAX(0,SUMIF('Backlog'!$B$6:$B$25,"S2",'Backlog'!$E$6:$E$25)*(Burndown!$C$6-H3)/(Burndown!$C$6-Burndown!$B$6)))</x:f>
      </x:c>
      <x:c r="H3" s="10" t="str">
        <x:f>IF(OR('Work Log'!$E$6&lt;&gt;"S2",'Work Log'!$A$6=""),"",'Work Log'!$A$6)</x:f>
      </x:c>
      <x:c r="I3" t="str">
        <x:f>IF(L3="","",TEXT(L3,"mm/dd/yy"))</x:f>
      </x:c>
      <x:c r="J3" s="11" t="str">
        <x:f>IF(OR(L3="",SUMIF('Backlog'!$B$6:$B$25,"S3",'Backlog'!$E$6:$E$25)=0,Burndown!$B$7="",Burndown!$C$7=""),"",MAX(0,SUMIF('Backlog'!$B$6:$B$25,"S3",'Backlog'!$E$6:$E$25)-SUMIFS('Work Log'!$D$6:$D$205,'Work Log'!$E$6:$E$205,"S3",'Work Log'!$A$6:$A$205,"&lt;="&amp;L3)))</x:f>
      </x:c>
      <x:c r="K3" s="11" t="str">
        <x:f>IF(OR(L3="",SUMIF('Backlog'!$B$6:$B$25,"S3",'Backlog'!$E$6:$E$25)=0,Burndown!$B$7="",Burndown!$C$7="",Burndown!$C$7&lt;=Burndown!$B$7),"",MAX(0,SUMIF('Backlog'!$B$6:$B$25,"S3",'Backlog'!$E$6:$E$25)*(Burndown!$C$7-L3)/(Burndown!$C$7-Burndown!$B$7)))</x:f>
      </x:c>
      <x:c r="L3" s="10" t="str">
        <x:f>IF(OR('Work Log'!$E$6&lt;&gt;"S3",'Work Log'!$A$6=""),"",'Work Log'!$A$6)</x:f>
      </x:c>
      <x:c r="M3" t="str">
        <x:f>IF(P3="","",TEXT(P3,"mm/dd/yy"))</x:f>
      </x:c>
      <x:c r="N3" s="11" t="str">
        <x:f>IF(OR(P3="",SUMIF('Backlog'!$B$6:$B$25,"S4",'Backlog'!$E$6:$E$25)=0,Burndown!$B$8="",Burndown!$C$8=""),"",MAX(0,SUMIF('Backlog'!$B$6:$B$25,"S4",'Backlog'!$E$6:$E$25)-SUMIFS('Work Log'!$D$6:$D$205,'Work Log'!$E$6:$E$205,"S4",'Work Log'!$A$6:$A$205,"&lt;="&amp;P3)))</x:f>
      </x:c>
      <x:c r="O3" s="11" t="str">
        <x:f>IF(OR(P3="",SUMIF('Backlog'!$B$6:$B$25,"S4",'Backlog'!$E$6:$E$25)=0,Burndown!$B$8="",Burndown!$C$8="",Burndown!$C$8&lt;=Burndown!$B$8),"",MAX(0,SUMIF('Backlog'!$B$6:$B$25,"S4",'Backlog'!$E$6:$E$25)*(Burndown!$C$8-P3)/(Burndown!$C$8-Burndown!$B$8)))</x:f>
      </x:c>
      <x:c r="P3" s="10" t="str">
        <x:f>IF(OR('Work Log'!$E$6&lt;&gt;"S4",'Work Log'!$A$6=""),"",'Work Log'!$A$6)</x:f>
      </x:c>
      <x:c r="Q3" t="str">
        <x:f>IF(T3="","",TEXT(T3,"mm/dd/yy"))</x:f>
      </x:c>
      <x:c r="R3" s="11" t="str">
        <x:f>IF(OR(T3="",SUMIF('Backlog'!$B$6:$B$25,"S5",'Backlog'!$E$6:$E$25)=0,Burndown!$B$9="",Burndown!$C$9=""),"",MAX(0,SUMIF('Backlog'!$B$6:$B$25,"S5",'Backlog'!$E$6:$E$25)-SUMIFS('Work Log'!$D$6:$D$205,'Work Log'!$E$6:$E$205,"S5",'Work Log'!$A$6:$A$205,"&lt;="&amp;T3)))</x:f>
      </x:c>
      <x:c r="S3" s="11" t="str">
        <x:f>IF(OR(T3="",SUMIF('Backlog'!$B$6:$B$25,"S5",'Backlog'!$E$6:$E$25)=0,Burndown!$B$9="",Burndown!$C$9="",Burndown!$C$9&lt;=Burndown!$B$9),"",MAX(0,SUMIF('Backlog'!$B$6:$B$25,"S5",'Backlog'!$E$6:$E$25)*(Burndown!$C$9-T3)/(Burndown!$C$9-Burndown!$B$9)))</x:f>
      </x:c>
      <x:c r="T3" s="10" t="str">
        <x:f>IF(OR('Work Log'!$E$6&lt;&gt;"S5",'Work Log'!$A$6=""),"",'Work Log'!$A$6)</x:f>
      </x:c>
    </x:row>
    <x:row r="4">
      <x:c r="A4" t="str">
        <x:f>IF(D4="","",TEXT(D4,"mm/dd/yy"))</x:f>
      </x:c>
      <x:c r="B4" s="11" t="str">
        <x:f>IF(OR(D4="",SUMIF('Backlog'!$B$6:$B$25,"S1",'Backlog'!$E$6:$E$25)=0,Burndown!$B$5="",Burndown!$C$5=""),"",MAX(0,SUMIF('Backlog'!$B$6:$B$25,"S1",'Backlog'!$E$6:$E$25)-SUMIFS('Work Log'!$D$6:$D$205,'Work Log'!$E$6:$E$205,"S1",'Work Log'!$A$6:$A$205,"&lt;="&amp;D4)))</x:f>
      </x:c>
      <x:c r="C4" s="11" t="str">
        <x:f>IF(OR(D4="",SUMIF('Backlog'!$B$6:$B$25,"S1",'Backlog'!$E$6:$E$25)=0,Burndown!$B$5="",Burndown!$C$5="",Burndown!$C$5&lt;=Burndown!$B$5),"",MAX(0,SUMIF('Backlog'!$B$6:$B$25,"S1",'Backlog'!$E$6:$E$25)*(Burndown!$C$5-D4)/(Burndown!$C$5-Burndown!$B$5)))</x:f>
      </x:c>
      <x:c r="D4" s="10" t="str">
        <x:f>IF(OR('Work Log'!$E$7&lt;&gt;"S1",'Work Log'!$A$7=""),"",'Work Log'!$A$7)</x:f>
      </x:c>
      <x:c r="E4" t="str">
        <x:f>IF(H4="","",TEXT(H4,"mm/dd/yy"))</x:f>
      </x:c>
      <x:c r="F4" s="11" t="str">
        <x:f>IF(OR(H4="",SUMIF('Backlog'!$B$6:$B$25,"S2",'Backlog'!$E$6:$E$25)=0,Burndown!$B$6="",Burndown!$C$6=""),"",MAX(0,SUMIF('Backlog'!$B$6:$B$25,"S2",'Backlog'!$E$6:$E$25)-SUMIFS('Work Log'!$D$6:$D$205,'Work Log'!$E$6:$E$205,"S2",'Work Log'!$A$6:$A$205,"&lt;="&amp;H4)))</x:f>
      </x:c>
      <x:c r="G4" s="11" t="str">
        <x:f>IF(OR(H4="",SUMIF('Backlog'!$B$6:$B$25,"S2",'Backlog'!$E$6:$E$25)=0,Burndown!$B$6="",Burndown!$C$6="",Burndown!$C$6&lt;=Burndown!$B$6),"",MAX(0,SUMIF('Backlog'!$B$6:$B$25,"S2",'Backlog'!$E$6:$E$25)*(Burndown!$C$6-H4)/(Burndown!$C$6-Burndown!$B$6)))</x:f>
      </x:c>
      <x:c r="H4" s="10" t="str">
        <x:f>IF(OR('Work Log'!$E$7&lt;&gt;"S2",'Work Log'!$A$7=""),"",'Work Log'!$A$7)</x:f>
      </x:c>
      <x:c r="I4" t="str">
        <x:f>IF(L4="","",TEXT(L4,"mm/dd/yy"))</x:f>
      </x:c>
      <x:c r="J4" s="11" t="str">
        <x:f>IF(OR(L4="",SUMIF('Backlog'!$B$6:$B$25,"S3",'Backlog'!$E$6:$E$25)=0,Burndown!$B$7="",Burndown!$C$7=""),"",MAX(0,SUMIF('Backlog'!$B$6:$B$25,"S3",'Backlog'!$E$6:$E$25)-SUMIFS('Work Log'!$D$6:$D$205,'Work Log'!$E$6:$E$205,"S3",'Work Log'!$A$6:$A$205,"&lt;="&amp;L4)))</x:f>
      </x:c>
      <x:c r="K4" s="11" t="str">
        <x:f>IF(OR(L4="",SUMIF('Backlog'!$B$6:$B$25,"S3",'Backlog'!$E$6:$E$25)=0,Burndown!$B$7="",Burndown!$C$7="",Burndown!$C$7&lt;=Burndown!$B$7),"",MAX(0,SUMIF('Backlog'!$B$6:$B$25,"S3",'Backlog'!$E$6:$E$25)*(Burndown!$C$7-L4)/(Burndown!$C$7-Burndown!$B$7)))</x:f>
      </x:c>
      <x:c r="L4" s="10" t="str">
        <x:f>IF(OR('Work Log'!$E$7&lt;&gt;"S3",'Work Log'!$A$7=""),"",'Work Log'!$A$7)</x:f>
      </x:c>
      <x:c r="M4" t="str">
        <x:f>IF(P4="","",TEXT(P4,"mm/dd/yy"))</x:f>
      </x:c>
      <x:c r="N4" s="11" t="str">
        <x:f>IF(OR(P4="",SUMIF('Backlog'!$B$6:$B$25,"S4",'Backlog'!$E$6:$E$25)=0,Burndown!$B$8="",Burndown!$C$8=""),"",MAX(0,SUMIF('Backlog'!$B$6:$B$25,"S4",'Backlog'!$E$6:$E$25)-SUMIFS('Work Log'!$D$6:$D$205,'Work Log'!$E$6:$E$205,"S4",'Work Log'!$A$6:$A$205,"&lt;="&amp;P4)))</x:f>
      </x:c>
      <x:c r="O4" s="11" t="str">
        <x:f>IF(OR(P4="",SUMIF('Backlog'!$B$6:$B$25,"S4",'Backlog'!$E$6:$E$25)=0,Burndown!$B$8="",Burndown!$C$8="",Burndown!$C$8&lt;=Burndown!$B$8),"",MAX(0,SUMIF('Backlog'!$B$6:$B$25,"S4",'Backlog'!$E$6:$E$25)*(Burndown!$C$8-P4)/(Burndown!$C$8-Burndown!$B$8)))</x:f>
      </x:c>
      <x:c r="P4" s="10" t="str">
        <x:f>IF(OR('Work Log'!$E$7&lt;&gt;"S4",'Work Log'!$A$7=""),"",'Work Log'!$A$7)</x:f>
      </x:c>
      <x:c r="Q4" t="str">
        <x:f>IF(T4="","",TEXT(T4,"mm/dd/yy"))</x:f>
      </x:c>
      <x:c r="R4" s="11" t="str">
        <x:f>IF(OR(T4="",SUMIF('Backlog'!$B$6:$B$25,"S5",'Backlog'!$E$6:$E$25)=0,Burndown!$B$9="",Burndown!$C$9=""),"",MAX(0,SUMIF('Backlog'!$B$6:$B$25,"S5",'Backlog'!$E$6:$E$25)-SUMIFS('Work Log'!$D$6:$D$205,'Work Log'!$E$6:$E$205,"S5",'Work Log'!$A$6:$A$205,"&lt;="&amp;T4)))</x:f>
      </x:c>
      <x:c r="S4" s="11" t="str">
        <x:f>IF(OR(T4="",SUMIF('Backlog'!$B$6:$B$25,"S5",'Backlog'!$E$6:$E$25)=0,Burndown!$B$9="",Burndown!$C$9="",Burndown!$C$9&lt;=Burndown!$B$9),"",MAX(0,SUMIF('Backlog'!$B$6:$B$25,"S5",'Backlog'!$E$6:$E$25)*(Burndown!$C$9-T4)/(Burndown!$C$9-Burndown!$B$9)))</x:f>
      </x:c>
      <x:c r="T4" s="10" t="str">
        <x:f>IF(OR('Work Log'!$E$7&lt;&gt;"S5",'Work Log'!$A$7=""),"",'Work Log'!$A$7)</x:f>
      </x:c>
    </x:row>
    <x:row r="5">
      <x:c r="A5" t="str">
        <x:f>IF(D5="","",TEXT(D5,"mm/dd/yy"))</x:f>
      </x:c>
      <x:c r="B5" s="11" t="str">
        <x:f>IF(OR(D5="",SUMIF('Backlog'!$B$6:$B$25,"S1",'Backlog'!$E$6:$E$25)=0,Burndown!$B$5="",Burndown!$C$5=""),"",MAX(0,SUMIF('Backlog'!$B$6:$B$25,"S1",'Backlog'!$E$6:$E$25)-SUMIFS('Work Log'!$D$6:$D$205,'Work Log'!$E$6:$E$205,"S1",'Work Log'!$A$6:$A$205,"&lt;="&amp;D5)))</x:f>
      </x:c>
      <x:c r="C5" s="11" t="str">
        <x:f>IF(OR(D5="",SUMIF('Backlog'!$B$6:$B$25,"S1",'Backlog'!$E$6:$E$25)=0,Burndown!$B$5="",Burndown!$C$5="",Burndown!$C$5&lt;=Burndown!$B$5),"",MAX(0,SUMIF('Backlog'!$B$6:$B$25,"S1",'Backlog'!$E$6:$E$25)*(Burndown!$C$5-D5)/(Burndown!$C$5-Burndown!$B$5)))</x:f>
      </x:c>
      <x:c r="D5" s="10" t="str">
        <x:f>IF(OR('Work Log'!$E$8&lt;&gt;"S1",'Work Log'!$A$8=""),"",'Work Log'!$A$8)</x:f>
      </x:c>
      <x:c r="E5" t="str">
        <x:f>IF(H5="","",TEXT(H5,"mm/dd/yy"))</x:f>
      </x:c>
      <x:c r="F5" s="11" t="str">
        <x:f>IF(OR(H5="",SUMIF('Backlog'!$B$6:$B$25,"S2",'Backlog'!$E$6:$E$25)=0,Burndown!$B$6="",Burndown!$C$6=""),"",MAX(0,SUMIF('Backlog'!$B$6:$B$25,"S2",'Backlog'!$E$6:$E$25)-SUMIFS('Work Log'!$D$6:$D$205,'Work Log'!$E$6:$E$205,"S2",'Work Log'!$A$6:$A$205,"&lt;="&amp;H5)))</x:f>
      </x:c>
      <x:c r="G5" s="11" t="str">
        <x:f>IF(OR(H5="",SUMIF('Backlog'!$B$6:$B$25,"S2",'Backlog'!$E$6:$E$25)=0,Burndown!$B$6="",Burndown!$C$6="",Burndown!$C$6&lt;=Burndown!$B$6),"",MAX(0,SUMIF('Backlog'!$B$6:$B$25,"S2",'Backlog'!$E$6:$E$25)*(Burndown!$C$6-H5)/(Burndown!$C$6-Burndown!$B$6)))</x:f>
      </x:c>
      <x:c r="H5" s="10" t="str">
        <x:f>IF(OR('Work Log'!$E$8&lt;&gt;"S2",'Work Log'!$A$8=""),"",'Work Log'!$A$8)</x:f>
      </x:c>
      <x:c r="I5" t="str">
        <x:f>IF(L5="","",TEXT(L5,"mm/dd/yy"))</x:f>
      </x:c>
      <x:c r="J5" s="11" t="str">
        <x:f>IF(OR(L5="",SUMIF('Backlog'!$B$6:$B$25,"S3",'Backlog'!$E$6:$E$25)=0,Burndown!$B$7="",Burndown!$C$7=""),"",MAX(0,SUMIF('Backlog'!$B$6:$B$25,"S3",'Backlog'!$E$6:$E$25)-SUMIFS('Work Log'!$D$6:$D$205,'Work Log'!$E$6:$E$205,"S3",'Work Log'!$A$6:$A$205,"&lt;="&amp;L5)))</x:f>
      </x:c>
      <x:c r="K5" s="11" t="str">
        <x:f>IF(OR(L5="",SUMIF('Backlog'!$B$6:$B$25,"S3",'Backlog'!$E$6:$E$25)=0,Burndown!$B$7="",Burndown!$C$7="",Burndown!$C$7&lt;=Burndown!$B$7),"",MAX(0,SUMIF('Backlog'!$B$6:$B$25,"S3",'Backlog'!$E$6:$E$25)*(Burndown!$C$7-L5)/(Burndown!$C$7-Burndown!$B$7)))</x:f>
      </x:c>
      <x:c r="L5" s="10" t="str">
        <x:f>IF(OR('Work Log'!$E$8&lt;&gt;"S3",'Work Log'!$A$8=""),"",'Work Log'!$A$8)</x:f>
      </x:c>
      <x:c r="M5" t="str">
        <x:f>IF(P5="","",TEXT(P5,"mm/dd/yy"))</x:f>
      </x:c>
      <x:c r="N5" s="11" t="str">
        <x:f>IF(OR(P5="",SUMIF('Backlog'!$B$6:$B$25,"S4",'Backlog'!$E$6:$E$25)=0,Burndown!$B$8="",Burndown!$C$8=""),"",MAX(0,SUMIF('Backlog'!$B$6:$B$25,"S4",'Backlog'!$E$6:$E$25)-SUMIFS('Work Log'!$D$6:$D$205,'Work Log'!$E$6:$E$205,"S4",'Work Log'!$A$6:$A$205,"&lt;="&amp;P5)))</x:f>
      </x:c>
      <x:c r="O5" s="11" t="str">
        <x:f>IF(OR(P5="",SUMIF('Backlog'!$B$6:$B$25,"S4",'Backlog'!$E$6:$E$25)=0,Burndown!$B$8="",Burndown!$C$8="",Burndown!$C$8&lt;=Burndown!$B$8),"",MAX(0,SUMIF('Backlog'!$B$6:$B$25,"S4",'Backlog'!$E$6:$E$25)*(Burndown!$C$8-P5)/(Burndown!$C$8-Burndown!$B$8)))</x:f>
      </x:c>
      <x:c r="P5" s="10" t="str">
        <x:f>IF(OR('Work Log'!$E$8&lt;&gt;"S4",'Work Log'!$A$8=""),"",'Work Log'!$A$8)</x:f>
      </x:c>
      <x:c r="Q5" t="str">
        <x:f>IF(T5="","",TEXT(T5,"mm/dd/yy"))</x:f>
      </x:c>
      <x:c r="R5" s="11" t="str">
        <x:f>IF(OR(T5="",SUMIF('Backlog'!$B$6:$B$25,"S5",'Backlog'!$E$6:$E$25)=0,Burndown!$B$9="",Burndown!$C$9=""),"",MAX(0,SUMIF('Backlog'!$B$6:$B$25,"S5",'Backlog'!$E$6:$E$25)-SUMIFS('Work Log'!$D$6:$D$205,'Work Log'!$E$6:$E$205,"S5",'Work Log'!$A$6:$A$205,"&lt;="&amp;T5)))</x:f>
      </x:c>
      <x:c r="S5" s="11" t="str">
        <x:f>IF(OR(T5="",SUMIF('Backlog'!$B$6:$B$25,"S5",'Backlog'!$E$6:$E$25)=0,Burndown!$B$9="",Burndown!$C$9="",Burndown!$C$9&lt;=Burndown!$B$9),"",MAX(0,SUMIF('Backlog'!$B$6:$B$25,"S5",'Backlog'!$E$6:$E$25)*(Burndown!$C$9-T5)/(Burndown!$C$9-Burndown!$B$9)))</x:f>
      </x:c>
      <x:c r="T5" s="10" t="str">
        <x:f>IF(OR('Work Log'!$E$8&lt;&gt;"S5",'Work Log'!$A$8=""),"",'Work Log'!$A$8)</x:f>
      </x:c>
    </x:row>
    <x:row r="6">
      <x:c r="A6" t="str">
        <x:f>IF(D6="","",TEXT(D6,"mm/dd/yy"))</x:f>
      </x:c>
      <x:c r="B6" s="11" t="str">
        <x:f>IF(OR(D6="",SUMIF('Backlog'!$B$6:$B$25,"S1",'Backlog'!$E$6:$E$25)=0,Burndown!$B$5="",Burndown!$C$5=""),"",MAX(0,SUMIF('Backlog'!$B$6:$B$25,"S1",'Backlog'!$E$6:$E$25)-SUMIFS('Work Log'!$D$6:$D$205,'Work Log'!$E$6:$E$205,"S1",'Work Log'!$A$6:$A$205,"&lt;="&amp;D6)))</x:f>
      </x:c>
      <x:c r="C6" s="11" t="str">
        <x:f>IF(OR(D6="",SUMIF('Backlog'!$B$6:$B$25,"S1",'Backlog'!$E$6:$E$25)=0,Burndown!$B$5="",Burndown!$C$5="",Burndown!$C$5&lt;=Burndown!$B$5),"",MAX(0,SUMIF('Backlog'!$B$6:$B$25,"S1",'Backlog'!$E$6:$E$25)*(Burndown!$C$5-D6)/(Burndown!$C$5-Burndown!$B$5)))</x:f>
      </x:c>
      <x:c r="D6" s="10" t="str">
        <x:f>IF(OR('Work Log'!$E$9&lt;&gt;"S1",'Work Log'!$A$9=""),"",'Work Log'!$A$9)</x:f>
      </x:c>
      <x:c r="E6" t="str">
        <x:f>IF(H6="","",TEXT(H6,"mm/dd/yy"))</x:f>
      </x:c>
      <x:c r="F6" s="11" t="str">
        <x:f>IF(OR(H6="",SUMIF('Backlog'!$B$6:$B$25,"S2",'Backlog'!$E$6:$E$25)=0,Burndown!$B$6="",Burndown!$C$6=""),"",MAX(0,SUMIF('Backlog'!$B$6:$B$25,"S2",'Backlog'!$E$6:$E$25)-SUMIFS('Work Log'!$D$6:$D$205,'Work Log'!$E$6:$E$205,"S2",'Work Log'!$A$6:$A$205,"&lt;="&amp;H6)))</x:f>
      </x:c>
      <x:c r="G6" s="11" t="str">
        <x:f>IF(OR(H6="",SUMIF('Backlog'!$B$6:$B$25,"S2",'Backlog'!$E$6:$E$25)=0,Burndown!$B$6="",Burndown!$C$6="",Burndown!$C$6&lt;=Burndown!$B$6),"",MAX(0,SUMIF('Backlog'!$B$6:$B$25,"S2",'Backlog'!$E$6:$E$25)*(Burndown!$C$6-H6)/(Burndown!$C$6-Burndown!$B$6)))</x:f>
      </x:c>
      <x:c r="H6" s="10" t="str">
        <x:f>IF(OR('Work Log'!$E$9&lt;&gt;"S2",'Work Log'!$A$9=""),"",'Work Log'!$A$9)</x:f>
      </x:c>
      <x:c r="I6" t="str">
        <x:f>IF(L6="","",TEXT(L6,"mm/dd/yy"))</x:f>
      </x:c>
      <x:c r="J6" s="11" t="str">
        <x:f>IF(OR(L6="",SUMIF('Backlog'!$B$6:$B$25,"S3",'Backlog'!$E$6:$E$25)=0,Burndown!$B$7="",Burndown!$C$7=""),"",MAX(0,SUMIF('Backlog'!$B$6:$B$25,"S3",'Backlog'!$E$6:$E$25)-SUMIFS('Work Log'!$D$6:$D$205,'Work Log'!$E$6:$E$205,"S3",'Work Log'!$A$6:$A$205,"&lt;="&amp;L6)))</x:f>
      </x:c>
      <x:c r="K6" s="11" t="str">
        <x:f>IF(OR(L6="",SUMIF('Backlog'!$B$6:$B$25,"S3",'Backlog'!$E$6:$E$25)=0,Burndown!$B$7="",Burndown!$C$7="",Burndown!$C$7&lt;=Burndown!$B$7),"",MAX(0,SUMIF('Backlog'!$B$6:$B$25,"S3",'Backlog'!$E$6:$E$25)*(Burndown!$C$7-L6)/(Burndown!$C$7-Burndown!$B$7)))</x:f>
      </x:c>
      <x:c r="L6" s="10" t="str">
        <x:f>IF(OR('Work Log'!$E$9&lt;&gt;"S3",'Work Log'!$A$9=""),"",'Work Log'!$A$9)</x:f>
      </x:c>
      <x:c r="M6" t="str">
        <x:f>IF(P6="","",TEXT(P6,"mm/dd/yy"))</x:f>
      </x:c>
      <x:c r="N6" s="11" t="str">
        <x:f>IF(OR(P6="",SUMIF('Backlog'!$B$6:$B$25,"S4",'Backlog'!$E$6:$E$25)=0,Burndown!$B$8="",Burndown!$C$8=""),"",MAX(0,SUMIF('Backlog'!$B$6:$B$25,"S4",'Backlog'!$E$6:$E$25)-SUMIFS('Work Log'!$D$6:$D$205,'Work Log'!$E$6:$E$205,"S4",'Work Log'!$A$6:$A$205,"&lt;="&amp;P6)))</x:f>
      </x:c>
      <x:c r="O6" s="11" t="str">
        <x:f>IF(OR(P6="",SUMIF('Backlog'!$B$6:$B$25,"S4",'Backlog'!$E$6:$E$25)=0,Burndown!$B$8="",Burndown!$C$8="",Burndown!$C$8&lt;=Burndown!$B$8),"",MAX(0,SUMIF('Backlog'!$B$6:$B$25,"S4",'Backlog'!$E$6:$E$25)*(Burndown!$C$8-P6)/(Burndown!$C$8-Burndown!$B$8)))</x:f>
      </x:c>
      <x:c r="P6" s="10" t="str">
        <x:f>IF(OR('Work Log'!$E$9&lt;&gt;"S4",'Work Log'!$A$9=""),"",'Work Log'!$A$9)</x:f>
      </x:c>
      <x:c r="Q6" t="str">
        <x:f>IF(T6="","",TEXT(T6,"mm/dd/yy"))</x:f>
      </x:c>
      <x:c r="R6" s="11" t="str">
        <x:f>IF(OR(T6="",SUMIF('Backlog'!$B$6:$B$25,"S5",'Backlog'!$E$6:$E$25)=0,Burndown!$B$9="",Burndown!$C$9=""),"",MAX(0,SUMIF('Backlog'!$B$6:$B$25,"S5",'Backlog'!$E$6:$E$25)-SUMIFS('Work Log'!$D$6:$D$205,'Work Log'!$E$6:$E$205,"S5",'Work Log'!$A$6:$A$205,"&lt;="&amp;T6)))</x:f>
      </x:c>
      <x:c r="S6" s="11" t="str">
        <x:f>IF(OR(T6="",SUMIF('Backlog'!$B$6:$B$25,"S5",'Backlog'!$E$6:$E$25)=0,Burndown!$B$9="",Burndown!$C$9="",Burndown!$C$9&lt;=Burndown!$B$9),"",MAX(0,SUMIF('Backlog'!$B$6:$B$25,"S5",'Backlog'!$E$6:$E$25)*(Burndown!$C$9-T6)/(Burndown!$C$9-Burndown!$B$9)))</x:f>
      </x:c>
      <x:c r="T6" s="10" t="str">
        <x:f>IF(OR('Work Log'!$E$9&lt;&gt;"S5",'Work Log'!$A$9=""),"",'Work Log'!$A$9)</x:f>
      </x:c>
    </x:row>
    <x:row r="7">
      <x:c r="A7" t="str">
        <x:f>IF(D7="","",TEXT(D7,"mm/dd/yy"))</x:f>
      </x:c>
      <x:c r="B7" s="11" t="str">
        <x:f>IF(OR(D7="",SUMIF('Backlog'!$B$6:$B$25,"S1",'Backlog'!$E$6:$E$25)=0,Burndown!$B$5="",Burndown!$C$5=""),"",MAX(0,SUMIF('Backlog'!$B$6:$B$25,"S1",'Backlog'!$E$6:$E$25)-SUMIFS('Work Log'!$D$6:$D$205,'Work Log'!$E$6:$E$205,"S1",'Work Log'!$A$6:$A$205,"&lt;="&amp;D7)))</x:f>
      </x:c>
      <x:c r="C7" s="11" t="str">
        <x:f>IF(OR(D7="",SUMIF('Backlog'!$B$6:$B$25,"S1",'Backlog'!$E$6:$E$25)=0,Burndown!$B$5="",Burndown!$C$5="",Burndown!$C$5&lt;=Burndown!$B$5),"",MAX(0,SUMIF('Backlog'!$B$6:$B$25,"S1",'Backlog'!$E$6:$E$25)*(Burndown!$C$5-D7)/(Burndown!$C$5-Burndown!$B$5)))</x:f>
      </x:c>
      <x:c r="D7" s="10" t="str">
        <x:f>IF(OR('Work Log'!$E$10&lt;&gt;"S1",'Work Log'!$A$10=""),"",'Work Log'!$A$10)</x:f>
      </x:c>
      <x:c r="E7" t="str">
        <x:f>IF(H7="","",TEXT(H7,"mm/dd/yy"))</x:f>
      </x:c>
      <x:c r="F7" s="11" t="str">
        <x:f>IF(OR(H7="",SUMIF('Backlog'!$B$6:$B$25,"S2",'Backlog'!$E$6:$E$25)=0,Burndown!$B$6="",Burndown!$C$6=""),"",MAX(0,SUMIF('Backlog'!$B$6:$B$25,"S2",'Backlog'!$E$6:$E$25)-SUMIFS('Work Log'!$D$6:$D$205,'Work Log'!$E$6:$E$205,"S2",'Work Log'!$A$6:$A$205,"&lt;="&amp;H7)))</x:f>
      </x:c>
      <x:c r="G7" s="11" t="str">
        <x:f>IF(OR(H7="",SUMIF('Backlog'!$B$6:$B$25,"S2",'Backlog'!$E$6:$E$25)=0,Burndown!$B$6="",Burndown!$C$6="",Burndown!$C$6&lt;=Burndown!$B$6),"",MAX(0,SUMIF('Backlog'!$B$6:$B$25,"S2",'Backlog'!$E$6:$E$25)*(Burndown!$C$6-H7)/(Burndown!$C$6-Burndown!$B$6)))</x:f>
      </x:c>
      <x:c r="H7" s="10" t="str">
        <x:f>IF(OR('Work Log'!$E$10&lt;&gt;"S2",'Work Log'!$A$10=""),"",'Work Log'!$A$10)</x:f>
      </x:c>
      <x:c r="I7" t="str">
        <x:f>IF(L7="","",TEXT(L7,"mm/dd/yy"))</x:f>
      </x:c>
      <x:c r="J7" s="11" t="str">
        <x:f>IF(OR(L7="",SUMIF('Backlog'!$B$6:$B$25,"S3",'Backlog'!$E$6:$E$25)=0,Burndown!$B$7="",Burndown!$C$7=""),"",MAX(0,SUMIF('Backlog'!$B$6:$B$25,"S3",'Backlog'!$E$6:$E$25)-SUMIFS('Work Log'!$D$6:$D$205,'Work Log'!$E$6:$E$205,"S3",'Work Log'!$A$6:$A$205,"&lt;="&amp;L7)))</x:f>
      </x:c>
      <x:c r="K7" s="11" t="str">
        <x:f>IF(OR(L7="",SUMIF('Backlog'!$B$6:$B$25,"S3",'Backlog'!$E$6:$E$25)=0,Burndown!$B$7="",Burndown!$C$7="",Burndown!$C$7&lt;=Burndown!$B$7),"",MAX(0,SUMIF('Backlog'!$B$6:$B$25,"S3",'Backlog'!$E$6:$E$25)*(Burndown!$C$7-L7)/(Burndown!$C$7-Burndown!$B$7)))</x:f>
      </x:c>
      <x:c r="L7" s="10" t="str">
        <x:f>IF(OR('Work Log'!$E$10&lt;&gt;"S3",'Work Log'!$A$10=""),"",'Work Log'!$A$10)</x:f>
      </x:c>
      <x:c r="M7" t="str">
        <x:f>IF(P7="","",TEXT(P7,"mm/dd/yy"))</x:f>
      </x:c>
      <x:c r="N7" s="11" t="str">
        <x:f>IF(OR(P7="",SUMIF('Backlog'!$B$6:$B$25,"S4",'Backlog'!$E$6:$E$25)=0,Burndown!$B$8="",Burndown!$C$8=""),"",MAX(0,SUMIF('Backlog'!$B$6:$B$25,"S4",'Backlog'!$E$6:$E$25)-SUMIFS('Work Log'!$D$6:$D$205,'Work Log'!$E$6:$E$205,"S4",'Work Log'!$A$6:$A$205,"&lt;="&amp;P7)))</x:f>
      </x:c>
      <x:c r="O7" s="11" t="str">
        <x:f>IF(OR(P7="",SUMIF('Backlog'!$B$6:$B$25,"S4",'Backlog'!$E$6:$E$25)=0,Burndown!$B$8="",Burndown!$C$8="",Burndown!$C$8&lt;=Burndown!$B$8),"",MAX(0,SUMIF('Backlog'!$B$6:$B$25,"S4",'Backlog'!$E$6:$E$25)*(Burndown!$C$8-P7)/(Burndown!$C$8-Burndown!$B$8)))</x:f>
      </x:c>
      <x:c r="P7" s="10" t="str">
        <x:f>IF(OR('Work Log'!$E$10&lt;&gt;"S4",'Work Log'!$A$10=""),"",'Work Log'!$A$10)</x:f>
      </x:c>
      <x:c r="Q7" t="str">
        <x:f>IF(T7="","",TEXT(T7,"mm/dd/yy"))</x:f>
      </x:c>
      <x:c r="R7" s="11" t="str">
        <x:f>IF(OR(T7="",SUMIF('Backlog'!$B$6:$B$25,"S5",'Backlog'!$E$6:$E$25)=0,Burndown!$B$9="",Burndown!$C$9=""),"",MAX(0,SUMIF('Backlog'!$B$6:$B$25,"S5",'Backlog'!$E$6:$E$25)-SUMIFS('Work Log'!$D$6:$D$205,'Work Log'!$E$6:$E$205,"S5",'Work Log'!$A$6:$A$205,"&lt;="&amp;T7)))</x:f>
      </x:c>
      <x:c r="S7" s="11" t="str">
        <x:f>IF(OR(T7="",SUMIF('Backlog'!$B$6:$B$25,"S5",'Backlog'!$E$6:$E$25)=0,Burndown!$B$9="",Burndown!$C$9="",Burndown!$C$9&lt;=Burndown!$B$9),"",MAX(0,SUMIF('Backlog'!$B$6:$B$25,"S5",'Backlog'!$E$6:$E$25)*(Burndown!$C$9-T7)/(Burndown!$C$9-Burndown!$B$9)))</x:f>
      </x:c>
      <x:c r="T7" s="10" t="str">
        <x:f>IF(OR('Work Log'!$E$10&lt;&gt;"S5",'Work Log'!$A$10=""),"",'Work Log'!$A$10)</x:f>
      </x:c>
    </x:row>
    <x:row r="8">
      <x:c r="A8" t="str">
        <x:f>IF(D8="","",TEXT(D8,"mm/dd/yy"))</x:f>
      </x:c>
      <x:c r="B8" s="11" t="str">
        <x:f>IF(OR(D8="",SUMIF('Backlog'!$B$6:$B$25,"S1",'Backlog'!$E$6:$E$25)=0,Burndown!$B$5="",Burndown!$C$5=""),"",MAX(0,SUMIF('Backlog'!$B$6:$B$25,"S1",'Backlog'!$E$6:$E$25)-SUMIFS('Work Log'!$D$6:$D$205,'Work Log'!$E$6:$E$205,"S1",'Work Log'!$A$6:$A$205,"&lt;="&amp;D8)))</x:f>
      </x:c>
      <x:c r="C8" s="11" t="str">
        <x:f>IF(OR(D8="",SUMIF('Backlog'!$B$6:$B$25,"S1",'Backlog'!$E$6:$E$25)=0,Burndown!$B$5="",Burndown!$C$5="",Burndown!$C$5&lt;=Burndown!$B$5),"",MAX(0,SUMIF('Backlog'!$B$6:$B$25,"S1",'Backlog'!$E$6:$E$25)*(Burndown!$C$5-D8)/(Burndown!$C$5-Burndown!$B$5)))</x:f>
      </x:c>
      <x:c r="D8" s="10" t="str">
        <x:f>IF(OR('Work Log'!$E$11&lt;&gt;"S1",'Work Log'!$A$11=""),"",'Work Log'!$A$11)</x:f>
      </x:c>
      <x:c r="E8" t="str">
        <x:f>IF(H8="","",TEXT(H8,"mm/dd/yy"))</x:f>
      </x:c>
      <x:c r="F8" s="11" t="str">
        <x:f>IF(OR(H8="",SUMIF('Backlog'!$B$6:$B$25,"S2",'Backlog'!$E$6:$E$25)=0,Burndown!$B$6="",Burndown!$C$6=""),"",MAX(0,SUMIF('Backlog'!$B$6:$B$25,"S2",'Backlog'!$E$6:$E$25)-SUMIFS('Work Log'!$D$6:$D$205,'Work Log'!$E$6:$E$205,"S2",'Work Log'!$A$6:$A$205,"&lt;="&amp;H8)))</x:f>
      </x:c>
      <x:c r="G8" s="11" t="str">
        <x:f>IF(OR(H8="",SUMIF('Backlog'!$B$6:$B$25,"S2",'Backlog'!$E$6:$E$25)=0,Burndown!$B$6="",Burndown!$C$6="",Burndown!$C$6&lt;=Burndown!$B$6),"",MAX(0,SUMIF('Backlog'!$B$6:$B$25,"S2",'Backlog'!$E$6:$E$25)*(Burndown!$C$6-H8)/(Burndown!$C$6-Burndown!$B$6)))</x:f>
      </x:c>
      <x:c r="H8" s="10" t="str">
        <x:f>IF(OR('Work Log'!$E$11&lt;&gt;"S2",'Work Log'!$A$11=""),"",'Work Log'!$A$11)</x:f>
      </x:c>
      <x:c r="I8" t="str">
        <x:f>IF(L8="","",TEXT(L8,"mm/dd/yy"))</x:f>
      </x:c>
      <x:c r="J8" s="11" t="str">
        <x:f>IF(OR(L8="",SUMIF('Backlog'!$B$6:$B$25,"S3",'Backlog'!$E$6:$E$25)=0,Burndown!$B$7="",Burndown!$C$7=""),"",MAX(0,SUMIF('Backlog'!$B$6:$B$25,"S3",'Backlog'!$E$6:$E$25)-SUMIFS('Work Log'!$D$6:$D$205,'Work Log'!$E$6:$E$205,"S3",'Work Log'!$A$6:$A$205,"&lt;="&amp;L8)))</x:f>
      </x:c>
      <x:c r="K8" s="11" t="str">
        <x:f>IF(OR(L8="",SUMIF('Backlog'!$B$6:$B$25,"S3",'Backlog'!$E$6:$E$25)=0,Burndown!$B$7="",Burndown!$C$7="",Burndown!$C$7&lt;=Burndown!$B$7),"",MAX(0,SUMIF('Backlog'!$B$6:$B$25,"S3",'Backlog'!$E$6:$E$25)*(Burndown!$C$7-L8)/(Burndown!$C$7-Burndown!$B$7)))</x:f>
      </x:c>
      <x:c r="L8" s="10" t="str">
        <x:f>IF(OR('Work Log'!$E$11&lt;&gt;"S3",'Work Log'!$A$11=""),"",'Work Log'!$A$11)</x:f>
      </x:c>
      <x:c r="M8" t="str">
        <x:f>IF(P8="","",TEXT(P8,"mm/dd/yy"))</x:f>
      </x:c>
      <x:c r="N8" s="11" t="str">
        <x:f>IF(OR(P8="",SUMIF('Backlog'!$B$6:$B$25,"S4",'Backlog'!$E$6:$E$25)=0,Burndown!$B$8="",Burndown!$C$8=""),"",MAX(0,SUMIF('Backlog'!$B$6:$B$25,"S4",'Backlog'!$E$6:$E$25)-SUMIFS('Work Log'!$D$6:$D$205,'Work Log'!$E$6:$E$205,"S4",'Work Log'!$A$6:$A$205,"&lt;="&amp;P8)))</x:f>
      </x:c>
      <x:c r="O8" s="11" t="str">
        <x:f>IF(OR(P8="",SUMIF('Backlog'!$B$6:$B$25,"S4",'Backlog'!$E$6:$E$25)=0,Burndown!$B$8="",Burndown!$C$8="",Burndown!$C$8&lt;=Burndown!$B$8),"",MAX(0,SUMIF('Backlog'!$B$6:$B$25,"S4",'Backlog'!$E$6:$E$25)*(Burndown!$C$8-P8)/(Burndown!$C$8-Burndown!$B$8)))</x:f>
      </x:c>
      <x:c r="P8" s="10" t="str">
        <x:f>IF(OR('Work Log'!$E$11&lt;&gt;"S4",'Work Log'!$A$11=""),"",'Work Log'!$A$11)</x:f>
      </x:c>
      <x:c r="Q8" t="str">
        <x:f>IF(T8="","",TEXT(T8,"mm/dd/yy"))</x:f>
      </x:c>
      <x:c r="R8" s="11" t="str">
        <x:f>IF(OR(T8="",SUMIF('Backlog'!$B$6:$B$25,"S5",'Backlog'!$E$6:$E$25)=0,Burndown!$B$9="",Burndown!$C$9=""),"",MAX(0,SUMIF('Backlog'!$B$6:$B$25,"S5",'Backlog'!$E$6:$E$25)-SUMIFS('Work Log'!$D$6:$D$205,'Work Log'!$E$6:$E$205,"S5",'Work Log'!$A$6:$A$205,"&lt;="&amp;T8)))</x:f>
      </x:c>
      <x:c r="S8" s="11" t="str">
        <x:f>IF(OR(T8="",SUMIF('Backlog'!$B$6:$B$25,"S5",'Backlog'!$E$6:$E$25)=0,Burndown!$B$9="",Burndown!$C$9="",Burndown!$C$9&lt;=Burndown!$B$9),"",MAX(0,SUMIF('Backlog'!$B$6:$B$25,"S5",'Backlog'!$E$6:$E$25)*(Burndown!$C$9-T8)/(Burndown!$C$9-Burndown!$B$9)))</x:f>
      </x:c>
      <x:c r="T8" s="10" t="str">
        <x:f>IF(OR('Work Log'!$E$11&lt;&gt;"S5",'Work Log'!$A$11=""),"",'Work Log'!$A$11)</x:f>
      </x:c>
    </x:row>
    <x:row r="9">
      <x:c r="A9" t="str">
        <x:f>IF(D9="","",TEXT(D9,"mm/dd/yy"))</x:f>
      </x:c>
      <x:c r="B9" s="11" t="str">
        <x:f>IF(OR(D9="",SUMIF('Backlog'!$B$6:$B$25,"S1",'Backlog'!$E$6:$E$25)=0,Burndown!$B$5="",Burndown!$C$5=""),"",MAX(0,SUMIF('Backlog'!$B$6:$B$25,"S1",'Backlog'!$E$6:$E$25)-SUMIFS('Work Log'!$D$6:$D$205,'Work Log'!$E$6:$E$205,"S1",'Work Log'!$A$6:$A$205,"&lt;="&amp;D9)))</x:f>
      </x:c>
      <x:c r="C9" s="11" t="str">
        <x:f>IF(OR(D9="",SUMIF('Backlog'!$B$6:$B$25,"S1",'Backlog'!$E$6:$E$25)=0,Burndown!$B$5="",Burndown!$C$5="",Burndown!$C$5&lt;=Burndown!$B$5),"",MAX(0,SUMIF('Backlog'!$B$6:$B$25,"S1",'Backlog'!$E$6:$E$25)*(Burndown!$C$5-D9)/(Burndown!$C$5-Burndown!$B$5)))</x:f>
      </x:c>
      <x:c r="D9" s="10" t="str">
        <x:f>IF(OR('Work Log'!$E$12&lt;&gt;"S1",'Work Log'!$A$12=""),"",'Work Log'!$A$12)</x:f>
      </x:c>
      <x:c r="E9" t="str">
        <x:f>IF(H9="","",TEXT(H9,"mm/dd/yy"))</x:f>
      </x:c>
      <x:c r="F9" s="11" t="str">
        <x:f>IF(OR(H9="",SUMIF('Backlog'!$B$6:$B$25,"S2",'Backlog'!$E$6:$E$25)=0,Burndown!$B$6="",Burndown!$C$6=""),"",MAX(0,SUMIF('Backlog'!$B$6:$B$25,"S2",'Backlog'!$E$6:$E$25)-SUMIFS('Work Log'!$D$6:$D$205,'Work Log'!$E$6:$E$205,"S2",'Work Log'!$A$6:$A$205,"&lt;="&amp;H9)))</x:f>
      </x:c>
      <x:c r="G9" s="11" t="str">
        <x:f>IF(OR(H9="",SUMIF('Backlog'!$B$6:$B$25,"S2",'Backlog'!$E$6:$E$25)=0,Burndown!$B$6="",Burndown!$C$6="",Burndown!$C$6&lt;=Burndown!$B$6),"",MAX(0,SUMIF('Backlog'!$B$6:$B$25,"S2",'Backlog'!$E$6:$E$25)*(Burndown!$C$6-H9)/(Burndown!$C$6-Burndown!$B$6)))</x:f>
      </x:c>
      <x:c r="H9" s="10" t="str">
        <x:f>IF(OR('Work Log'!$E$12&lt;&gt;"S2",'Work Log'!$A$12=""),"",'Work Log'!$A$12)</x:f>
      </x:c>
      <x:c r="I9" t="str">
        <x:f>IF(L9="","",TEXT(L9,"mm/dd/yy"))</x:f>
      </x:c>
      <x:c r="J9" s="11" t="str">
        <x:f>IF(OR(L9="",SUMIF('Backlog'!$B$6:$B$25,"S3",'Backlog'!$E$6:$E$25)=0,Burndown!$B$7="",Burndown!$C$7=""),"",MAX(0,SUMIF('Backlog'!$B$6:$B$25,"S3",'Backlog'!$E$6:$E$25)-SUMIFS('Work Log'!$D$6:$D$205,'Work Log'!$E$6:$E$205,"S3",'Work Log'!$A$6:$A$205,"&lt;="&amp;L9)))</x:f>
      </x:c>
      <x:c r="K9" s="11" t="str">
        <x:f>IF(OR(L9="",SUMIF('Backlog'!$B$6:$B$25,"S3",'Backlog'!$E$6:$E$25)=0,Burndown!$B$7="",Burndown!$C$7="",Burndown!$C$7&lt;=Burndown!$B$7),"",MAX(0,SUMIF('Backlog'!$B$6:$B$25,"S3",'Backlog'!$E$6:$E$25)*(Burndown!$C$7-L9)/(Burndown!$C$7-Burndown!$B$7)))</x:f>
      </x:c>
      <x:c r="L9" s="10" t="str">
        <x:f>IF(OR('Work Log'!$E$12&lt;&gt;"S3",'Work Log'!$A$12=""),"",'Work Log'!$A$12)</x:f>
      </x:c>
      <x:c r="M9" t="str">
        <x:f>IF(P9="","",TEXT(P9,"mm/dd/yy"))</x:f>
      </x:c>
      <x:c r="N9" s="11" t="str">
        <x:f>IF(OR(P9="",SUMIF('Backlog'!$B$6:$B$25,"S4",'Backlog'!$E$6:$E$25)=0,Burndown!$B$8="",Burndown!$C$8=""),"",MAX(0,SUMIF('Backlog'!$B$6:$B$25,"S4",'Backlog'!$E$6:$E$25)-SUMIFS('Work Log'!$D$6:$D$205,'Work Log'!$E$6:$E$205,"S4",'Work Log'!$A$6:$A$205,"&lt;="&amp;P9)))</x:f>
      </x:c>
      <x:c r="O9" s="11" t="str">
        <x:f>IF(OR(P9="",SUMIF('Backlog'!$B$6:$B$25,"S4",'Backlog'!$E$6:$E$25)=0,Burndown!$B$8="",Burndown!$C$8="",Burndown!$C$8&lt;=Burndown!$B$8),"",MAX(0,SUMIF('Backlog'!$B$6:$B$25,"S4",'Backlog'!$E$6:$E$25)*(Burndown!$C$8-P9)/(Burndown!$C$8-Burndown!$B$8)))</x:f>
      </x:c>
      <x:c r="P9" s="10" t="str">
        <x:f>IF(OR('Work Log'!$E$12&lt;&gt;"S4",'Work Log'!$A$12=""),"",'Work Log'!$A$12)</x:f>
      </x:c>
      <x:c r="Q9" t="str">
        <x:f>IF(T9="","",TEXT(T9,"mm/dd/yy"))</x:f>
      </x:c>
      <x:c r="R9" s="11" t="str">
        <x:f>IF(OR(T9="",SUMIF('Backlog'!$B$6:$B$25,"S5",'Backlog'!$E$6:$E$25)=0,Burndown!$B$9="",Burndown!$C$9=""),"",MAX(0,SUMIF('Backlog'!$B$6:$B$25,"S5",'Backlog'!$E$6:$E$25)-SUMIFS('Work Log'!$D$6:$D$205,'Work Log'!$E$6:$E$205,"S5",'Work Log'!$A$6:$A$205,"&lt;="&amp;T9)))</x:f>
      </x:c>
      <x:c r="S9" s="11" t="str">
        <x:f>IF(OR(T9="",SUMIF('Backlog'!$B$6:$B$25,"S5",'Backlog'!$E$6:$E$25)=0,Burndown!$B$9="",Burndown!$C$9="",Burndown!$C$9&lt;=Burndown!$B$9),"",MAX(0,SUMIF('Backlog'!$B$6:$B$25,"S5",'Backlog'!$E$6:$E$25)*(Burndown!$C$9-T9)/(Burndown!$C$9-Burndown!$B$9)))</x:f>
      </x:c>
      <x:c r="T9" s="10" t="str">
        <x:f>IF(OR('Work Log'!$E$12&lt;&gt;"S5",'Work Log'!$A$12=""),"",'Work Log'!$A$12)</x:f>
      </x:c>
    </x:row>
    <x:row r="10">
      <x:c r="A10" t="str">
        <x:f>IF(D10="","",TEXT(D10,"mm/dd/yy"))</x:f>
      </x:c>
      <x:c r="B10" s="11" t="str">
        <x:f>IF(OR(D10="",SUMIF('Backlog'!$B$6:$B$25,"S1",'Backlog'!$E$6:$E$25)=0,Burndown!$B$5="",Burndown!$C$5=""),"",MAX(0,SUMIF('Backlog'!$B$6:$B$25,"S1",'Backlog'!$E$6:$E$25)-SUMIFS('Work Log'!$D$6:$D$205,'Work Log'!$E$6:$E$205,"S1",'Work Log'!$A$6:$A$205,"&lt;="&amp;D10)))</x:f>
      </x:c>
      <x:c r="C10" s="11" t="str">
        <x:f>IF(OR(D10="",SUMIF('Backlog'!$B$6:$B$25,"S1",'Backlog'!$E$6:$E$25)=0,Burndown!$B$5="",Burndown!$C$5="",Burndown!$C$5&lt;=Burndown!$B$5),"",MAX(0,SUMIF('Backlog'!$B$6:$B$25,"S1",'Backlog'!$E$6:$E$25)*(Burndown!$C$5-D10)/(Burndown!$C$5-Burndown!$B$5)))</x:f>
      </x:c>
      <x:c r="D10" s="10" t="str">
        <x:f>IF(OR('Work Log'!$E$13&lt;&gt;"S1",'Work Log'!$A$13=""),"",'Work Log'!$A$13)</x:f>
      </x:c>
      <x:c r="E10" t="str">
        <x:f>IF(H10="","",TEXT(H10,"mm/dd/yy"))</x:f>
      </x:c>
      <x:c r="F10" s="11" t="str">
        <x:f>IF(OR(H10="",SUMIF('Backlog'!$B$6:$B$25,"S2",'Backlog'!$E$6:$E$25)=0,Burndown!$B$6="",Burndown!$C$6=""),"",MAX(0,SUMIF('Backlog'!$B$6:$B$25,"S2",'Backlog'!$E$6:$E$25)-SUMIFS('Work Log'!$D$6:$D$205,'Work Log'!$E$6:$E$205,"S2",'Work Log'!$A$6:$A$205,"&lt;="&amp;H10)))</x:f>
      </x:c>
      <x:c r="G10" s="11" t="str">
        <x:f>IF(OR(H10="",SUMIF('Backlog'!$B$6:$B$25,"S2",'Backlog'!$E$6:$E$25)=0,Burndown!$B$6="",Burndown!$C$6="",Burndown!$C$6&lt;=Burndown!$B$6),"",MAX(0,SUMIF('Backlog'!$B$6:$B$25,"S2",'Backlog'!$E$6:$E$25)*(Burndown!$C$6-H10)/(Burndown!$C$6-Burndown!$B$6)))</x:f>
      </x:c>
      <x:c r="H10" s="10" t="str">
        <x:f>IF(OR('Work Log'!$E$13&lt;&gt;"S2",'Work Log'!$A$13=""),"",'Work Log'!$A$13)</x:f>
      </x:c>
      <x:c r="I10" t="str">
        <x:f>IF(L10="","",TEXT(L10,"mm/dd/yy"))</x:f>
      </x:c>
      <x:c r="J10" s="11" t="str">
        <x:f>IF(OR(L10="",SUMIF('Backlog'!$B$6:$B$25,"S3",'Backlog'!$E$6:$E$25)=0,Burndown!$B$7="",Burndown!$C$7=""),"",MAX(0,SUMIF('Backlog'!$B$6:$B$25,"S3",'Backlog'!$E$6:$E$25)-SUMIFS('Work Log'!$D$6:$D$205,'Work Log'!$E$6:$E$205,"S3",'Work Log'!$A$6:$A$205,"&lt;="&amp;L10)))</x:f>
      </x:c>
      <x:c r="K10" s="11" t="str">
        <x:f>IF(OR(L10="",SUMIF('Backlog'!$B$6:$B$25,"S3",'Backlog'!$E$6:$E$25)=0,Burndown!$B$7="",Burndown!$C$7="",Burndown!$C$7&lt;=Burndown!$B$7),"",MAX(0,SUMIF('Backlog'!$B$6:$B$25,"S3",'Backlog'!$E$6:$E$25)*(Burndown!$C$7-L10)/(Burndown!$C$7-Burndown!$B$7)))</x:f>
      </x:c>
      <x:c r="L10" s="10" t="str">
        <x:f>IF(OR('Work Log'!$E$13&lt;&gt;"S3",'Work Log'!$A$13=""),"",'Work Log'!$A$13)</x:f>
      </x:c>
      <x:c r="M10" t="str">
        <x:f>IF(P10="","",TEXT(P10,"mm/dd/yy"))</x:f>
      </x:c>
      <x:c r="N10" s="11" t="str">
        <x:f>IF(OR(P10="",SUMIF('Backlog'!$B$6:$B$25,"S4",'Backlog'!$E$6:$E$25)=0,Burndown!$B$8="",Burndown!$C$8=""),"",MAX(0,SUMIF('Backlog'!$B$6:$B$25,"S4",'Backlog'!$E$6:$E$25)-SUMIFS('Work Log'!$D$6:$D$205,'Work Log'!$E$6:$E$205,"S4",'Work Log'!$A$6:$A$205,"&lt;="&amp;P10)))</x:f>
      </x:c>
      <x:c r="O10" s="11" t="str">
        <x:f>IF(OR(P10="",SUMIF('Backlog'!$B$6:$B$25,"S4",'Backlog'!$E$6:$E$25)=0,Burndown!$B$8="",Burndown!$C$8="",Burndown!$C$8&lt;=Burndown!$B$8),"",MAX(0,SUMIF('Backlog'!$B$6:$B$25,"S4",'Backlog'!$E$6:$E$25)*(Burndown!$C$8-P10)/(Burndown!$C$8-Burndown!$B$8)))</x:f>
      </x:c>
      <x:c r="P10" s="10" t="str">
        <x:f>IF(OR('Work Log'!$E$13&lt;&gt;"S4",'Work Log'!$A$13=""),"",'Work Log'!$A$13)</x:f>
      </x:c>
      <x:c r="Q10" t="str">
        <x:f>IF(T10="","",TEXT(T10,"mm/dd/yy"))</x:f>
      </x:c>
      <x:c r="R10" s="11" t="str">
        <x:f>IF(OR(T10="",SUMIF('Backlog'!$B$6:$B$25,"S5",'Backlog'!$E$6:$E$25)=0,Burndown!$B$9="",Burndown!$C$9=""),"",MAX(0,SUMIF('Backlog'!$B$6:$B$25,"S5",'Backlog'!$E$6:$E$25)-SUMIFS('Work Log'!$D$6:$D$205,'Work Log'!$E$6:$E$205,"S5",'Work Log'!$A$6:$A$205,"&lt;="&amp;T10)))</x:f>
      </x:c>
      <x:c r="S10" s="11" t="str">
        <x:f>IF(OR(T10="",SUMIF('Backlog'!$B$6:$B$25,"S5",'Backlog'!$E$6:$E$25)=0,Burndown!$B$9="",Burndown!$C$9="",Burndown!$C$9&lt;=Burndown!$B$9),"",MAX(0,SUMIF('Backlog'!$B$6:$B$25,"S5",'Backlog'!$E$6:$E$25)*(Burndown!$C$9-T10)/(Burndown!$C$9-Burndown!$B$9)))</x:f>
      </x:c>
      <x:c r="T10" s="10" t="str">
        <x:f>IF(OR('Work Log'!$E$13&lt;&gt;"S5",'Work Log'!$A$13=""),"",'Work Log'!$A$13)</x:f>
      </x:c>
    </x:row>
    <x:row r="11">
      <x:c r="A11" t="str">
        <x:f>IF(D11="","",TEXT(D11,"mm/dd/yy"))</x:f>
      </x:c>
      <x:c r="B11" s="11" t="str">
        <x:f>IF(OR(D11="",SUMIF('Backlog'!$B$6:$B$25,"S1",'Backlog'!$E$6:$E$25)=0,Burndown!$B$5="",Burndown!$C$5=""),"",MAX(0,SUMIF('Backlog'!$B$6:$B$25,"S1",'Backlog'!$E$6:$E$25)-SUMIFS('Work Log'!$D$6:$D$205,'Work Log'!$E$6:$E$205,"S1",'Work Log'!$A$6:$A$205,"&lt;="&amp;D11)))</x:f>
      </x:c>
      <x:c r="C11" s="11" t="str">
        <x:f>IF(OR(D11="",SUMIF('Backlog'!$B$6:$B$25,"S1",'Backlog'!$E$6:$E$25)=0,Burndown!$B$5="",Burndown!$C$5="",Burndown!$C$5&lt;=Burndown!$B$5),"",MAX(0,SUMIF('Backlog'!$B$6:$B$25,"S1",'Backlog'!$E$6:$E$25)*(Burndown!$C$5-D11)/(Burndown!$C$5-Burndown!$B$5)))</x:f>
      </x:c>
      <x:c r="D11" s="10" t="str">
        <x:f>IF(OR('Work Log'!$E$14&lt;&gt;"S1",'Work Log'!$A$14=""),"",'Work Log'!$A$14)</x:f>
      </x:c>
      <x:c r="E11" t="str">
        <x:f>IF(H11="","",TEXT(H11,"mm/dd/yy"))</x:f>
      </x:c>
      <x:c r="F11" s="11" t="str">
        <x:f>IF(OR(H11="",SUMIF('Backlog'!$B$6:$B$25,"S2",'Backlog'!$E$6:$E$25)=0,Burndown!$B$6="",Burndown!$C$6=""),"",MAX(0,SUMIF('Backlog'!$B$6:$B$25,"S2",'Backlog'!$E$6:$E$25)-SUMIFS('Work Log'!$D$6:$D$205,'Work Log'!$E$6:$E$205,"S2",'Work Log'!$A$6:$A$205,"&lt;="&amp;H11)))</x:f>
      </x:c>
      <x:c r="G11" s="11" t="str">
        <x:f>IF(OR(H11="",SUMIF('Backlog'!$B$6:$B$25,"S2",'Backlog'!$E$6:$E$25)=0,Burndown!$B$6="",Burndown!$C$6="",Burndown!$C$6&lt;=Burndown!$B$6),"",MAX(0,SUMIF('Backlog'!$B$6:$B$25,"S2",'Backlog'!$E$6:$E$25)*(Burndown!$C$6-H11)/(Burndown!$C$6-Burndown!$B$6)))</x:f>
      </x:c>
      <x:c r="H11" s="10" t="str">
        <x:f>IF(OR('Work Log'!$E$14&lt;&gt;"S2",'Work Log'!$A$14=""),"",'Work Log'!$A$14)</x:f>
      </x:c>
      <x:c r="I11" t="str">
        <x:f>IF(L11="","",TEXT(L11,"mm/dd/yy"))</x:f>
      </x:c>
      <x:c r="J11" s="11" t="str">
        <x:f>IF(OR(L11="",SUMIF('Backlog'!$B$6:$B$25,"S3",'Backlog'!$E$6:$E$25)=0,Burndown!$B$7="",Burndown!$C$7=""),"",MAX(0,SUMIF('Backlog'!$B$6:$B$25,"S3",'Backlog'!$E$6:$E$25)-SUMIFS('Work Log'!$D$6:$D$205,'Work Log'!$E$6:$E$205,"S3",'Work Log'!$A$6:$A$205,"&lt;="&amp;L11)))</x:f>
      </x:c>
      <x:c r="K11" s="11" t="str">
        <x:f>IF(OR(L11="",SUMIF('Backlog'!$B$6:$B$25,"S3",'Backlog'!$E$6:$E$25)=0,Burndown!$B$7="",Burndown!$C$7="",Burndown!$C$7&lt;=Burndown!$B$7),"",MAX(0,SUMIF('Backlog'!$B$6:$B$25,"S3",'Backlog'!$E$6:$E$25)*(Burndown!$C$7-L11)/(Burndown!$C$7-Burndown!$B$7)))</x:f>
      </x:c>
      <x:c r="L11" s="10" t="str">
        <x:f>IF(OR('Work Log'!$E$14&lt;&gt;"S3",'Work Log'!$A$14=""),"",'Work Log'!$A$14)</x:f>
      </x:c>
      <x:c r="M11" t="str">
        <x:f>IF(P11="","",TEXT(P11,"mm/dd/yy"))</x:f>
      </x:c>
      <x:c r="N11" s="11" t="str">
        <x:f>IF(OR(P11="",SUMIF('Backlog'!$B$6:$B$25,"S4",'Backlog'!$E$6:$E$25)=0,Burndown!$B$8="",Burndown!$C$8=""),"",MAX(0,SUMIF('Backlog'!$B$6:$B$25,"S4",'Backlog'!$E$6:$E$25)-SUMIFS('Work Log'!$D$6:$D$205,'Work Log'!$E$6:$E$205,"S4",'Work Log'!$A$6:$A$205,"&lt;="&amp;P11)))</x:f>
      </x:c>
      <x:c r="O11" s="11" t="str">
        <x:f>IF(OR(P11="",SUMIF('Backlog'!$B$6:$B$25,"S4",'Backlog'!$E$6:$E$25)=0,Burndown!$B$8="",Burndown!$C$8="",Burndown!$C$8&lt;=Burndown!$B$8),"",MAX(0,SUMIF('Backlog'!$B$6:$B$25,"S4",'Backlog'!$E$6:$E$25)*(Burndown!$C$8-P11)/(Burndown!$C$8-Burndown!$B$8)))</x:f>
      </x:c>
      <x:c r="P11" s="10" t="str">
        <x:f>IF(OR('Work Log'!$E$14&lt;&gt;"S4",'Work Log'!$A$14=""),"",'Work Log'!$A$14)</x:f>
      </x:c>
      <x:c r="Q11" t="str">
        <x:f>IF(T11="","",TEXT(T11,"mm/dd/yy"))</x:f>
      </x:c>
      <x:c r="R11" s="11" t="str">
        <x:f>IF(OR(T11="",SUMIF('Backlog'!$B$6:$B$25,"S5",'Backlog'!$E$6:$E$25)=0,Burndown!$B$9="",Burndown!$C$9=""),"",MAX(0,SUMIF('Backlog'!$B$6:$B$25,"S5",'Backlog'!$E$6:$E$25)-SUMIFS('Work Log'!$D$6:$D$205,'Work Log'!$E$6:$E$205,"S5",'Work Log'!$A$6:$A$205,"&lt;="&amp;T11)))</x:f>
      </x:c>
      <x:c r="S11" s="11" t="str">
        <x:f>IF(OR(T11="",SUMIF('Backlog'!$B$6:$B$25,"S5",'Backlog'!$E$6:$E$25)=0,Burndown!$B$9="",Burndown!$C$9="",Burndown!$C$9&lt;=Burndown!$B$9),"",MAX(0,SUMIF('Backlog'!$B$6:$B$25,"S5",'Backlog'!$E$6:$E$25)*(Burndown!$C$9-T11)/(Burndown!$C$9-Burndown!$B$9)))</x:f>
      </x:c>
      <x:c r="T11" s="10" t="str">
        <x:f>IF(OR('Work Log'!$E$14&lt;&gt;"S5",'Work Log'!$A$14=""),"",'Work Log'!$A$14)</x:f>
      </x:c>
    </x:row>
    <x:row r="12">
      <x:c r="A12" t="str">
        <x:f>IF(D12="","",TEXT(D12,"mm/dd/yy"))</x:f>
      </x:c>
      <x:c r="B12" s="11" t="str">
        <x:f>IF(OR(D12="",SUMIF('Backlog'!$B$6:$B$25,"S1",'Backlog'!$E$6:$E$25)=0,Burndown!$B$5="",Burndown!$C$5=""),"",MAX(0,SUMIF('Backlog'!$B$6:$B$25,"S1",'Backlog'!$E$6:$E$25)-SUMIFS('Work Log'!$D$6:$D$205,'Work Log'!$E$6:$E$205,"S1",'Work Log'!$A$6:$A$205,"&lt;="&amp;D12)))</x:f>
      </x:c>
      <x:c r="C12" s="11" t="str">
        <x:f>IF(OR(D12="",SUMIF('Backlog'!$B$6:$B$25,"S1",'Backlog'!$E$6:$E$25)=0,Burndown!$B$5="",Burndown!$C$5="",Burndown!$C$5&lt;=Burndown!$B$5),"",MAX(0,SUMIF('Backlog'!$B$6:$B$25,"S1",'Backlog'!$E$6:$E$25)*(Burndown!$C$5-D12)/(Burndown!$C$5-Burndown!$B$5)))</x:f>
      </x:c>
      <x:c r="D12" s="10" t="str">
        <x:f>IF(OR('Work Log'!$E$15&lt;&gt;"S1",'Work Log'!$A$15=""),"",'Work Log'!$A$15)</x:f>
      </x:c>
      <x:c r="E12" t="str">
        <x:f>IF(H12="","",TEXT(H12,"mm/dd/yy"))</x:f>
      </x:c>
      <x:c r="F12" s="11" t="str">
        <x:f>IF(OR(H12="",SUMIF('Backlog'!$B$6:$B$25,"S2",'Backlog'!$E$6:$E$25)=0,Burndown!$B$6="",Burndown!$C$6=""),"",MAX(0,SUMIF('Backlog'!$B$6:$B$25,"S2",'Backlog'!$E$6:$E$25)-SUMIFS('Work Log'!$D$6:$D$205,'Work Log'!$E$6:$E$205,"S2",'Work Log'!$A$6:$A$205,"&lt;="&amp;H12)))</x:f>
      </x:c>
      <x:c r="G12" s="11" t="str">
        <x:f>IF(OR(H12="",SUMIF('Backlog'!$B$6:$B$25,"S2",'Backlog'!$E$6:$E$25)=0,Burndown!$B$6="",Burndown!$C$6="",Burndown!$C$6&lt;=Burndown!$B$6),"",MAX(0,SUMIF('Backlog'!$B$6:$B$25,"S2",'Backlog'!$E$6:$E$25)*(Burndown!$C$6-H12)/(Burndown!$C$6-Burndown!$B$6)))</x:f>
      </x:c>
      <x:c r="H12" s="10" t="str">
        <x:f>IF(OR('Work Log'!$E$15&lt;&gt;"S2",'Work Log'!$A$15=""),"",'Work Log'!$A$15)</x:f>
      </x:c>
      <x:c r="I12" t="str">
        <x:f>IF(L12="","",TEXT(L12,"mm/dd/yy"))</x:f>
      </x:c>
      <x:c r="J12" s="11" t="str">
        <x:f>IF(OR(L12="",SUMIF('Backlog'!$B$6:$B$25,"S3",'Backlog'!$E$6:$E$25)=0,Burndown!$B$7="",Burndown!$C$7=""),"",MAX(0,SUMIF('Backlog'!$B$6:$B$25,"S3",'Backlog'!$E$6:$E$25)-SUMIFS('Work Log'!$D$6:$D$205,'Work Log'!$E$6:$E$205,"S3",'Work Log'!$A$6:$A$205,"&lt;="&amp;L12)))</x:f>
      </x:c>
      <x:c r="K12" s="11" t="str">
        <x:f>IF(OR(L12="",SUMIF('Backlog'!$B$6:$B$25,"S3",'Backlog'!$E$6:$E$25)=0,Burndown!$B$7="",Burndown!$C$7="",Burndown!$C$7&lt;=Burndown!$B$7),"",MAX(0,SUMIF('Backlog'!$B$6:$B$25,"S3",'Backlog'!$E$6:$E$25)*(Burndown!$C$7-L12)/(Burndown!$C$7-Burndown!$B$7)))</x:f>
      </x:c>
      <x:c r="L12" s="10" t="str">
        <x:f>IF(OR('Work Log'!$E$15&lt;&gt;"S3",'Work Log'!$A$15=""),"",'Work Log'!$A$15)</x:f>
      </x:c>
      <x:c r="M12" t="str">
        <x:f>IF(P12="","",TEXT(P12,"mm/dd/yy"))</x:f>
      </x:c>
      <x:c r="N12" s="11" t="str">
        <x:f>IF(OR(P12="",SUMIF('Backlog'!$B$6:$B$25,"S4",'Backlog'!$E$6:$E$25)=0,Burndown!$B$8="",Burndown!$C$8=""),"",MAX(0,SUMIF('Backlog'!$B$6:$B$25,"S4",'Backlog'!$E$6:$E$25)-SUMIFS('Work Log'!$D$6:$D$205,'Work Log'!$E$6:$E$205,"S4",'Work Log'!$A$6:$A$205,"&lt;="&amp;P12)))</x:f>
      </x:c>
      <x:c r="O12" s="11" t="str">
        <x:f>IF(OR(P12="",SUMIF('Backlog'!$B$6:$B$25,"S4",'Backlog'!$E$6:$E$25)=0,Burndown!$B$8="",Burndown!$C$8="",Burndown!$C$8&lt;=Burndown!$B$8),"",MAX(0,SUMIF('Backlog'!$B$6:$B$25,"S4",'Backlog'!$E$6:$E$25)*(Burndown!$C$8-P12)/(Burndown!$C$8-Burndown!$B$8)))</x:f>
      </x:c>
      <x:c r="P12" s="10" t="str">
        <x:f>IF(OR('Work Log'!$E$15&lt;&gt;"S4",'Work Log'!$A$15=""),"",'Work Log'!$A$15)</x:f>
      </x:c>
      <x:c r="Q12" t="str">
        <x:f>IF(T12="","",TEXT(T12,"mm/dd/yy"))</x:f>
      </x:c>
      <x:c r="R12" s="11" t="str">
        <x:f>IF(OR(T12="",SUMIF('Backlog'!$B$6:$B$25,"S5",'Backlog'!$E$6:$E$25)=0,Burndown!$B$9="",Burndown!$C$9=""),"",MAX(0,SUMIF('Backlog'!$B$6:$B$25,"S5",'Backlog'!$E$6:$E$25)-SUMIFS('Work Log'!$D$6:$D$205,'Work Log'!$E$6:$E$205,"S5",'Work Log'!$A$6:$A$205,"&lt;="&amp;T12)))</x:f>
      </x:c>
      <x:c r="S12" s="11" t="str">
        <x:f>IF(OR(T12="",SUMIF('Backlog'!$B$6:$B$25,"S5",'Backlog'!$E$6:$E$25)=0,Burndown!$B$9="",Burndown!$C$9="",Burndown!$C$9&lt;=Burndown!$B$9),"",MAX(0,SUMIF('Backlog'!$B$6:$B$25,"S5",'Backlog'!$E$6:$E$25)*(Burndown!$C$9-T12)/(Burndown!$C$9-Burndown!$B$9)))</x:f>
      </x:c>
      <x:c r="T12" s="10" t="str">
        <x:f>IF(OR('Work Log'!$E$15&lt;&gt;"S5",'Work Log'!$A$15=""),"",'Work Log'!$A$15)</x:f>
      </x:c>
    </x:row>
    <x:row r="13">
      <x:c r="A13" t="str">
        <x:f>IF(D13="","",TEXT(D13,"mm/dd/yy"))</x:f>
      </x:c>
      <x:c r="B13" s="11" t="str">
        <x:f>IF(OR(D13="",SUMIF('Backlog'!$B$6:$B$25,"S1",'Backlog'!$E$6:$E$25)=0,Burndown!$B$5="",Burndown!$C$5=""),"",MAX(0,SUMIF('Backlog'!$B$6:$B$25,"S1",'Backlog'!$E$6:$E$25)-SUMIFS('Work Log'!$D$6:$D$205,'Work Log'!$E$6:$E$205,"S1",'Work Log'!$A$6:$A$205,"&lt;="&amp;D13)))</x:f>
      </x:c>
      <x:c r="C13" s="11" t="str">
        <x:f>IF(OR(D13="",SUMIF('Backlog'!$B$6:$B$25,"S1",'Backlog'!$E$6:$E$25)=0,Burndown!$B$5="",Burndown!$C$5="",Burndown!$C$5&lt;=Burndown!$B$5),"",MAX(0,SUMIF('Backlog'!$B$6:$B$25,"S1",'Backlog'!$E$6:$E$25)*(Burndown!$C$5-D13)/(Burndown!$C$5-Burndown!$B$5)))</x:f>
      </x:c>
      <x:c r="D13" s="10" t="str">
        <x:f>IF(OR('Work Log'!$E$16&lt;&gt;"S1",'Work Log'!$A$16=""),"",'Work Log'!$A$16)</x:f>
      </x:c>
      <x:c r="E13" t="str">
        <x:f>IF(H13="","",TEXT(H13,"mm/dd/yy"))</x:f>
      </x:c>
      <x:c r="F13" s="11" t="str">
        <x:f>IF(OR(H13="",SUMIF('Backlog'!$B$6:$B$25,"S2",'Backlog'!$E$6:$E$25)=0,Burndown!$B$6="",Burndown!$C$6=""),"",MAX(0,SUMIF('Backlog'!$B$6:$B$25,"S2",'Backlog'!$E$6:$E$25)-SUMIFS('Work Log'!$D$6:$D$205,'Work Log'!$E$6:$E$205,"S2",'Work Log'!$A$6:$A$205,"&lt;="&amp;H13)))</x:f>
      </x:c>
      <x:c r="G13" s="11" t="str">
        <x:f>IF(OR(H13="",SUMIF('Backlog'!$B$6:$B$25,"S2",'Backlog'!$E$6:$E$25)=0,Burndown!$B$6="",Burndown!$C$6="",Burndown!$C$6&lt;=Burndown!$B$6),"",MAX(0,SUMIF('Backlog'!$B$6:$B$25,"S2",'Backlog'!$E$6:$E$25)*(Burndown!$C$6-H13)/(Burndown!$C$6-Burndown!$B$6)))</x:f>
      </x:c>
      <x:c r="H13" s="10" t="str">
        <x:f>IF(OR('Work Log'!$E$16&lt;&gt;"S2",'Work Log'!$A$16=""),"",'Work Log'!$A$16)</x:f>
      </x:c>
      <x:c r="I13" t="str">
        <x:f>IF(L13="","",TEXT(L13,"mm/dd/yy"))</x:f>
      </x:c>
      <x:c r="J13" s="11" t="str">
        <x:f>IF(OR(L13="",SUMIF('Backlog'!$B$6:$B$25,"S3",'Backlog'!$E$6:$E$25)=0,Burndown!$B$7="",Burndown!$C$7=""),"",MAX(0,SUMIF('Backlog'!$B$6:$B$25,"S3",'Backlog'!$E$6:$E$25)-SUMIFS('Work Log'!$D$6:$D$205,'Work Log'!$E$6:$E$205,"S3",'Work Log'!$A$6:$A$205,"&lt;="&amp;L13)))</x:f>
      </x:c>
      <x:c r="K13" s="11" t="str">
        <x:f>IF(OR(L13="",SUMIF('Backlog'!$B$6:$B$25,"S3",'Backlog'!$E$6:$E$25)=0,Burndown!$B$7="",Burndown!$C$7="",Burndown!$C$7&lt;=Burndown!$B$7),"",MAX(0,SUMIF('Backlog'!$B$6:$B$25,"S3",'Backlog'!$E$6:$E$25)*(Burndown!$C$7-L13)/(Burndown!$C$7-Burndown!$B$7)))</x:f>
      </x:c>
      <x:c r="L13" s="10" t="str">
        <x:f>IF(OR('Work Log'!$E$16&lt;&gt;"S3",'Work Log'!$A$16=""),"",'Work Log'!$A$16)</x:f>
      </x:c>
      <x:c r="M13" t="str">
        <x:f>IF(P13="","",TEXT(P13,"mm/dd/yy"))</x:f>
      </x:c>
      <x:c r="N13" s="11" t="str">
        <x:f>IF(OR(P13="",SUMIF('Backlog'!$B$6:$B$25,"S4",'Backlog'!$E$6:$E$25)=0,Burndown!$B$8="",Burndown!$C$8=""),"",MAX(0,SUMIF('Backlog'!$B$6:$B$25,"S4",'Backlog'!$E$6:$E$25)-SUMIFS('Work Log'!$D$6:$D$205,'Work Log'!$E$6:$E$205,"S4",'Work Log'!$A$6:$A$205,"&lt;="&amp;P13)))</x:f>
      </x:c>
      <x:c r="O13" s="11" t="str">
        <x:f>IF(OR(P13="",SUMIF('Backlog'!$B$6:$B$25,"S4",'Backlog'!$E$6:$E$25)=0,Burndown!$B$8="",Burndown!$C$8="",Burndown!$C$8&lt;=Burndown!$B$8),"",MAX(0,SUMIF('Backlog'!$B$6:$B$25,"S4",'Backlog'!$E$6:$E$25)*(Burndown!$C$8-P13)/(Burndown!$C$8-Burndown!$B$8)))</x:f>
      </x:c>
      <x:c r="P13" s="10" t="str">
        <x:f>IF(OR('Work Log'!$E$16&lt;&gt;"S4",'Work Log'!$A$16=""),"",'Work Log'!$A$16)</x:f>
      </x:c>
      <x:c r="Q13" t="str">
        <x:f>IF(T13="","",TEXT(T13,"mm/dd/yy"))</x:f>
      </x:c>
      <x:c r="R13" s="11" t="str">
        <x:f>IF(OR(T13="",SUMIF('Backlog'!$B$6:$B$25,"S5",'Backlog'!$E$6:$E$25)=0,Burndown!$B$9="",Burndown!$C$9=""),"",MAX(0,SUMIF('Backlog'!$B$6:$B$25,"S5",'Backlog'!$E$6:$E$25)-SUMIFS('Work Log'!$D$6:$D$205,'Work Log'!$E$6:$E$205,"S5",'Work Log'!$A$6:$A$205,"&lt;="&amp;T13)))</x:f>
      </x:c>
      <x:c r="S13" s="11" t="str">
        <x:f>IF(OR(T13="",SUMIF('Backlog'!$B$6:$B$25,"S5",'Backlog'!$E$6:$E$25)=0,Burndown!$B$9="",Burndown!$C$9="",Burndown!$C$9&lt;=Burndown!$B$9),"",MAX(0,SUMIF('Backlog'!$B$6:$B$25,"S5",'Backlog'!$E$6:$E$25)*(Burndown!$C$9-T13)/(Burndown!$C$9-Burndown!$B$9)))</x:f>
      </x:c>
      <x:c r="T13" s="10" t="str">
        <x:f>IF(OR('Work Log'!$E$16&lt;&gt;"S5",'Work Log'!$A$16=""),"",'Work Log'!$A$16)</x:f>
      </x:c>
    </x:row>
    <x:row r="14">
      <x:c r="A14" t="str">
        <x:f>IF(D14="","",TEXT(D14,"mm/dd/yy"))</x:f>
      </x:c>
      <x:c r="B14" s="11" t="str">
        <x:f>IF(OR(D14="",SUMIF('Backlog'!$B$6:$B$25,"S1",'Backlog'!$E$6:$E$25)=0,Burndown!$B$5="",Burndown!$C$5=""),"",MAX(0,SUMIF('Backlog'!$B$6:$B$25,"S1",'Backlog'!$E$6:$E$25)-SUMIFS('Work Log'!$D$6:$D$205,'Work Log'!$E$6:$E$205,"S1",'Work Log'!$A$6:$A$205,"&lt;="&amp;D14)))</x:f>
      </x:c>
      <x:c r="C14" s="11" t="str">
        <x:f>IF(OR(D14="",SUMIF('Backlog'!$B$6:$B$25,"S1",'Backlog'!$E$6:$E$25)=0,Burndown!$B$5="",Burndown!$C$5="",Burndown!$C$5&lt;=Burndown!$B$5),"",MAX(0,SUMIF('Backlog'!$B$6:$B$25,"S1",'Backlog'!$E$6:$E$25)*(Burndown!$C$5-D14)/(Burndown!$C$5-Burndown!$B$5)))</x:f>
      </x:c>
      <x:c r="D14" s="10" t="str">
        <x:f>IF(OR('Work Log'!$E$17&lt;&gt;"S1",'Work Log'!$A$17=""),"",'Work Log'!$A$17)</x:f>
      </x:c>
      <x:c r="E14" t="str">
        <x:f>IF(H14="","",TEXT(H14,"mm/dd/yy"))</x:f>
      </x:c>
      <x:c r="F14" s="11" t="str">
        <x:f>IF(OR(H14="",SUMIF('Backlog'!$B$6:$B$25,"S2",'Backlog'!$E$6:$E$25)=0,Burndown!$B$6="",Burndown!$C$6=""),"",MAX(0,SUMIF('Backlog'!$B$6:$B$25,"S2",'Backlog'!$E$6:$E$25)-SUMIFS('Work Log'!$D$6:$D$205,'Work Log'!$E$6:$E$205,"S2",'Work Log'!$A$6:$A$205,"&lt;="&amp;H14)))</x:f>
      </x:c>
      <x:c r="G14" s="11" t="str">
        <x:f>IF(OR(H14="",SUMIF('Backlog'!$B$6:$B$25,"S2",'Backlog'!$E$6:$E$25)=0,Burndown!$B$6="",Burndown!$C$6="",Burndown!$C$6&lt;=Burndown!$B$6),"",MAX(0,SUMIF('Backlog'!$B$6:$B$25,"S2",'Backlog'!$E$6:$E$25)*(Burndown!$C$6-H14)/(Burndown!$C$6-Burndown!$B$6)))</x:f>
      </x:c>
      <x:c r="H14" s="10" t="str">
        <x:f>IF(OR('Work Log'!$E$17&lt;&gt;"S2",'Work Log'!$A$17=""),"",'Work Log'!$A$17)</x:f>
      </x:c>
      <x:c r="I14" t="str">
        <x:f>IF(L14="","",TEXT(L14,"mm/dd/yy"))</x:f>
      </x:c>
      <x:c r="J14" s="11" t="str">
        <x:f>IF(OR(L14="",SUMIF('Backlog'!$B$6:$B$25,"S3",'Backlog'!$E$6:$E$25)=0,Burndown!$B$7="",Burndown!$C$7=""),"",MAX(0,SUMIF('Backlog'!$B$6:$B$25,"S3",'Backlog'!$E$6:$E$25)-SUMIFS('Work Log'!$D$6:$D$205,'Work Log'!$E$6:$E$205,"S3",'Work Log'!$A$6:$A$205,"&lt;="&amp;L14)))</x:f>
      </x:c>
      <x:c r="K14" s="11" t="str">
        <x:f>IF(OR(L14="",SUMIF('Backlog'!$B$6:$B$25,"S3",'Backlog'!$E$6:$E$25)=0,Burndown!$B$7="",Burndown!$C$7="",Burndown!$C$7&lt;=Burndown!$B$7),"",MAX(0,SUMIF('Backlog'!$B$6:$B$25,"S3",'Backlog'!$E$6:$E$25)*(Burndown!$C$7-L14)/(Burndown!$C$7-Burndown!$B$7)))</x:f>
      </x:c>
      <x:c r="L14" s="10" t="str">
        <x:f>IF(OR('Work Log'!$E$17&lt;&gt;"S3",'Work Log'!$A$17=""),"",'Work Log'!$A$17)</x:f>
      </x:c>
      <x:c r="M14" t="str">
        <x:f>IF(P14="","",TEXT(P14,"mm/dd/yy"))</x:f>
      </x:c>
      <x:c r="N14" s="11" t="str">
        <x:f>IF(OR(P14="",SUMIF('Backlog'!$B$6:$B$25,"S4",'Backlog'!$E$6:$E$25)=0,Burndown!$B$8="",Burndown!$C$8=""),"",MAX(0,SUMIF('Backlog'!$B$6:$B$25,"S4",'Backlog'!$E$6:$E$25)-SUMIFS('Work Log'!$D$6:$D$205,'Work Log'!$E$6:$E$205,"S4",'Work Log'!$A$6:$A$205,"&lt;="&amp;P14)))</x:f>
      </x:c>
      <x:c r="O14" s="11" t="str">
        <x:f>IF(OR(P14="",SUMIF('Backlog'!$B$6:$B$25,"S4",'Backlog'!$E$6:$E$25)=0,Burndown!$B$8="",Burndown!$C$8="",Burndown!$C$8&lt;=Burndown!$B$8),"",MAX(0,SUMIF('Backlog'!$B$6:$B$25,"S4",'Backlog'!$E$6:$E$25)*(Burndown!$C$8-P14)/(Burndown!$C$8-Burndown!$B$8)))</x:f>
      </x:c>
      <x:c r="P14" s="10" t="str">
        <x:f>IF(OR('Work Log'!$E$17&lt;&gt;"S4",'Work Log'!$A$17=""),"",'Work Log'!$A$17)</x:f>
      </x:c>
      <x:c r="Q14" t="str">
        <x:f>IF(T14="","",TEXT(T14,"mm/dd/yy"))</x:f>
      </x:c>
      <x:c r="R14" s="11" t="str">
        <x:f>IF(OR(T14="",SUMIF('Backlog'!$B$6:$B$25,"S5",'Backlog'!$E$6:$E$25)=0,Burndown!$B$9="",Burndown!$C$9=""),"",MAX(0,SUMIF('Backlog'!$B$6:$B$25,"S5",'Backlog'!$E$6:$E$25)-SUMIFS('Work Log'!$D$6:$D$205,'Work Log'!$E$6:$E$205,"S5",'Work Log'!$A$6:$A$205,"&lt;="&amp;T14)))</x:f>
      </x:c>
      <x:c r="S14" s="11" t="str">
        <x:f>IF(OR(T14="",SUMIF('Backlog'!$B$6:$B$25,"S5",'Backlog'!$E$6:$E$25)=0,Burndown!$B$9="",Burndown!$C$9="",Burndown!$C$9&lt;=Burndown!$B$9),"",MAX(0,SUMIF('Backlog'!$B$6:$B$25,"S5",'Backlog'!$E$6:$E$25)*(Burndown!$C$9-T14)/(Burndown!$C$9-Burndown!$B$9)))</x:f>
      </x:c>
      <x:c r="T14" s="10" t="str">
        <x:f>IF(OR('Work Log'!$E$17&lt;&gt;"S5",'Work Log'!$A$17=""),"",'Work Log'!$A$17)</x:f>
      </x:c>
    </x:row>
    <x:row r="15">
      <x:c r="A15" t="str">
        <x:f>IF(D15="","",TEXT(D15,"mm/dd/yy"))</x:f>
      </x:c>
      <x:c r="B15" s="11" t="str">
        <x:f>IF(OR(D15="",SUMIF('Backlog'!$B$6:$B$25,"S1",'Backlog'!$E$6:$E$25)=0,Burndown!$B$5="",Burndown!$C$5=""),"",MAX(0,SUMIF('Backlog'!$B$6:$B$25,"S1",'Backlog'!$E$6:$E$25)-SUMIFS('Work Log'!$D$6:$D$205,'Work Log'!$E$6:$E$205,"S1",'Work Log'!$A$6:$A$205,"&lt;="&amp;D15)))</x:f>
      </x:c>
      <x:c r="C15" s="11" t="str">
        <x:f>IF(OR(D15="",SUMIF('Backlog'!$B$6:$B$25,"S1",'Backlog'!$E$6:$E$25)=0,Burndown!$B$5="",Burndown!$C$5="",Burndown!$C$5&lt;=Burndown!$B$5),"",MAX(0,SUMIF('Backlog'!$B$6:$B$25,"S1",'Backlog'!$E$6:$E$25)*(Burndown!$C$5-D15)/(Burndown!$C$5-Burndown!$B$5)))</x:f>
      </x:c>
      <x:c r="D15" s="10" t="str">
        <x:f>IF(OR('Work Log'!$E$18&lt;&gt;"S1",'Work Log'!$A$18=""),"",'Work Log'!$A$18)</x:f>
      </x:c>
      <x:c r="E15" t="str">
        <x:f>IF(H15="","",TEXT(H15,"mm/dd/yy"))</x:f>
      </x:c>
      <x:c r="F15" s="11" t="str">
        <x:f>IF(OR(H15="",SUMIF('Backlog'!$B$6:$B$25,"S2",'Backlog'!$E$6:$E$25)=0,Burndown!$B$6="",Burndown!$C$6=""),"",MAX(0,SUMIF('Backlog'!$B$6:$B$25,"S2",'Backlog'!$E$6:$E$25)-SUMIFS('Work Log'!$D$6:$D$205,'Work Log'!$E$6:$E$205,"S2",'Work Log'!$A$6:$A$205,"&lt;="&amp;H15)))</x:f>
      </x:c>
      <x:c r="G15" s="11" t="str">
        <x:f>IF(OR(H15="",SUMIF('Backlog'!$B$6:$B$25,"S2",'Backlog'!$E$6:$E$25)=0,Burndown!$B$6="",Burndown!$C$6="",Burndown!$C$6&lt;=Burndown!$B$6),"",MAX(0,SUMIF('Backlog'!$B$6:$B$25,"S2",'Backlog'!$E$6:$E$25)*(Burndown!$C$6-H15)/(Burndown!$C$6-Burndown!$B$6)))</x:f>
      </x:c>
      <x:c r="H15" s="10" t="str">
        <x:f>IF(OR('Work Log'!$E$18&lt;&gt;"S2",'Work Log'!$A$18=""),"",'Work Log'!$A$18)</x:f>
      </x:c>
      <x:c r="I15" t="str">
        <x:f>IF(L15="","",TEXT(L15,"mm/dd/yy"))</x:f>
      </x:c>
      <x:c r="J15" s="11" t="str">
        <x:f>IF(OR(L15="",SUMIF('Backlog'!$B$6:$B$25,"S3",'Backlog'!$E$6:$E$25)=0,Burndown!$B$7="",Burndown!$C$7=""),"",MAX(0,SUMIF('Backlog'!$B$6:$B$25,"S3",'Backlog'!$E$6:$E$25)-SUMIFS('Work Log'!$D$6:$D$205,'Work Log'!$E$6:$E$205,"S3",'Work Log'!$A$6:$A$205,"&lt;="&amp;L15)))</x:f>
      </x:c>
      <x:c r="K15" s="11" t="str">
        <x:f>IF(OR(L15="",SUMIF('Backlog'!$B$6:$B$25,"S3",'Backlog'!$E$6:$E$25)=0,Burndown!$B$7="",Burndown!$C$7="",Burndown!$C$7&lt;=Burndown!$B$7),"",MAX(0,SUMIF('Backlog'!$B$6:$B$25,"S3",'Backlog'!$E$6:$E$25)*(Burndown!$C$7-L15)/(Burndown!$C$7-Burndown!$B$7)))</x:f>
      </x:c>
      <x:c r="L15" s="10" t="str">
        <x:f>IF(OR('Work Log'!$E$18&lt;&gt;"S3",'Work Log'!$A$18=""),"",'Work Log'!$A$18)</x:f>
      </x:c>
      <x:c r="M15" t="str">
        <x:f>IF(P15="","",TEXT(P15,"mm/dd/yy"))</x:f>
      </x:c>
      <x:c r="N15" s="11" t="str">
        <x:f>IF(OR(P15="",SUMIF('Backlog'!$B$6:$B$25,"S4",'Backlog'!$E$6:$E$25)=0,Burndown!$B$8="",Burndown!$C$8=""),"",MAX(0,SUMIF('Backlog'!$B$6:$B$25,"S4",'Backlog'!$E$6:$E$25)-SUMIFS('Work Log'!$D$6:$D$205,'Work Log'!$E$6:$E$205,"S4",'Work Log'!$A$6:$A$205,"&lt;="&amp;P15)))</x:f>
      </x:c>
      <x:c r="O15" s="11" t="str">
        <x:f>IF(OR(P15="",SUMIF('Backlog'!$B$6:$B$25,"S4",'Backlog'!$E$6:$E$25)=0,Burndown!$B$8="",Burndown!$C$8="",Burndown!$C$8&lt;=Burndown!$B$8),"",MAX(0,SUMIF('Backlog'!$B$6:$B$25,"S4",'Backlog'!$E$6:$E$25)*(Burndown!$C$8-P15)/(Burndown!$C$8-Burndown!$B$8)))</x:f>
      </x:c>
      <x:c r="P15" s="10" t="str">
        <x:f>IF(OR('Work Log'!$E$18&lt;&gt;"S4",'Work Log'!$A$18=""),"",'Work Log'!$A$18)</x:f>
      </x:c>
      <x:c r="Q15" t="str">
        <x:f>IF(T15="","",TEXT(T15,"mm/dd/yy"))</x:f>
      </x:c>
      <x:c r="R15" s="11" t="str">
        <x:f>IF(OR(T15="",SUMIF('Backlog'!$B$6:$B$25,"S5",'Backlog'!$E$6:$E$25)=0,Burndown!$B$9="",Burndown!$C$9=""),"",MAX(0,SUMIF('Backlog'!$B$6:$B$25,"S5",'Backlog'!$E$6:$E$25)-SUMIFS('Work Log'!$D$6:$D$205,'Work Log'!$E$6:$E$205,"S5",'Work Log'!$A$6:$A$205,"&lt;="&amp;T15)))</x:f>
      </x:c>
      <x:c r="S15" s="11" t="str">
        <x:f>IF(OR(T15="",SUMIF('Backlog'!$B$6:$B$25,"S5",'Backlog'!$E$6:$E$25)=0,Burndown!$B$9="",Burndown!$C$9="",Burndown!$C$9&lt;=Burndown!$B$9),"",MAX(0,SUMIF('Backlog'!$B$6:$B$25,"S5",'Backlog'!$E$6:$E$25)*(Burndown!$C$9-T15)/(Burndown!$C$9-Burndown!$B$9)))</x:f>
      </x:c>
      <x:c r="T15" s="10" t="str">
        <x:f>IF(OR('Work Log'!$E$18&lt;&gt;"S5",'Work Log'!$A$18=""),"",'Work Log'!$A$18)</x:f>
      </x:c>
    </x:row>
    <x:row r="16">
      <x:c r="A16" t="str">
        <x:f>IF(D16="","",TEXT(D16,"mm/dd/yy"))</x:f>
      </x:c>
      <x:c r="B16" s="11" t="str">
        <x:f>IF(OR(D16="",SUMIF('Backlog'!$B$6:$B$25,"S1",'Backlog'!$E$6:$E$25)=0,Burndown!$B$5="",Burndown!$C$5=""),"",MAX(0,SUMIF('Backlog'!$B$6:$B$25,"S1",'Backlog'!$E$6:$E$25)-SUMIFS('Work Log'!$D$6:$D$205,'Work Log'!$E$6:$E$205,"S1",'Work Log'!$A$6:$A$205,"&lt;="&amp;D16)))</x:f>
      </x:c>
      <x:c r="C16" s="11" t="str">
        <x:f>IF(OR(D16="",SUMIF('Backlog'!$B$6:$B$25,"S1",'Backlog'!$E$6:$E$25)=0,Burndown!$B$5="",Burndown!$C$5="",Burndown!$C$5&lt;=Burndown!$B$5),"",MAX(0,SUMIF('Backlog'!$B$6:$B$25,"S1",'Backlog'!$E$6:$E$25)*(Burndown!$C$5-D16)/(Burndown!$C$5-Burndown!$B$5)))</x:f>
      </x:c>
      <x:c r="D16" s="10" t="str">
        <x:f>IF(OR('Work Log'!$E$19&lt;&gt;"S1",'Work Log'!$A$19=""),"",'Work Log'!$A$19)</x:f>
      </x:c>
      <x:c r="E16" t="str">
        <x:f>IF(H16="","",TEXT(H16,"mm/dd/yy"))</x:f>
      </x:c>
      <x:c r="F16" s="11" t="str">
        <x:f>IF(OR(H16="",SUMIF('Backlog'!$B$6:$B$25,"S2",'Backlog'!$E$6:$E$25)=0,Burndown!$B$6="",Burndown!$C$6=""),"",MAX(0,SUMIF('Backlog'!$B$6:$B$25,"S2",'Backlog'!$E$6:$E$25)-SUMIFS('Work Log'!$D$6:$D$205,'Work Log'!$E$6:$E$205,"S2",'Work Log'!$A$6:$A$205,"&lt;="&amp;H16)))</x:f>
      </x:c>
      <x:c r="G16" s="11" t="str">
        <x:f>IF(OR(H16="",SUMIF('Backlog'!$B$6:$B$25,"S2",'Backlog'!$E$6:$E$25)=0,Burndown!$B$6="",Burndown!$C$6="",Burndown!$C$6&lt;=Burndown!$B$6),"",MAX(0,SUMIF('Backlog'!$B$6:$B$25,"S2",'Backlog'!$E$6:$E$25)*(Burndown!$C$6-H16)/(Burndown!$C$6-Burndown!$B$6)))</x:f>
      </x:c>
      <x:c r="H16" s="10" t="str">
        <x:f>IF(OR('Work Log'!$E$19&lt;&gt;"S2",'Work Log'!$A$19=""),"",'Work Log'!$A$19)</x:f>
      </x:c>
      <x:c r="I16" t="str">
        <x:f>IF(L16="","",TEXT(L16,"mm/dd/yy"))</x:f>
      </x:c>
      <x:c r="J16" s="11" t="str">
        <x:f>IF(OR(L16="",SUMIF('Backlog'!$B$6:$B$25,"S3",'Backlog'!$E$6:$E$25)=0,Burndown!$B$7="",Burndown!$C$7=""),"",MAX(0,SUMIF('Backlog'!$B$6:$B$25,"S3",'Backlog'!$E$6:$E$25)-SUMIFS('Work Log'!$D$6:$D$205,'Work Log'!$E$6:$E$205,"S3",'Work Log'!$A$6:$A$205,"&lt;="&amp;L16)))</x:f>
      </x:c>
      <x:c r="K16" s="11" t="str">
        <x:f>IF(OR(L16="",SUMIF('Backlog'!$B$6:$B$25,"S3",'Backlog'!$E$6:$E$25)=0,Burndown!$B$7="",Burndown!$C$7="",Burndown!$C$7&lt;=Burndown!$B$7),"",MAX(0,SUMIF('Backlog'!$B$6:$B$25,"S3",'Backlog'!$E$6:$E$25)*(Burndown!$C$7-L16)/(Burndown!$C$7-Burndown!$B$7)))</x:f>
      </x:c>
      <x:c r="L16" s="10" t="str">
        <x:f>IF(OR('Work Log'!$E$19&lt;&gt;"S3",'Work Log'!$A$19=""),"",'Work Log'!$A$19)</x:f>
      </x:c>
      <x:c r="M16" t="str">
        <x:f>IF(P16="","",TEXT(P16,"mm/dd/yy"))</x:f>
      </x:c>
      <x:c r="N16" s="11" t="str">
        <x:f>IF(OR(P16="",SUMIF('Backlog'!$B$6:$B$25,"S4",'Backlog'!$E$6:$E$25)=0,Burndown!$B$8="",Burndown!$C$8=""),"",MAX(0,SUMIF('Backlog'!$B$6:$B$25,"S4",'Backlog'!$E$6:$E$25)-SUMIFS('Work Log'!$D$6:$D$205,'Work Log'!$E$6:$E$205,"S4",'Work Log'!$A$6:$A$205,"&lt;="&amp;P16)))</x:f>
      </x:c>
      <x:c r="O16" s="11" t="str">
        <x:f>IF(OR(P16="",SUMIF('Backlog'!$B$6:$B$25,"S4",'Backlog'!$E$6:$E$25)=0,Burndown!$B$8="",Burndown!$C$8="",Burndown!$C$8&lt;=Burndown!$B$8),"",MAX(0,SUMIF('Backlog'!$B$6:$B$25,"S4",'Backlog'!$E$6:$E$25)*(Burndown!$C$8-P16)/(Burndown!$C$8-Burndown!$B$8)))</x:f>
      </x:c>
      <x:c r="P16" s="10" t="str">
        <x:f>IF(OR('Work Log'!$E$19&lt;&gt;"S4",'Work Log'!$A$19=""),"",'Work Log'!$A$19)</x:f>
      </x:c>
      <x:c r="Q16" t="str">
        <x:f>IF(T16="","",TEXT(T16,"mm/dd/yy"))</x:f>
      </x:c>
      <x:c r="R16" s="11" t="str">
        <x:f>IF(OR(T16="",SUMIF('Backlog'!$B$6:$B$25,"S5",'Backlog'!$E$6:$E$25)=0,Burndown!$B$9="",Burndown!$C$9=""),"",MAX(0,SUMIF('Backlog'!$B$6:$B$25,"S5",'Backlog'!$E$6:$E$25)-SUMIFS('Work Log'!$D$6:$D$205,'Work Log'!$E$6:$E$205,"S5",'Work Log'!$A$6:$A$205,"&lt;="&amp;T16)))</x:f>
      </x:c>
      <x:c r="S16" s="11" t="str">
        <x:f>IF(OR(T16="",SUMIF('Backlog'!$B$6:$B$25,"S5",'Backlog'!$E$6:$E$25)=0,Burndown!$B$9="",Burndown!$C$9="",Burndown!$C$9&lt;=Burndown!$B$9),"",MAX(0,SUMIF('Backlog'!$B$6:$B$25,"S5",'Backlog'!$E$6:$E$25)*(Burndown!$C$9-T16)/(Burndown!$C$9-Burndown!$B$9)))</x:f>
      </x:c>
      <x:c r="T16" s="10" t="str">
        <x:f>IF(OR('Work Log'!$E$19&lt;&gt;"S5",'Work Log'!$A$19=""),"",'Work Log'!$A$19)</x:f>
      </x:c>
    </x:row>
    <x:row r="17">
      <x:c r="A17" t="str">
        <x:f>IF(D17="","",TEXT(D17,"mm/dd/yy"))</x:f>
      </x:c>
      <x:c r="B17" s="11" t="str">
        <x:f>IF(OR(D17="",SUMIF('Backlog'!$B$6:$B$25,"S1",'Backlog'!$E$6:$E$25)=0,Burndown!$B$5="",Burndown!$C$5=""),"",MAX(0,SUMIF('Backlog'!$B$6:$B$25,"S1",'Backlog'!$E$6:$E$25)-SUMIFS('Work Log'!$D$6:$D$205,'Work Log'!$E$6:$E$205,"S1",'Work Log'!$A$6:$A$205,"&lt;="&amp;D17)))</x:f>
      </x:c>
      <x:c r="C17" s="11" t="str">
        <x:f>IF(OR(D17="",SUMIF('Backlog'!$B$6:$B$25,"S1",'Backlog'!$E$6:$E$25)=0,Burndown!$B$5="",Burndown!$C$5="",Burndown!$C$5&lt;=Burndown!$B$5),"",MAX(0,SUMIF('Backlog'!$B$6:$B$25,"S1",'Backlog'!$E$6:$E$25)*(Burndown!$C$5-D17)/(Burndown!$C$5-Burndown!$B$5)))</x:f>
      </x:c>
      <x:c r="D17" s="10" t="str">
        <x:f>IF(OR('Work Log'!$E$20&lt;&gt;"S1",'Work Log'!$A$20=""),"",'Work Log'!$A$20)</x:f>
      </x:c>
      <x:c r="E17" t="str">
        <x:f>IF(H17="","",TEXT(H17,"mm/dd/yy"))</x:f>
      </x:c>
      <x:c r="F17" s="11" t="str">
        <x:f>IF(OR(H17="",SUMIF('Backlog'!$B$6:$B$25,"S2",'Backlog'!$E$6:$E$25)=0,Burndown!$B$6="",Burndown!$C$6=""),"",MAX(0,SUMIF('Backlog'!$B$6:$B$25,"S2",'Backlog'!$E$6:$E$25)-SUMIFS('Work Log'!$D$6:$D$205,'Work Log'!$E$6:$E$205,"S2",'Work Log'!$A$6:$A$205,"&lt;="&amp;H17)))</x:f>
      </x:c>
      <x:c r="G17" s="11" t="str">
        <x:f>IF(OR(H17="",SUMIF('Backlog'!$B$6:$B$25,"S2",'Backlog'!$E$6:$E$25)=0,Burndown!$B$6="",Burndown!$C$6="",Burndown!$C$6&lt;=Burndown!$B$6),"",MAX(0,SUMIF('Backlog'!$B$6:$B$25,"S2",'Backlog'!$E$6:$E$25)*(Burndown!$C$6-H17)/(Burndown!$C$6-Burndown!$B$6)))</x:f>
      </x:c>
      <x:c r="H17" s="10" t="str">
        <x:f>IF(OR('Work Log'!$E$20&lt;&gt;"S2",'Work Log'!$A$20=""),"",'Work Log'!$A$20)</x:f>
      </x:c>
      <x:c r="I17" t="str">
        <x:f>IF(L17="","",TEXT(L17,"mm/dd/yy"))</x:f>
      </x:c>
      <x:c r="J17" s="11" t="str">
        <x:f>IF(OR(L17="",SUMIF('Backlog'!$B$6:$B$25,"S3",'Backlog'!$E$6:$E$25)=0,Burndown!$B$7="",Burndown!$C$7=""),"",MAX(0,SUMIF('Backlog'!$B$6:$B$25,"S3",'Backlog'!$E$6:$E$25)-SUMIFS('Work Log'!$D$6:$D$205,'Work Log'!$E$6:$E$205,"S3",'Work Log'!$A$6:$A$205,"&lt;="&amp;L17)))</x:f>
      </x:c>
      <x:c r="K17" s="11" t="str">
        <x:f>IF(OR(L17="",SUMIF('Backlog'!$B$6:$B$25,"S3",'Backlog'!$E$6:$E$25)=0,Burndown!$B$7="",Burndown!$C$7="",Burndown!$C$7&lt;=Burndown!$B$7),"",MAX(0,SUMIF('Backlog'!$B$6:$B$25,"S3",'Backlog'!$E$6:$E$25)*(Burndown!$C$7-L17)/(Burndown!$C$7-Burndown!$B$7)))</x:f>
      </x:c>
      <x:c r="L17" s="10" t="str">
        <x:f>IF(OR('Work Log'!$E$20&lt;&gt;"S3",'Work Log'!$A$20=""),"",'Work Log'!$A$20)</x:f>
      </x:c>
      <x:c r="M17" t="str">
        <x:f>IF(P17="","",TEXT(P17,"mm/dd/yy"))</x:f>
      </x:c>
      <x:c r="N17" s="11" t="str">
        <x:f>IF(OR(P17="",SUMIF('Backlog'!$B$6:$B$25,"S4",'Backlog'!$E$6:$E$25)=0,Burndown!$B$8="",Burndown!$C$8=""),"",MAX(0,SUMIF('Backlog'!$B$6:$B$25,"S4",'Backlog'!$E$6:$E$25)-SUMIFS('Work Log'!$D$6:$D$205,'Work Log'!$E$6:$E$205,"S4",'Work Log'!$A$6:$A$205,"&lt;="&amp;P17)))</x:f>
      </x:c>
      <x:c r="O17" s="11" t="str">
        <x:f>IF(OR(P17="",SUMIF('Backlog'!$B$6:$B$25,"S4",'Backlog'!$E$6:$E$25)=0,Burndown!$B$8="",Burndown!$C$8="",Burndown!$C$8&lt;=Burndown!$B$8),"",MAX(0,SUMIF('Backlog'!$B$6:$B$25,"S4",'Backlog'!$E$6:$E$25)*(Burndown!$C$8-P17)/(Burndown!$C$8-Burndown!$B$8)))</x:f>
      </x:c>
      <x:c r="P17" s="10" t="str">
        <x:f>IF(OR('Work Log'!$E$20&lt;&gt;"S4",'Work Log'!$A$20=""),"",'Work Log'!$A$20)</x:f>
      </x:c>
      <x:c r="Q17" t="str">
        <x:f>IF(T17="","",TEXT(T17,"mm/dd/yy"))</x:f>
      </x:c>
      <x:c r="R17" s="11" t="str">
        <x:f>IF(OR(T17="",SUMIF('Backlog'!$B$6:$B$25,"S5",'Backlog'!$E$6:$E$25)=0,Burndown!$B$9="",Burndown!$C$9=""),"",MAX(0,SUMIF('Backlog'!$B$6:$B$25,"S5",'Backlog'!$E$6:$E$25)-SUMIFS('Work Log'!$D$6:$D$205,'Work Log'!$E$6:$E$205,"S5",'Work Log'!$A$6:$A$205,"&lt;="&amp;T17)))</x:f>
      </x:c>
      <x:c r="S17" s="11" t="str">
        <x:f>IF(OR(T17="",SUMIF('Backlog'!$B$6:$B$25,"S5",'Backlog'!$E$6:$E$25)=0,Burndown!$B$9="",Burndown!$C$9="",Burndown!$C$9&lt;=Burndown!$B$9),"",MAX(0,SUMIF('Backlog'!$B$6:$B$25,"S5",'Backlog'!$E$6:$E$25)*(Burndown!$C$9-T17)/(Burndown!$C$9-Burndown!$B$9)))</x:f>
      </x:c>
      <x:c r="T17" s="10" t="str">
        <x:f>IF(OR('Work Log'!$E$20&lt;&gt;"S5",'Work Log'!$A$20=""),"",'Work Log'!$A$20)</x:f>
      </x:c>
    </x:row>
    <x:row r="18">
      <x:c r="A18" t="str">
        <x:f>IF(D18="","",TEXT(D18,"mm/dd/yy"))</x:f>
      </x:c>
      <x:c r="B18" s="11" t="str">
        <x:f>IF(OR(D18="",SUMIF('Backlog'!$B$6:$B$25,"S1",'Backlog'!$E$6:$E$25)=0,Burndown!$B$5="",Burndown!$C$5=""),"",MAX(0,SUMIF('Backlog'!$B$6:$B$25,"S1",'Backlog'!$E$6:$E$25)-SUMIFS('Work Log'!$D$6:$D$205,'Work Log'!$E$6:$E$205,"S1",'Work Log'!$A$6:$A$205,"&lt;="&amp;D18)))</x:f>
      </x:c>
      <x:c r="C18" s="11" t="str">
        <x:f>IF(OR(D18="",SUMIF('Backlog'!$B$6:$B$25,"S1",'Backlog'!$E$6:$E$25)=0,Burndown!$B$5="",Burndown!$C$5="",Burndown!$C$5&lt;=Burndown!$B$5),"",MAX(0,SUMIF('Backlog'!$B$6:$B$25,"S1",'Backlog'!$E$6:$E$25)*(Burndown!$C$5-D18)/(Burndown!$C$5-Burndown!$B$5)))</x:f>
      </x:c>
      <x:c r="D18" s="10" t="str">
        <x:f>IF(OR('Work Log'!$E$21&lt;&gt;"S1",'Work Log'!$A$21=""),"",'Work Log'!$A$21)</x:f>
      </x:c>
      <x:c r="E18" t="str">
        <x:f>IF(H18="","",TEXT(H18,"mm/dd/yy"))</x:f>
      </x:c>
      <x:c r="F18" s="11" t="str">
        <x:f>IF(OR(H18="",SUMIF('Backlog'!$B$6:$B$25,"S2",'Backlog'!$E$6:$E$25)=0,Burndown!$B$6="",Burndown!$C$6=""),"",MAX(0,SUMIF('Backlog'!$B$6:$B$25,"S2",'Backlog'!$E$6:$E$25)-SUMIFS('Work Log'!$D$6:$D$205,'Work Log'!$E$6:$E$205,"S2",'Work Log'!$A$6:$A$205,"&lt;="&amp;H18)))</x:f>
      </x:c>
      <x:c r="G18" s="11" t="str">
        <x:f>IF(OR(H18="",SUMIF('Backlog'!$B$6:$B$25,"S2",'Backlog'!$E$6:$E$25)=0,Burndown!$B$6="",Burndown!$C$6="",Burndown!$C$6&lt;=Burndown!$B$6),"",MAX(0,SUMIF('Backlog'!$B$6:$B$25,"S2",'Backlog'!$E$6:$E$25)*(Burndown!$C$6-H18)/(Burndown!$C$6-Burndown!$B$6)))</x:f>
      </x:c>
      <x:c r="H18" s="10" t="str">
        <x:f>IF(OR('Work Log'!$E$21&lt;&gt;"S2",'Work Log'!$A$21=""),"",'Work Log'!$A$21)</x:f>
      </x:c>
      <x:c r="I18" t="str">
        <x:f>IF(L18="","",TEXT(L18,"mm/dd/yy"))</x:f>
      </x:c>
      <x:c r="J18" s="11" t="str">
        <x:f>IF(OR(L18="",SUMIF('Backlog'!$B$6:$B$25,"S3",'Backlog'!$E$6:$E$25)=0,Burndown!$B$7="",Burndown!$C$7=""),"",MAX(0,SUMIF('Backlog'!$B$6:$B$25,"S3",'Backlog'!$E$6:$E$25)-SUMIFS('Work Log'!$D$6:$D$205,'Work Log'!$E$6:$E$205,"S3",'Work Log'!$A$6:$A$205,"&lt;="&amp;L18)))</x:f>
      </x:c>
      <x:c r="K18" s="11" t="str">
        <x:f>IF(OR(L18="",SUMIF('Backlog'!$B$6:$B$25,"S3",'Backlog'!$E$6:$E$25)=0,Burndown!$B$7="",Burndown!$C$7="",Burndown!$C$7&lt;=Burndown!$B$7),"",MAX(0,SUMIF('Backlog'!$B$6:$B$25,"S3",'Backlog'!$E$6:$E$25)*(Burndown!$C$7-L18)/(Burndown!$C$7-Burndown!$B$7)))</x:f>
      </x:c>
      <x:c r="L18" s="10" t="str">
        <x:f>IF(OR('Work Log'!$E$21&lt;&gt;"S3",'Work Log'!$A$21=""),"",'Work Log'!$A$21)</x:f>
      </x:c>
      <x:c r="M18" t="str">
        <x:f>IF(P18="","",TEXT(P18,"mm/dd/yy"))</x:f>
      </x:c>
      <x:c r="N18" s="11" t="str">
        <x:f>IF(OR(P18="",SUMIF('Backlog'!$B$6:$B$25,"S4",'Backlog'!$E$6:$E$25)=0,Burndown!$B$8="",Burndown!$C$8=""),"",MAX(0,SUMIF('Backlog'!$B$6:$B$25,"S4",'Backlog'!$E$6:$E$25)-SUMIFS('Work Log'!$D$6:$D$205,'Work Log'!$E$6:$E$205,"S4",'Work Log'!$A$6:$A$205,"&lt;="&amp;P18)))</x:f>
      </x:c>
      <x:c r="O18" s="11" t="str">
        <x:f>IF(OR(P18="",SUMIF('Backlog'!$B$6:$B$25,"S4",'Backlog'!$E$6:$E$25)=0,Burndown!$B$8="",Burndown!$C$8="",Burndown!$C$8&lt;=Burndown!$B$8),"",MAX(0,SUMIF('Backlog'!$B$6:$B$25,"S4",'Backlog'!$E$6:$E$25)*(Burndown!$C$8-P18)/(Burndown!$C$8-Burndown!$B$8)))</x:f>
      </x:c>
      <x:c r="P18" s="10" t="str">
        <x:f>IF(OR('Work Log'!$E$21&lt;&gt;"S4",'Work Log'!$A$21=""),"",'Work Log'!$A$21)</x:f>
      </x:c>
      <x:c r="Q18" t="str">
        <x:f>IF(T18="","",TEXT(T18,"mm/dd/yy"))</x:f>
      </x:c>
      <x:c r="R18" s="11" t="str">
        <x:f>IF(OR(T18="",SUMIF('Backlog'!$B$6:$B$25,"S5",'Backlog'!$E$6:$E$25)=0,Burndown!$B$9="",Burndown!$C$9=""),"",MAX(0,SUMIF('Backlog'!$B$6:$B$25,"S5",'Backlog'!$E$6:$E$25)-SUMIFS('Work Log'!$D$6:$D$205,'Work Log'!$E$6:$E$205,"S5",'Work Log'!$A$6:$A$205,"&lt;="&amp;T18)))</x:f>
      </x:c>
      <x:c r="S18" s="11" t="str">
        <x:f>IF(OR(T18="",SUMIF('Backlog'!$B$6:$B$25,"S5",'Backlog'!$E$6:$E$25)=0,Burndown!$B$9="",Burndown!$C$9="",Burndown!$C$9&lt;=Burndown!$B$9),"",MAX(0,SUMIF('Backlog'!$B$6:$B$25,"S5",'Backlog'!$E$6:$E$25)*(Burndown!$C$9-T18)/(Burndown!$C$9-Burndown!$B$9)))</x:f>
      </x:c>
      <x:c r="T18" s="10" t="str">
        <x:f>IF(OR('Work Log'!$E$21&lt;&gt;"S5",'Work Log'!$A$21=""),"",'Work Log'!$A$21)</x:f>
      </x:c>
    </x:row>
    <x:row r="19">
      <x:c r="A19" t="str">
        <x:f>IF(D19="","",TEXT(D19,"mm/dd/yy"))</x:f>
      </x:c>
      <x:c r="B19" s="11" t="str">
        <x:f>IF(OR(D19="",SUMIF('Backlog'!$B$6:$B$25,"S1",'Backlog'!$E$6:$E$25)=0,Burndown!$B$5="",Burndown!$C$5=""),"",MAX(0,SUMIF('Backlog'!$B$6:$B$25,"S1",'Backlog'!$E$6:$E$25)-SUMIFS('Work Log'!$D$6:$D$205,'Work Log'!$E$6:$E$205,"S1",'Work Log'!$A$6:$A$205,"&lt;="&amp;D19)))</x:f>
      </x:c>
      <x:c r="C19" s="11" t="str">
        <x:f>IF(OR(D19="",SUMIF('Backlog'!$B$6:$B$25,"S1",'Backlog'!$E$6:$E$25)=0,Burndown!$B$5="",Burndown!$C$5="",Burndown!$C$5&lt;=Burndown!$B$5),"",MAX(0,SUMIF('Backlog'!$B$6:$B$25,"S1",'Backlog'!$E$6:$E$25)*(Burndown!$C$5-D19)/(Burndown!$C$5-Burndown!$B$5)))</x:f>
      </x:c>
      <x:c r="D19" s="10" t="str">
        <x:f>IF(OR('Work Log'!$E$22&lt;&gt;"S1",'Work Log'!$A$22=""),"",'Work Log'!$A$22)</x:f>
      </x:c>
      <x:c r="E19" t="str">
        <x:f>IF(H19="","",TEXT(H19,"mm/dd/yy"))</x:f>
      </x:c>
      <x:c r="F19" s="11" t="str">
        <x:f>IF(OR(H19="",SUMIF('Backlog'!$B$6:$B$25,"S2",'Backlog'!$E$6:$E$25)=0,Burndown!$B$6="",Burndown!$C$6=""),"",MAX(0,SUMIF('Backlog'!$B$6:$B$25,"S2",'Backlog'!$E$6:$E$25)-SUMIFS('Work Log'!$D$6:$D$205,'Work Log'!$E$6:$E$205,"S2",'Work Log'!$A$6:$A$205,"&lt;="&amp;H19)))</x:f>
      </x:c>
      <x:c r="G19" s="11" t="str">
        <x:f>IF(OR(H19="",SUMIF('Backlog'!$B$6:$B$25,"S2",'Backlog'!$E$6:$E$25)=0,Burndown!$B$6="",Burndown!$C$6="",Burndown!$C$6&lt;=Burndown!$B$6),"",MAX(0,SUMIF('Backlog'!$B$6:$B$25,"S2",'Backlog'!$E$6:$E$25)*(Burndown!$C$6-H19)/(Burndown!$C$6-Burndown!$B$6)))</x:f>
      </x:c>
      <x:c r="H19" s="10" t="str">
        <x:f>IF(OR('Work Log'!$E$22&lt;&gt;"S2",'Work Log'!$A$22=""),"",'Work Log'!$A$22)</x:f>
      </x:c>
      <x:c r="I19" t="str">
        <x:f>IF(L19="","",TEXT(L19,"mm/dd/yy"))</x:f>
      </x:c>
      <x:c r="J19" s="11" t="str">
        <x:f>IF(OR(L19="",SUMIF('Backlog'!$B$6:$B$25,"S3",'Backlog'!$E$6:$E$25)=0,Burndown!$B$7="",Burndown!$C$7=""),"",MAX(0,SUMIF('Backlog'!$B$6:$B$25,"S3",'Backlog'!$E$6:$E$25)-SUMIFS('Work Log'!$D$6:$D$205,'Work Log'!$E$6:$E$205,"S3",'Work Log'!$A$6:$A$205,"&lt;="&amp;L19)))</x:f>
      </x:c>
      <x:c r="K19" s="11" t="str">
        <x:f>IF(OR(L19="",SUMIF('Backlog'!$B$6:$B$25,"S3",'Backlog'!$E$6:$E$25)=0,Burndown!$B$7="",Burndown!$C$7="",Burndown!$C$7&lt;=Burndown!$B$7),"",MAX(0,SUMIF('Backlog'!$B$6:$B$25,"S3",'Backlog'!$E$6:$E$25)*(Burndown!$C$7-L19)/(Burndown!$C$7-Burndown!$B$7)))</x:f>
      </x:c>
      <x:c r="L19" s="10" t="str">
        <x:f>IF(OR('Work Log'!$E$22&lt;&gt;"S3",'Work Log'!$A$22=""),"",'Work Log'!$A$22)</x:f>
      </x:c>
      <x:c r="M19" t="str">
        <x:f>IF(P19="","",TEXT(P19,"mm/dd/yy"))</x:f>
      </x:c>
      <x:c r="N19" s="11" t="str">
        <x:f>IF(OR(P19="",SUMIF('Backlog'!$B$6:$B$25,"S4",'Backlog'!$E$6:$E$25)=0,Burndown!$B$8="",Burndown!$C$8=""),"",MAX(0,SUMIF('Backlog'!$B$6:$B$25,"S4",'Backlog'!$E$6:$E$25)-SUMIFS('Work Log'!$D$6:$D$205,'Work Log'!$E$6:$E$205,"S4",'Work Log'!$A$6:$A$205,"&lt;="&amp;P19)))</x:f>
      </x:c>
      <x:c r="O19" s="11" t="str">
        <x:f>IF(OR(P19="",SUMIF('Backlog'!$B$6:$B$25,"S4",'Backlog'!$E$6:$E$25)=0,Burndown!$B$8="",Burndown!$C$8="",Burndown!$C$8&lt;=Burndown!$B$8),"",MAX(0,SUMIF('Backlog'!$B$6:$B$25,"S4",'Backlog'!$E$6:$E$25)*(Burndown!$C$8-P19)/(Burndown!$C$8-Burndown!$B$8)))</x:f>
      </x:c>
      <x:c r="P19" s="10" t="str">
        <x:f>IF(OR('Work Log'!$E$22&lt;&gt;"S4",'Work Log'!$A$22=""),"",'Work Log'!$A$22)</x:f>
      </x:c>
      <x:c r="Q19" t="str">
        <x:f>IF(T19="","",TEXT(T19,"mm/dd/yy"))</x:f>
      </x:c>
      <x:c r="R19" s="11" t="str">
        <x:f>IF(OR(T19="",SUMIF('Backlog'!$B$6:$B$25,"S5",'Backlog'!$E$6:$E$25)=0,Burndown!$B$9="",Burndown!$C$9=""),"",MAX(0,SUMIF('Backlog'!$B$6:$B$25,"S5",'Backlog'!$E$6:$E$25)-SUMIFS('Work Log'!$D$6:$D$205,'Work Log'!$E$6:$E$205,"S5",'Work Log'!$A$6:$A$205,"&lt;="&amp;T19)))</x:f>
      </x:c>
      <x:c r="S19" s="11" t="str">
        <x:f>IF(OR(T19="",SUMIF('Backlog'!$B$6:$B$25,"S5",'Backlog'!$E$6:$E$25)=0,Burndown!$B$9="",Burndown!$C$9="",Burndown!$C$9&lt;=Burndown!$B$9),"",MAX(0,SUMIF('Backlog'!$B$6:$B$25,"S5",'Backlog'!$E$6:$E$25)*(Burndown!$C$9-T19)/(Burndown!$C$9-Burndown!$B$9)))</x:f>
      </x:c>
      <x:c r="T19" s="10" t="str">
        <x:f>IF(OR('Work Log'!$E$22&lt;&gt;"S5",'Work Log'!$A$22=""),"",'Work Log'!$A$22)</x:f>
      </x:c>
    </x:row>
    <x:row r="20">
      <x:c r="A20" t="str">
        <x:f>IF(D20="","",TEXT(D20,"mm/dd/yy"))</x:f>
      </x:c>
      <x:c r="B20" s="11" t="str">
        <x:f>IF(OR(D20="",SUMIF('Backlog'!$B$6:$B$25,"S1",'Backlog'!$E$6:$E$25)=0,Burndown!$B$5="",Burndown!$C$5=""),"",MAX(0,SUMIF('Backlog'!$B$6:$B$25,"S1",'Backlog'!$E$6:$E$25)-SUMIFS('Work Log'!$D$6:$D$205,'Work Log'!$E$6:$E$205,"S1",'Work Log'!$A$6:$A$205,"&lt;="&amp;D20)))</x:f>
      </x:c>
      <x:c r="C20" s="11" t="str">
        <x:f>IF(OR(D20="",SUMIF('Backlog'!$B$6:$B$25,"S1",'Backlog'!$E$6:$E$25)=0,Burndown!$B$5="",Burndown!$C$5="",Burndown!$C$5&lt;=Burndown!$B$5),"",MAX(0,SUMIF('Backlog'!$B$6:$B$25,"S1",'Backlog'!$E$6:$E$25)*(Burndown!$C$5-D20)/(Burndown!$C$5-Burndown!$B$5)))</x:f>
      </x:c>
      <x:c r="D20" s="10" t="str">
        <x:f>IF(OR('Work Log'!$E$23&lt;&gt;"S1",'Work Log'!$A$23=""),"",'Work Log'!$A$23)</x:f>
      </x:c>
      <x:c r="E20" t="str">
        <x:f>IF(H20="","",TEXT(H20,"mm/dd/yy"))</x:f>
      </x:c>
      <x:c r="F20" s="11" t="str">
        <x:f>IF(OR(H20="",SUMIF('Backlog'!$B$6:$B$25,"S2",'Backlog'!$E$6:$E$25)=0,Burndown!$B$6="",Burndown!$C$6=""),"",MAX(0,SUMIF('Backlog'!$B$6:$B$25,"S2",'Backlog'!$E$6:$E$25)-SUMIFS('Work Log'!$D$6:$D$205,'Work Log'!$E$6:$E$205,"S2",'Work Log'!$A$6:$A$205,"&lt;="&amp;H20)))</x:f>
      </x:c>
      <x:c r="G20" s="11" t="str">
        <x:f>IF(OR(H20="",SUMIF('Backlog'!$B$6:$B$25,"S2",'Backlog'!$E$6:$E$25)=0,Burndown!$B$6="",Burndown!$C$6="",Burndown!$C$6&lt;=Burndown!$B$6),"",MAX(0,SUMIF('Backlog'!$B$6:$B$25,"S2",'Backlog'!$E$6:$E$25)*(Burndown!$C$6-H20)/(Burndown!$C$6-Burndown!$B$6)))</x:f>
      </x:c>
      <x:c r="H20" s="10" t="str">
        <x:f>IF(OR('Work Log'!$E$23&lt;&gt;"S2",'Work Log'!$A$23=""),"",'Work Log'!$A$23)</x:f>
      </x:c>
      <x:c r="I20" t="str">
        <x:f>IF(L20="","",TEXT(L20,"mm/dd/yy"))</x:f>
      </x:c>
      <x:c r="J20" s="11" t="str">
        <x:f>IF(OR(L20="",SUMIF('Backlog'!$B$6:$B$25,"S3",'Backlog'!$E$6:$E$25)=0,Burndown!$B$7="",Burndown!$C$7=""),"",MAX(0,SUMIF('Backlog'!$B$6:$B$25,"S3",'Backlog'!$E$6:$E$25)-SUMIFS('Work Log'!$D$6:$D$205,'Work Log'!$E$6:$E$205,"S3",'Work Log'!$A$6:$A$205,"&lt;="&amp;L20)))</x:f>
      </x:c>
      <x:c r="K20" s="11" t="str">
        <x:f>IF(OR(L20="",SUMIF('Backlog'!$B$6:$B$25,"S3",'Backlog'!$E$6:$E$25)=0,Burndown!$B$7="",Burndown!$C$7="",Burndown!$C$7&lt;=Burndown!$B$7),"",MAX(0,SUMIF('Backlog'!$B$6:$B$25,"S3",'Backlog'!$E$6:$E$25)*(Burndown!$C$7-L20)/(Burndown!$C$7-Burndown!$B$7)))</x:f>
      </x:c>
      <x:c r="L20" s="10" t="str">
        <x:f>IF(OR('Work Log'!$E$23&lt;&gt;"S3",'Work Log'!$A$23=""),"",'Work Log'!$A$23)</x:f>
      </x:c>
      <x:c r="M20" t="str">
        <x:f>IF(P20="","",TEXT(P20,"mm/dd/yy"))</x:f>
      </x:c>
      <x:c r="N20" s="11" t="str">
        <x:f>IF(OR(P20="",SUMIF('Backlog'!$B$6:$B$25,"S4",'Backlog'!$E$6:$E$25)=0,Burndown!$B$8="",Burndown!$C$8=""),"",MAX(0,SUMIF('Backlog'!$B$6:$B$25,"S4",'Backlog'!$E$6:$E$25)-SUMIFS('Work Log'!$D$6:$D$205,'Work Log'!$E$6:$E$205,"S4",'Work Log'!$A$6:$A$205,"&lt;="&amp;P20)))</x:f>
      </x:c>
      <x:c r="O20" s="11" t="str">
        <x:f>IF(OR(P20="",SUMIF('Backlog'!$B$6:$B$25,"S4",'Backlog'!$E$6:$E$25)=0,Burndown!$B$8="",Burndown!$C$8="",Burndown!$C$8&lt;=Burndown!$B$8),"",MAX(0,SUMIF('Backlog'!$B$6:$B$25,"S4",'Backlog'!$E$6:$E$25)*(Burndown!$C$8-P20)/(Burndown!$C$8-Burndown!$B$8)))</x:f>
      </x:c>
      <x:c r="P20" s="10" t="str">
        <x:f>IF(OR('Work Log'!$E$23&lt;&gt;"S4",'Work Log'!$A$23=""),"",'Work Log'!$A$23)</x:f>
      </x:c>
      <x:c r="Q20" t="str">
        <x:f>IF(T20="","",TEXT(T20,"mm/dd/yy"))</x:f>
      </x:c>
      <x:c r="R20" s="11" t="str">
        <x:f>IF(OR(T20="",SUMIF('Backlog'!$B$6:$B$25,"S5",'Backlog'!$E$6:$E$25)=0,Burndown!$B$9="",Burndown!$C$9=""),"",MAX(0,SUMIF('Backlog'!$B$6:$B$25,"S5",'Backlog'!$E$6:$E$25)-SUMIFS('Work Log'!$D$6:$D$205,'Work Log'!$E$6:$E$205,"S5",'Work Log'!$A$6:$A$205,"&lt;="&amp;T20)))</x:f>
      </x:c>
      <x:c r="S20" s="11" t="str">
        <x:f>IF(OR(T20="",SUMIF('Backlog'!$B$6:$B$25,"S5",'Backlog'!$E$6:$E$25)=0,Burndown!$B$9="",Burndown!$C$9="",Burndown!$C$9&lt;=Burndown!$B$9),"",MAX(0,SUMIF('Backlog'!$B$6:$B$25,"S5",'Backlog'!$E$6:$E$25)*(Burndown!$C$9-T20)/(Burndown!$C$9-Burndown!$B$9)))</x:f>
      </x:c>
      <x:c r="T20" s="10" t="str">
        <x:f>IF(OR('Work Log'!$E$23&lt;&gt;"S5",'Work Log'!$A$23=""),"",'Work Log'!$A$23)</x:f>
      </x:c>
    </x:row>
    <x:row r="21">
      <x:c r="A21" t="str">
        <x:f>IF(D21="","",TEXT(D21,"mm/dd/yy"))</x:f>
      </x:c>
      <x:c r="B21" s="11" t="str">
        <x:f>IF(OR(D21="",SUMIF('Backlog'!$B$6:$B$25,"S1",'Backlog'!$E$6:$E$25)=0,Burndown!$B$5="",Burndown!$C$5=""),"",MAX(0,SUMIF('Backlog'!$B$6:$B$25,"S1",'Backlog'!$E$6:$E$25)-SUMIFS('Work Log'!$D$6:$D$205,'Work Log'!$E$6:$E$205,"S1",'Work Log'!$A$6:$A$205,"&lt;="&amp;D21)))</x:f>
      </x:c>
      <x:c r="C21" s="11" t="str">
        <x:f>IF(OR(D21="",SUMIF('Backlog'!$B$6:$B$25,"S1",'Backlog'!$E$6:$E$25)=0,Burndown!$B$5="",Burndown!$C$5="",Burndown!$C$5&lt;=Burndown!$B$5),"",MAX(0,SUMIF('Backlog'!$B$6:$B$25,"S1",'Backlog'!$E$6:$E$25)*(Burndown!$C$5-D21)/(Burndown!$C$5-Burndown!$B$5)))</x:f>
      </x:c>
      <x:c r="D21" s="10" t="str">
        <x:f>IF(OR('Work Log'!$E$24&lt;&gt;"S1",'Work Log'!$A$24=""),"",'Work Log'!$A$24)</x:f>
      </x:c>
      <x:c r="E21" t="str">
        <x:f>IF(H21="","",TEXT(H21,"mm/dd/yy"))</x:f>
      </x:c>
      <x:c r="F21" s="11" t="str">
        <x:f>IF(OR(H21="",SUMIF('Backlog'!$B$6:$B$25,"S2",'Backlog'!$E$6:$E$25)=0,Burndown!$B$6="",Burndown!$C$6=""),"",MAX(0,SUMIF('Backlog'!$B$6:$B$25,"S2",'Backlog'!$E$6:$E$25)-SUMIFS('Work Log'!$D$6:$D$205,'Work Log'!$E$6:$E$205,"S2",'Work Log'!$A$6:$A$205,"&lt;="&amp;H21)))</x:f>
      </x:c>
      <x:c r="G21" s="11" t="str">
        <x:f>IF(OR(H21="",SUMIF('Backlog'!$B$6:$B$25,"S2",'Backlog'!$E$6:$E$25)=0,Burndown!$B$6="",Burndown!$C$6="",Burndown!$C$6&lt;=Burndown!$B$6),"",MAX(0,SUMIF('Backlog'!$B$6:$B$25,"S2",'Backlog'!$E$6:$E$25)*(Burndown!$C$6-H21)/(Burndown!$C$6-Burndown!$B$6)))</x:f>
      </x:c>
      <x:c r="H21" s="10" t="str">
        <x:f>IF(OR('Work Log'!$E$24&lt;&gt;"S2",'Work Log'!$A$24=""),"",'Work Log'!$A$24)</x:f>
      </x:c>
      <x:c r="I21" t="str">
        <x:f>IF(L21="","",TEXT(L21,"mm/dd/yy"))</x:f>
      </x:c>
      <x:c r="J21" s="11" t="str">
        <x:f>IF(OR(L21="",SUMIF('Backlog'!$B$6:$B$25,"S3",'Backlog'!$E$6:$E$25)=0,Burndown!$B$7="",Burndown!$C$7=""),"",MAX(0,SUMIF('Backlog'!$B$6:$B$25,"S3",'Backlog'!$E$6:$E$25)-SUMIFS('Work Log'!$D$6:$D$205,'Work Log'!$E$6:$E$205,"S3",'Work Log'!$A$6:$A$205,"&lt;="&amp;L21)))</x:f>
      </x:c>
      <x:c r="K21" s="11" t="str">
        <x:f>IF(OR(L21="",SUMIF('Backlog'!$B$6:$B$25,"S3",'Backlog'!$E$6:$E$25)=0,Burndown!$B$7="",Burndown!$C$7="",Burndown!$C$7&lt;=Burndown!$B$7),"",MAX(0,SUMIF('Backlog'!$B$6:$B$25,"S3",'Backlog'!$E$6:$E$25)*(Burndown!$C$7-L21)/(Burndown!$C$7-Burndown!$B$7)))</x:f>
      </x:c>
      <x:c r="L21" s="10" t="str">
        <x:f>IF(OR('Work Log'!$E$24&lt;&gt;"S3",'Work Log'!$A$24=""),"",'Work Log'!$A$24)</x:f>
      </x:c>
      <x:c r="M21" t="str">
        <x:f>IF(P21="","",TEXT(P21,"mm/dd/yy"))</x:f>
      </x:c>
      <x:c r="N21" s="11" t="str">
        <x:f>IF(OR(P21="",SUMIF('Backlog'!$B$6:$B$25,"S4",'Backlog'!$E$6:$E$25)=0,Burndown!$B$8="",Burndown!$C$8=""),"",MAX(0,SUMIF('Backlog'!$B$6:$B$25,"S4",'Backlog'!$E$6:$E$25)-SUMIFS('Work Log'!$D$6:$D$205,'Work Log'!$E$6:$E$205,"S4",'Work Log'!$A$6:$A$205,"&lt;="&amp;P21)))</x:f>
      </x:c>
      <x:c r="O21" s="11" t="str">
        <x:f>IF(OR(P21="",SUMIF('Backlog'!$B$6:$B$25,"S4",'Backlog'!$E$6:$E$25)=0,Burndown!$B$8="",Burndown!$C$8="",Burndown!$C$8&lt;=Burndown!$B$8),"",MAX(0,SUMIF('Backlog'!$B$6:$B$25,"S4",'Backlog'!$E$6:$E$25)*(Burndown!$C$8-P21)/(Burndown!$C$8-Burndown!$B$8)))</x:f>
      </x:c>
      <x:c r="P21" s="10" t="str">
        <x:f>IF(OR('Work Log'!$E$24&lt;&gt;"S4",'Work Log'!$A$24=""),"",'Work Log'!$A$24)</x:f>
      </x:c>
      <x:c r="Q21" t="str">
        <x:f>IF(T21="","",TEXT(T21,"mm/dd/yy"))</x:f>
      </x:c>
      <x:c r="R21" s="11" t="str">
        <x:f>IF(OR(T21="",SUMIF('Backlog'!$B$6:$B$25,"S5",'Backlog'!$E$6:$E$25)=0,Burndown!$B$9="",Burndown!$C$9=""),"",MAX(0,SUMIF('Backlog'!$B$6:$B$25,"S5",'Backlog'!$E$6:$E$25)-SUMIFS('Work Log'!$D$6:$D$205,'Work Log'!$E$6:$E$205,"S5",'Work Log'!$A$6:$A$205,"&lt;="&amp;T21)))</x:f>
      </x:c>
      <x:c r="S21" s="11" t="str">
        <x:f>IF(OR(T21="",SUMIF('Backlog'!$B$6:$B$25,"S5",'Backlog'!$E$6:$E$25)=0,Burndown!$B$9="",Burndown!$C$9="",Burndown!$C$9&lt;=Burndown!$B$9),"",MAX(0,SUMIF('Backlog'!$B$6:$B$25,"S5",'Backlog'!$E$6:$E$25)*(Burndown!$C$9-T21)/(Burndown!$C$9-Burndown!$B$9)))</x:f>
      </x:c>
      <x:c r="T21" s="10" t="str">
        <x:f>IF(OR('Work Log'!$E$24&lt;&gt;"S5",'Work Log'!$A$24=""),"",'Work Log'!$A$24)</x:f>
      </x:c>
    </x:row>
    <x:row r="22">
      <x:c r="A22" t="str">
        <x:f>IF(D22="","",TEXT(D22,"mm/dd/yy"))</x:f>
      </x:c>
      <x:c r="B22" s="11" t="str">
        <x:f>IF(OR(D22="",SUMIF('Backlog'!$B$6:$B$25,"S1",'Backlog'!$E$6:$E$25)=0,Burndown!$B$5="",Burndown!$C$5=""),"",MAX(0,SUMIF('Backlog'!$B$6:$B$25,"S1",'Backlog'!$E$6:$E$25)-SUMIFS('Work Log'!$D$6:$D$205,'Work Log'!$E$6:$E$205,"S1",'Work Log'!$A$6:$A$205,"&lt;="&amp;D22)))</x:f>
      </x:c>
      <x:c r="C22" s="11" t="str">
        <x:f>IF(OR(D22="",SUMIF('Backlog'!$B$6:$B$25,"S1",'Backlog'!$E$6:$E$25)=0,Burndown!$B$5="",Burndown!$C$5="",Burndown!$C$5&lt;=Burndown!$B$5),"",MAX(0,SUMIF('Backlog'!$B$6:$B$25,"S1",'Backlog'!$E$6:$E$25)*(Burndown!$C$5-D22)/(Burndown!$C$5-Burndown!$B$5)))</x:f>
      </x:c>
      <x:c r="D22" s="10" t="str">
        <x:f>IF(OR('Work Log'!$E$25&lt;&gt;"S1",'Work Log'!$A$25=""),"",'Work Log'!$A$25)</x:f>
      </x:c>
      <x:c r="E22" t="str">
        <x:f>IF(H22="","",TEXT(H22,"mm/dd/yy"))</x:f>
      </x:c>
      <x:c r="F22" s="11" t="str">
        <x:f>IF(OR(H22="",SUMIF('Backlog'!$B$6:$B$25,"S2",'Backlog'!$E$6:$E$25)=0,Burndown!$B$6="",Burndown!$C$6=""),"",MAX(0,SUMIF('Backlog'!$B$6:$B$25,"S2",'Backlog'!$E$6:$E$25)-SUMIFS('Work Log'!$D$6:$D$205,'Work Log'!$E$6:$E$205,"S2",'Work Log'!$A$6:$A$205,"&lt;="&amp;H22)))</x:f>
      </x:c>
      <x:c r="G22" s="11" t="str">
        <x:f>IF(OR(H22="",SUMIF('Backlog'!$B$6:$B$25,"S2",'Backlog'!$E$6:$E$25)=0,Burndown!$B$6="",Burndown!$C$6="",Burndown!$C$6&lt;=Burndown!$B$6),"",MAX(0,SUMIF('Backlog'!$B$6:$B$25,"S2",'Backlog'!$E$6:$E$25)*(Burndown!$C$6-H22)/(Burndown!$C$6-Burndown!$B$6)))</x:f>
      </x:c>
      <x:c r="H22" s="10" t="str">
        <x:f>IF(OR('Work Log'!$E$25&lt;&gt;"S2",'Work Log'!$A$25=""),"",'Work Log'!$A$25)</x:f>
      </x:c>
      <x:c r="I22" t="str">
        <x:f>IF(L22="","",TEXT(L22,"mm/dd/yy"))</x:f>
      </x:c>
      <x:c r="J22" s="11" t="str">
        <x:f>IF(OR(L22="",SUMIF('Backlog'!$B$6:$B$25,"S3",'Backlog'!$E$6:$E$25)=0,Burndown!$B$7="",Burndown!$C$7=""),"",MAX(0,SUMIF('Backlog'!$B$6:$B$25,"S3",'Backlog'!$E$6:$E$25)-SUMIFS('Work Log'!$D$6:$D$205,'Work Log'!$E$6:$E$205,"S3",'Work Log'!$A$6:$A$205,"&lt;="&amp;L22)))</x:f>
      </x:c>
      <x:c r="K22" s="11" t="str">
        <x:f>IF(OR(L22="",SUMIF('Backlog'!$B$6:$B$25,"S3",'Backlog'!$E$6:$E$25)=0,Burndown!$B$7="",Burndown!$C$7="",Burndown!$C$7&lt;=Burndown!$B$7),"",MAX(0,SUMIF('Backlog'!$B$6:$B$25,"S3",'Backlog'!$E$6:$E$25)*(Burndown!$C$7-L22)/(Burndown!$C$7-Burndown!$B$7)))</x:f>
      </x:c>
      <x:c r="L22" s="10" t="str">
        <x:f>IF(OR('Work Log'!$E$25&lt;&gt;"S3",'Work Log'!$A$25=""),"",'Work Log'!$A$25)</x:f>
      </x:c>
      <x:c r="M22" t="str">
        <x:f>IF(P22="","",TEXT(P22,"mm/dd/yy"))</x:f>
      </x:c>
      <x:c r="N22" s="11" t="str">
        <x:f>IF(OR(P22="",SUMIF('Backlog'!$B$6:$B$25,"S4",'Backlog'!$E$6:$E$25)=0,Burndown!$B$8="",Burndown!$C$8=""),"",MAX(0,SUMIF('Backlog'!$B$6:$B$25,"S4",'Backlog'!$E$6:$E$25)-SUMIFS('Work Log'!$D$6:$D$205,'Work Log'!$E$6:$E$205,"S4",'Work Log'!$A$6:$A$205,"&lt;="&amp;P22)))</x:f>
      </x:c>
      <x:c r="O22" s="11" t="str">
        <x:f>IF(OR(P22="",SUMIF('Backlog'!$B$6:$B$25,"S4",'Backlog'!$E$6:$E$25)=0,Burndown!$B$8="",Burndown!$C$8="",Burndown!$C$8&lt;=Burndown!$B$8),"",MAX(0,SUMIF('Backlog'!$B$6:$B$25,"S4",'Backlog'!$E$6:$E$25)*(Burndown!$C$8-P22)/(Burndown!$C$8-Burndown!$B$8)))</x:f>
      </x:c>
      <x:c r="P22" s="10" t="str">
        <x:f>IF(OR('Work Log'!$E$25&lt;&gt;"S4",'Work Log'!$A$25=""),"",'Work Log'!$A$25)</x:f>
      </x:c>
      <x:c r="Q22" t="str">
        <x:f>IF(T22="","",TEXT(T22,"mm/dd/yy"))</x:f>
      </x:c>
      <x:c r="R22" s="11" t="str">
        <x:f>IF(OR(T22="",SUMIF('Backlog'!$B$6:$B$25,"S5",'Backlog'!$E$6:$E$25)=0,Burndown!$B$9="",Burndown!$C$9=""),"",MAX(0,SUMIF('Backlog'!$B$6:$B$25,"S5",'Backlog'!$E$6:$E$25)-SUMIFS('Work Log'!$D$6:$D$205,'Work Log'!$E$6:$E$205,"S5",'Work Log'!$A$6:$A$205,"&lt;="&amp;T22)))</x:f>
      </x:c>
      <x:c r="S22" s="11" t="str">
        <x:f>IF(OR(T22="",SUMIF('Backlog'!$B$6:$B$25,"S5",'Backlog'!$E$6:$E$25)=0,Burndown!$B$9="",Burndown!$C$9="",Burndown!$C$9&lt;=Burndown!$B$9),"",MAX(0,SUMIF('Backlog'!$B$6:$B$25,"S5",'Backlog'!$E$6:$E$25)*(Burndown!$C$9-T22)/(Burndown!$C$9-Burndown!$B$9)))</x:f>
      </x:c>
      <x:c r="T22" s="10" t="str">
        <x:f>IF(OR('Work Log'!$E$25&lt;&gt;"S5",'Work Log'!$A$25=""),"",'Work Log'!$A$25)</x:f>
      </x:c>
    </x:row>
    <x:row r="23">
      <x:c r="A23" t="str">
        <x:f>IF(D23="","",TEXT(D23,"mm/dd/yy"))</x:f>
      </x:c>
      <x:c r="B23" s="11" t="str">
        <x:f>IF(OR(D23="",SUMIF('Backlog'!$B$6:$B$25,"S1",'Backlog'!$E$6:$E$25)=0,Burndown!$B$5="",Burndown!$C$5=""),"",MAX(0,SUMIF('Backlog'!$B$6:$B$25,"S1",'Backlog'!$E$6:$E$25)-SUMIFS('Work Log'!$D$6:$D$205,'Work Log'!$E$6:$E$205,"S1",'Work Log'!$A$6:$A$205,"&lt;="&amp;D23)))</x:f>
      </x:c>
      <x:c r="C23" s="11" t="str">
        <x:f>IF(OR(D23="",SUMIF('Backlog'!$B$6:$B$25,"S1",'Backlog'!$E$6:$E$25)=0,Burndown!$B$5="",Burndown!$C$5="",Burndown!$C$5&lt;=Burndown!$B$5),"",MAX(0,SUMIF('Backlog'!$B$6:$B$25,"S1",'Backlog'!$E$6:$E$25)*(Burndown!$C$5-D23)/(Burndown!$C$5-Burndown!$B$5)))</x:f>
      </x:c>
      <x:c r="D23" s="10" t="str">
        <x:f>IF(OR('Work Log'!$E$26&lt;&gt;"S1",'Work Log'!$A$26=""),"",'Work Log'!$A$26)</x:f>
      </x:c>
      <x:c r="E23" t="str">
        <x:f>IF(H23="","",TEXT(H23,"mm/dd/yy"))</x:f>
      </x:c>
      <x:c r="F23" s="11" t="str">
        <x:f>IF(OR(H23="",SUMIF('Backlog'!$B$6:$B$25,"S2",'Backlog'!$E$6:$E$25)=0,Burndown!$B$6="",Burndown!$C$6=""),"",MAX(0,SUMIF('Backlog'!$B$6:$B$25,"S2",'Backlog'!$E$6:$E$25)-SUMIFS('Work Log'!$D$6:$D$205,'Work Log'!$E$6:$E$205,"S2",'Work Log'!$A$6:$A$205,"&lt;="&amp;H23)))</x:f>
      </x:c>
      <x:c r="G23" s="11" t="str">
        <x:f>IF(OR(H23="",SUMIF('Backlog'!$B$6:$B$25,"S2",'Backlog'!$E$6:$E$25)=0,Burndown!$B$6="",Burndown!$C$6="",Burndown!$C$6&lt;=Burndown!$B$6),"",MAX(0,SUMIF('Backlog'!$B$6:$B$25,"S2",'Backlog'!$E$6:$E$25)*(Burndown!$C$6-H23)/(Burndown!$C$6-Burndown!$B$6)))</x:f>
      </x:c>
      <x:c r="H23" s="10" t="str">
        <x:f>IF(OR('Work Log'!$E$26&lt;&gt;"S2",'Work Log'!$A$26=""),"",'Work Log'!$A$26)</x:f>
      </x:c>
      <x:c r="I23" t="str">
        <x:f>IF(L23="","",TEXT(L23,"mm/dd/yy"))</x:f>
      </x:c>
      <x:c r="J23" s="11" t="str">
        <x:f>IF(OR(L23="",SUMIF('Backlog'!$B$6:$B$25,"S3",'Backlog'!$E$6:$E$25)=0,Burndown!$B$7="",Burndown!$C$7=""),"",MAX(0,SUMIF('Backlog'!$B$6:$B$25,"S3",'Backlog'!$E$6:$E$25)-SUMIFS('Work Log'!$D$6:$D$205,'Work Log'!$E$6:$E$205,"S3",'Work Log'!$A$6:$A$205,"&lt;="&amp;L23)))</x:f>
      </x:c>
      <x:c r="K23" s="11" t="str">
        <x:f>IF(OR(L23="",SUMIF('Backlog'!$B$6:$B$25,"S3",'Backlog'!$E$6:$E$25)=0,Burndown!$B$7="",Burndown!$C$7="",Burndown!$C$7&lt;=Burndown!$B$7),"",MAX(0,SUMIF('Backlog'!$B$6:$B$25,"S3",'Backlog'!$E$6:$E$25)*(Burndown!$C$7-L23)/(Burndown!$C$7-Burndown!$B$7)))</x:f>
      </x:c>
      <x:c r="L23" s="10" t="str">
        <x:f>IF(OR('Work Log'!$E$26&lt;&gt;"S3",'Work Log'!$A$26=""),"",'Work Log'!$A$26)</x:f>
      </x:c>
      <x:c r="M23" t="str">
        <x:f>IF(P23="","",TEXT(P23,"mm/dd/yy"))</x:f>
      </x:c>
      <x:c r="N23" s="11" t="str">
        <x:f>IF(OR(P23="",SUMIF('Backlog'!$B$6:$B$25,"S4",'Backlog'!$E$6:$E$25)=0,Burndown!$B$8="",Burndown!$C$8=""),"",MAX(0,SUMIF('Backlog'!$B$6:$B$25,"S4",'Backlog'!$E$6:$E$25)-SUMIFS('Work Log'!$D$6:$D$205,'Work Log'!$E$6:$E$205,"S4",'Work Log'!$A$6:$A$205,"&lt;="&amp;P23)))</x:f>
      </x:c>
      <x:c r="O23" s="11" t="str">
        <x:f>IF(OR(P23="",SUMIF('Backlog'!$B$6:$B$25,"S4",'Backlog'!$E$6:$E$25)=0,Burndown!$B$8="",Burndown!$C$8="",Burndown!$C$8&lt;=Burndown!$B$8),"",MAX(0,SUMIF('Backlog'!$B$6:$B$25,"S4",'Backlog'!$E$6:$E$25)*(Burndown!$C$8-P23)/(Burndown!$C$8-Burndown!$B$8)))</x:f>
      </x:c>
      <x:c r="P23" s="10" t="str">
        <x:f>IF(OR('Work Log'!$E$26&lt;&gt;"S4",'Work Log'!$A$26=""),"",'Work Log'!$A$26)</x:f>
      </x:c>
      <x:c r="Q23" t="str">
        <x:f>IF(T23="","",TEXT(T23,"mm/dd/yy"))</x:f>
      </x:c>
      <x:c r="R23" s="11" t="str">
        <x:f>IF(OR(T23="",SUMIF('Backlog'!$B$6:$B$25,"S5",'Backlog'!$E$6:$E$25)=0,Burndown!$B$9="",Burndown!$C$9=""),"",MAX(0,SUMIF('Backlog'!$B$6:$B$25,"S5",'Backlog'!$E$6:$E$25)-SUMIFS('Work Log'!$D$6:$D$205,'Work Log'!$E$6:$E$205,"S5",'Work Log'!$A$6:$A$205,"&lt;="&amp;T23)))</x:f>
      </x:c>
      <x:c r="S23" s="11" t="str">
        <x:f>IF(OR(T23="",SUMIF('Backlog'!$B$6:$B$25,"S5",'Backlog'!$E$6:$E$25)=0,Burndown!$B$9="",Burndown!$C$9="",Burndown!$C$9&lt;=Burndown!$B$9),"",MAX(0,SUMIF('Backlog'!$B$6:$B$25,"S5",'Backlog'!$E$6:$E$25)*(Burndown!$C$9-T23)/(Burndown!$C$9-Burndown!$B$9)))</x:f>
      </x:c>
      <x:c r="T23" s="10" t="str">
        <x:f>IF(OR('Work Log'!$E$26&lt;&gt;"S5",'Work Log'!$A$26=""),"",'Work Log'!$A$26)</x:f>
      </x:c>
    </x:row>
    <x:row r="24">
      <x:c r="A24" t="str">
        <x:f>IF(D24="","",TEXT(D24,"mm/dd/yy"))</x:f>
      </x:c>
      <x:c r="B24" s="11" t="str">
        <x:f>IF(OR(D24="",SUMIF('Backlog'!$B$6:$B$25,"S1",'Backlog'!$E$6:$E$25)=0,Burndown!$B$5="",Burndown!$C$5=""),"",MAX(0,SUMIF('Backlog'!$B$6:$B$25,"S1",'Backlog'!$E$6:$E$25)-SUMIFS('Work Log'!$D$6:$D$205,'Work Log'!$E$6:$E$205,"S1",'Work Log'!$A$6:$A$205,"&lt;="&amp;D24)))</x:f>
      </x:c>
      <x:c r="C24" s="11" t="str">
        <x:f>IF(OR(D24="",SUMIF('Backlog'!$B$6:$B$25,"S1",'Backlog'!$E$6:$E$25)=0,Burndown!$B$5="",Burndown!$C$5="",Burndown!$C$5&lt;=Burndown!$B$5),"",MAX(0,SUMIF('Backlog'!$B$6:$B$25,"S1",'Backlog'!$E$6:$E$25)*(Burndown!$C$5-D24)/(Burndown!$C$5-Burndown!$B$5)))</x:f>
      </x:c>
      <x:c r="D24" s="10" t="str">
        <x:f>IF(OR('Work Log'!$E$27&lt;&gt;"S1",'Work Log'!$A$27=""),"",'Work Log'!$A$27)</x:f>
      </x:c>
      <x:c r="E24" t="str">
        <x:f>IF(H24="","",TEXT(H24,"mm/dd/yy"))</x:f>
      </x:c>
      <x:c r="F24" s="11" t="str">
        <x:f>IF(OR(H24="",SUMIF('Backlog'!$B$6:$B$25,"S2",'Backlog'!$E$6:$E$25)=0,Burndown!$B$6="",Burndown!$C$6=""),"",MAX(0,SUMIF('Backlog'!$B$6:$B$25,"S2",'Backlog'!$E$6:$E$25)-SUMIFS('Work Log'!$D$6:$D$205,'Work Log'!$E$6:$E$205,"S2",'Work Log'!$A$6:$A$205,"&lt;="&amp;H24)))</x:f>
      </x:c>
      <x:c r="G24" s="11" t="str">
        <x:f>IF(OR(H24="",SUMIF('Backlog'!$B$6:$B$25,"S2",'Backlog'!$E$6:$E$25)=0,Burndown!$B$6="",Burndown!$C$6="",Burndown!$C$6&lt;=Burndown!$B$6),"",MAX(0,SUMIF('Backlog'!$B$6:$B$25,"S2",'Backlog'!$E$6:$E$25)*(Burndown!$C$6-H24)/(Burndown!$C$6-Burndown!$B$6)))</x:f>
      </x:c>
      <x:c r="H24" s="10" t="str">
        <x:f>IF(OR('Work Log'!$E$27&lt;&gt;"S2",'Work Log'!$A$27=""),"",'Work Log'!$A$27)</x:f>
      </x:c>
      <x:c r="I24" t="str">
        <x:f>IF(L24="","",TEXT(L24,"mm/dd/yy"))</x:f>
      </x:c>
      <x:c r="J24" s="11" t="str">
        <x:f>IF(OR(L24="",SUMIF('Backlog'!$B$6:$B$25,"S3",'Backlog'!$E$6:$E$25)=0,Burndown!$B$7="",Burndown!$C$7=""),"",MAX(0,SUMIF('Backlog'!$B$6:$B$25,"S3",'Backlog'!$E$6:$E$25)-SUMIFS('Work Log'!$D$6:$D$205,'Work Log'!$E$6:$E$205,"S3",'Work Log'!$A$6:$A$205,"&lt;="&amp;L24)))</x:f>
      </x:c>
      <x:c r="K24" s="11" t="str">
        <x:f>IF(OR(L24="",SUMIF('Backlog'!$B$6:$B$25,"S3",'Backlog'!$E$6:$E$25)=0,Burndown!$B$7="",Burndown!$C$7="",Burndown!$C$7&lt;=Burndown!$B$7),"",MAX(0,SUMIF('Backlog'!$B$6:$B$25,"S3",'Backlog'!$E$6:$E$25)*(Burndown!$C$7-L24)/(Burndown!$C$7-Burndown!$B$7)))</x:f>
      </x:c>
      <x:c r="L24" s="10" t="str">
        <x:f>IF(OR('Work Log'!$E$27&lt;&gt;"S3",'Work Log'!$A$27=""),"",'Work Log'!$A$27)</x:f>
      </x:c>
      <x:c r="M24" t="str">
        <x:f>IF(P24="","",TEXT(P24,"mm/dd/yy"))</x:f>
      </x:c>
      <x:c r="N24" s="11" t="str">
        <x:f>IF(OR(P24="",SUMIF('Backlog'!$B$6:$B$25,"S4",'Backlog'!$E$6:$E$25)=0,Burndown!$B$8="",Burndown!$C$8=""),"",MAX(0,SUMIF('Backlog'!$B$6:$B$25,"S4",'Backlog'!$E$6:$E$25)-SUMIFS('Work Log'!$D$6:$D$205,'Work Log'!$E$6:$E$205,"S4",'Work Log'!$A$6:$A$205,"&lt;="&amp;P24)))</x:f>
      </x:c>
      <x:c r="O24" s="11" t="str">
        <x:f>IF(OR(P24="",SUMIF('Backlog'!$B$6:$B$25,"S4",'Backlog'!$E$6:$E$25)=0,Burndown!$B$8="",Burndown!$C$8="",Burndown!$C$8&lt;=Burndown!$B$8),"",MAX(0,SUMIF('Backlog'!$B$6:$B$25,"S4",'Backlog'!$E$6:$E$25)*(Burndown!$C$8-P24)/(Burndown!$C$8-Burndown!$B$8)))</x:f>
      </x:c>
      <x:c r="P24" s="10" t="str">
        <x:f>IF(OR('Work Log'!$E$27&lt;&gt;"S4",'Work Log'!$A$27=""),"",'Work Log'!$A$27)</x:f>
      </x:c>
      <x:c r="Q24" t="str">
        <x:f>IF(T24="","",TEXT(T24,"mm/dd/yy"))</x:f>
      </x:c>
      <x:c r="R24" s="11" t="str">
        <x:f>IF(OR(T24="",SUMIF('Backlog'!$B$6:$B$25,"S5",'Backlog'!$E$6:$E$25)=0,Burndown!$B$9="",Burndown!$C$9=""),"",MAX(0,SUMIF('Backlog'!$B$6:$B$25,"S5",'Backlog'!$E$6:$E$25)-SUMIFS('Work Log'!$D$6:$D$205,'Work Log'!$E$6:$E$205,"S5",'Work Log'!$A$6:$A$205,"&lt;="&amp;T24)))</x:f>
      </x:c>
      <x:c r="S24" s="11" t="str">
        <x:f>IF(OR(T24="",SUMIF('Backlog'!$B$6:$B$25,"S5",'Backlog'!$E$6:$E$25)=0,Burndown!$B$9="",Burndown!$C$9="",Burndown!$C$9&lt;=Burndown!$B$9),"",MAX(0,SUMIF('Backlog'!$B$6:$B$25,"S5",'Backlog'!$E$6:$E$25)*(Burndown!$C$9-T24)/(Burndown!$C$9-Burndown!$B$9)))</x:f>
      </x:c>
      <x:c r="T24" s="10" t="str">
        <x:f>IF(OR('Work Log'!$E$27&lt;&gt;"S5",'Work Log'!$A$27=""),"",'Work Log'!$A$27)</x:f>
      </x:c>
    </x:row>
    <x:row r="25">
      <x:c r="A25" t="str">
        <x:f>IF(D25="","",TEXT(D25,"mm/dd/yy"))</x:f>
      </x:c>
      <x:c r="B25" s="11" t="str">
        <x:f>IF(OR(D25="",SUMIF('Backlog'!$B$6:$B$25,"S1",'Backlog'!$E$6:$E$25)=0,Burndown!$B$5="",Burndown!$C$5=""),"",MAX(0,SUMIF('Backlog'!$B$6:$B$25,"S1",'Backlog'!$E$6:$E$25)-SUMIFS('Work Log'!$D$6:$D$205,'Work Log'!$E$6:$E$205,"S1",'Work Log'!$A$6:$A$205,"&lt;="&amp;D25)))</x:f>
      </x:c>
      <x:c r="C25" s="11" t="str">
        <x:f>IF(OR(D25="",SUMIF('Backlog'!$B$6:$B$25,"S1",'Backlog'!$E$6:$E$25)=0,Burndown!$B$5="",Burndown!$C$5="",Burndown!$C$5&lt;=Burndown!$B$5),"",MAX(0,SUMIF('Backlog'!$B$6:$B$25,"S1",'Backlog'!$E$6:$E$25)*(Burndown!$C$5-D25)/(Burndown!$C$5-Burndown!$B$5)))</x:f>
      </x:c>
      <x:c r="D25" s="10" t="str">
        <x:f>IF(OR('Work Log'!$E$28&lt;&gt;"S1",'Work Log'!$A$28=""),"",'Work Log'!$A$28)</x:f>
      </x:c>
      <x:c r="E25" t="str">
        <x:f>IF(H25="","",TEXT(H25,"mm/dd/yy"))</x:f>
      </x:c>
      <x:c r="F25" s="11" t="str">
        <x:f>IF(OR(H25="",SUMIF('Backlog'!$B$6:$B$25,"S2",'Backlog'!$E$6:$E$25)=0,Burndown!$B$6="",Burndown!$C$6=""),"",MAX(0,SUMIF('Backlog'!$B$6:$B$25,"S2",'Backlog'!$E$6:$E$25)-SUMIFS('Work Log'!$D$6:$D$205,'Work Log'!$E$6:$E$205,"S2",'Work Log'!$A$6:$A$205,"&lt;="&amp;H25)))</x:f>
      </x:c>
      <x:c r="G25" s="11" t="str">
        <x:f>IF(OR(H25="",SUMIF('Backlog'!$B$6:$B$25,"S2",'Backlog'!$E$6:$E$25)=0,Burndown!$B$6="",Burndown!$C$6="",Burndown!$C$6&lt;=Burndown!$B$6),"",MAX(0,SUMIF('Backlog'!$B$6:$B$25,"S2",'Backlog'!$E$6:$E$25)*(Burndown!$C$6-H25)/(Burndown!$C$6-Burndown!$B$6)))</x:f>
      </x:c>
      <x:c r="H25" s="10" t="str">
        <x:f>IF(OR('Work Log'!$E$28&lt;&gt;"S2",'Work Log'!$A$28=""),"",'Work Log'!$A$28)</x:f>
      </x:c>
      <x:c r="I25" t="str">
        <x:f>IF(L25="","",TEXT(L25,"mm/dd/yy"))</x:f>
      </x:c>
      <x:c r="J25" s="11" t="str">
        <x:f>IF(OR(L25="",SUMIF('Backlog'!$B$6:$B$25,"S3",'Backlog'!$E$6:$E$25)=0,Burndown!$B$7="",Burndown!$C$7=""),"",MAX(0,SUMIF('Backlog'!$B$6:$B$25,"S3",'Backlog'!$E$6:$E$25)-SUMIFS('Work Log'!$D$6:$D$205,'Work Log'!$E$6:$E$205,"S3",'Work Log'!$A$6:$A$205,"&lt;="&amp;L25)))</x:f>
      </x:c>
      <x:c r="K25" s="11" t="str">
        <x:f>IF(OR(L25="",SUMIF('Backlog'!$B$6:$B$25,"S3",'Backlog'!$E$6:$E$25)=0,Burndown!$B$7="",Burndown!$C$7="",Burndown!$C$7&lt;=Burndown!$B$7),"",MAX(0,SUMIF('Backlog'!$B$6:$B$25,"S3",'Backlog'!$E$6:$E$25)*(Burndown!$C$7-L25)/(Burndown!$C$7-Burndown!$B$7)))</x:f>
      </x:c>
      <x:c r="L25" s="10" t="str">
        <x:f>IF(OR('Work Log'!$E$28&lt;&gt;"S3",'Work Log'!$A$28=""),"",'Work Log'!$A$28)</x:f>
      </x:c>
      <x:c r="M25" t="str">
        <x:f>IF(P25="","",TEXT(P25,"mm/dd/yy"))</x:f>
      </x:c>
      <x:c r="N25" s="11" t="str">
        <x:f>IF(OR(P25="",SUMIF('Backlog'!$B$6:$B$25,"S4",'Backlog'!$E$6:$E$25)=0,Burndown!$B$8="",Burndown!$C$8=""),"",MAX(0,SUMIF('Backlog'!$B$6:$B$25,"S4",'Backlog'!$E$6:$E$25)-SUMIFS('Work Log'!$D$6:$D$205,'Work Log'!$E$6:$E$205,"S4",'Work Log'!$A$6:$A$205,"&lt;="&amp;P25)))</x:f>
      </x:c>
      <x:c r="O25" s="11" t="str">
        <x:f>IF(OR(P25="",SUMIF('Backlog'!$B$6:$B$25,"S4",'Backlog'!$E$6:$E$25)=0,Burndown!$B$8="",Burndown!$C$8="",Burndown!$C$8&lt;=Burndown!$B$8),"",MAX(0,SUMIF('Backlog'!$B$6:$B$25,"S4",'Backlog'!$E$6:$E$25)*(Burndown!$C$8-P25)/(Burndown!$C$8-Burndown!$B$8)))</x:f>
      </x:c>
      <x:c r="P25" s="10" t="str">
        <x:f>IF(OR('Work Log'!$E$28&lt;&gt;"S4",'Work Log'!$A$28=""),"",'Work Log'!$A$28)</x:f>
      </x:c>
      <x:c r="Q25" t="str">
        <x:f>IF(T25="","",TEXT(T25,"mm/dd/yy"))</x:f>
      </x:c>
      <x:c r="R25" s="11" t="str">
        <x:f>IF(OR(T25="",SUMIF('Backlog'!$B$6:$B$25,"S5",'Backlog'!$E$6:$E$25)=0,Burndown!$B$9="",Burndown!$C$9=""),"",MAX(0,SUMIF('Backlog'!$B$6:$B$25,"S5",'Backlog'!$E$6:$E$25)-SUMIFS('Work Log'!$D$6:$D$205,'Work Log'!$E$6:$E$205,"S5",'Work Log'!$A$6:$A$205,"&lt;="&amp;T25)))</x:f>
      </x:c>
      <x:c r="S25" s="11" t="str">
        <x:f>IF(OR(T25="",SUMIF('Backlog'!$B$6:$B$25,"S5",'Backlog'!$E$6:$E$25)=0,Burndown!$B$9="",Burndown!$C$9="",Burndown!$C$9&lt;=Burndown!$B$9),"",MAX(0,SUMIF('Backlog'!$B$6:$B$25,"S5",'Backlog'!$E$6:$E$25)*(Burndown!$C$9-T25)/(Burndown!$C$9-Burndown!$B$9)))</x:f>
      </x:c>
      <x:c r="T25" s="10" t="str">
        <x:f>IF(OR('Work Log'!$E$28&lt;&gt;"S5",'Work Log'!$A$28=""),"",'Work Log'!$A$28)</x:f>
      </x:c>
    </x:row>
    <x:row r="26">
      <x:c r="A26" t="str">
        <x:f>IF(D26="","",TEXT(D26,"mm/dd/yy"))</x:f>
      </x:c>
      <x:c r="B26" s="11" t="str">
        <x:f>IF(OR(D26="",SUMIF('Backlog'!$B$6:$B$25,"S1",'Backlog'!$E$6:$E$25)=0,Burndown!$B$5="",Burndown!$C$5=""),"",MAX(0,SUMIF('Backlog'!$B$6:$B$25,"S1",'Backlog'!$E$6:$E$25)-SUMIFS('Work Log'!$D$6:$D$205,'Work Log'!$E$6:$E$205,"S1",'Work Log'!$A$6:$A$205,"&lt;="&amp;D26)))</x:f>
      </x:c>
      <x:c r="C26" s="11" t="str">
        <x:f>IF(OR(D26="",SUMIF('Backlog'!$B$6:$B$25,"S1",'Backlog'!$E$6:$E$25)=0,Burndown!$B$5="",Burndown!$C$5="",Burndown!$C$5&lt;=Burndown!$B$5),"",MAX(0,SUMIF('Backlog'!$B$6:$B$25,"S1",'Backlog'!$E$6:$E$25)*(Burndown!$C$5-D26)/(Burndown!$C$5-Burndown!$B$5)))</x:f>
      </x:c>
      <x:c r="D26" s="10" t="str">
        <x:f>IF(OR('Work Log'!$E$29&lt;&gt;"S1",'Work Log'!$A$29=""),"",'Work Log'!$A$29)</x:f>
      </x:c>
      <x:c r="E26" t="str">
        <x:f>IF(H26="","",TEXT(H26,"mm/dd/yy"))</x:f>
      </x:c>
      <x:c r="F26" s="11" t="str">
        <x:f>IF(OR(H26="",SUMIF('Backlog'!$B$6:$B$25,"S2",'Backlog'!$E$6:$E$25)=0,Burndown!$B$6="",Burndown!$C$6=""),"",MAX(0,SUMIF('Backlog'!$B$6:$B$25,"S2",'Backlog'!$E$6:$E$25)-SUMIFS('Work Log'!$D$6:$D$205,'Work Log'!$E$6:$E$205,"S2",'Work Log'!$A$6:$A$205,"&lt;="&amp;H26)))</x:f>
      </x:c>
      <x:c r="G26" s="11" t="str">
        <x:f>IF(OR(H26="",SUMIF('Backlog'!$B$6:$B$25,"S2",'Backlog'!$E$6:$E$25)=0,Burndown!$B$6="",Burndown!$C$6="",Burndown!$C$6&lt;=Burndown!$B$6),"",MAX(0,SUMIF('Backlog'!$B$6:$B$25,"S2",'Backlog'!$E$6:$E$25)*(Burndown!$C$6-H26)/(Burndown!$C$6-Burndown!$B$6)))</x:f>
      </x:c>
      <x:c r="H26" s="10" t="str">
        <x:f>IF(OR('Work Log'!$E$29&lt;&gt;"S2",'Work Log'!$A$29=""),"",'Work Log'!$A$29)</x:f>
      </x:c>
      <x:c r="I26" t="str">
        <x:f>IF(L26="","",TEXT(L26,"mm/dd/yy"))</x:f>
      </x:c>
      <x:c r="J26" s="11" t="str">
        <x:f>IF(OR(L26="",SUMIF('Backlog'!$B$6:$B$25,"S3",'Backlog'!$E$6:$E$25)=0,Burndown!$B$7="",Burndown!$C$7=""),"",MAX(0,SUMIF('Backlog'!$B$6:$B$25,"S3",'Backlog'!$E$6:$E$25)-SUMIFS('Work Log'!$D$6:$D$205,'Work Log'!$E$6:$E$205,"S3",'Work Log'!$A$6:$A$205,"&lt;="&amp;L26)))</x:f>
      </x:c>
      <x:c r="K26" s="11" t="str">
        <x:f>IF(OR(L26="",SUMIF('Backlog'!$B$6:$B$25,"S3",'Backlog'!$E$6:$E$25)=0,Burndown!$B$7="",Burndown!$C$7="",Burndown!$C$7&lt;=Burndown!$B$7),"",MAX(0,SUMIF('Backlog'!$B$6:$B$25,"S3",'Backlog'!$E$6:$E$25)*(Burndown!$C$7-L26)/(Burndown!$C$7-Burndown!$B$7)))</x:f>
      </x:c>
      <x:c r="L26" s="10" t="str">
        <x:f>IF(OR('Work Log'!$E$29&lt;&gt;"S3",'Work Log'!$A$29=""),"",'Work Log'!$A$29)</x:f>
      </x:c>
      <x:c r="M26" t="str">
        <x:f>IF(P26="","",TEXT(P26,"mm/dd/yy"))</x:f>
      </x:c>
      <x:c r="N26" s="11" t="str">
        <x:f>IF(OR(P26="",SUMIF('Backlog'!$B$6:$B$25,"S4",'Backlog'!$E$6:$E$25)=0,Burndown!$B$8="",Burndown!$C$8=""),"",MAX(0,SUMIF('Backlog'!$B$6:$B$25,"S4",'Backlog'!$E$6:$E$25)-SUMIFS('Work Log'!$D$6:$D$205,'Work Log'!$E$6:$E$205,"S4",'Work Log'!$A$6:$A$205,"&lt;="&amp;P26)))</x:f>
      </x:c>
      <x:c r="O26" s="11" t="str">
        <x:f>IF(OR(P26="",SUMIF('Backlog'!$B$6:$B$25,"S4",'Backlog'!$E$6:$E$25)=0,Burndown!$B$8="",Burndown!$C$8="",Burndown!$C$8&lt;=Burndown!$B$8),"",MAX(0,SUMIF('Backlog'!$B$6:$B$25,"S4",'Backlog'!$E$6:$E$25)*(Burndown!$C$8-P26)/(Burndown!$C$8-Burndown!$B$8)))</x:f>
      </x:c>
      <x:c r="P26" s="10" t="str">
        <x:f>IF(OR('Work Log'!$E$29&lt;&gt;"S4",'Work Log'!$A$29=""),"",'Work Log'!$A$29)</x:f>
      </x:c>
      <x:c r="Q26" t="str">
        <x:f>IF(T26="","",TEXT(T26,"mm/dd/yy"))</x:f>
      </x:c>
      <x:c r="R26" s="11" t="str">
        <x:f>IF(OR(T26="",SUMIF('Backlog'!$B$6:$B$25,"S5",'Backlog'!$E$6:$E$25)=0,Burndown!$B$9="",Burndown!$C$9=""),"",MAX(0,SUMIF('Backlog'!$B$6:$B$25,"S5",'Backlog'!$E$6:$E$25)-SUMIFS('Work Log'!$D$6:$D$205,'Work Log'!$E$6:$E$205,"S5",'Work Log'!$A$6:$A$205,"&lt;="&amp;T26)))</x:f>
      </x:c>
      <x:c r="S26" s="11" t="str">
        <x:f>IF(OR(T26="",SUMIF('Backlog'!$B$6:$B$25,"S5",'Backlog'!$E$6:$E$25)=0,Burndown!$B$9="",Burndown!$C$9="",Burndown!$C$9&lt;=Burndown!$B$9),"",MAX(0,SUMIF('Backlog'!$B$6:$B$25,"S5",'Backlog'!$E$6:$E$25)*(Burndown!$C$9-T26)/(Burndown!$C$9-Burndown!$B$9)))</x:f>
      </x:c>
      <x:c r="T26" s="10" t="str">
        <x:f>IF(OR('Work Log'!$E$29&lt;&gt;"S5",'Work Log'!$A$29=""),"",'Work Log'!$A$29)</x:f>
      </x:c>
    </x:row>
    <x:row r="27">
      <x:c r="A27" t="str">
        <x:f>IF(D27="","",TEXT(D27,"mm/dd/yy"))</x:f>
      </x:c>
      <x:c r="B27" s="11" t="str">
        <x:f>IF(OR(D27="",SUMIF('Backlog'!$B$6:$B$25,"S1",'Backlog'!$E$6:$E$25)=0,Burndown!$B$5="",Burndown!$C$5=""),"",MAX(0,SUMIF('Backlog'!$B$6:$B$25,"S1",'Backlog'!$E$6:$E$25)-SUMIFS('Work Log'!$D$6:$D$205,'Work Log'!$E$6:$E$205,"S1",'Work Log'!$A$6:$A$205,"&lt;="&amp;D27)))</x:f>
      </x:c>
      <x:c r="C27" s="11" t="str">
        <x:f>IF(OR(D27="",SUMIF('Backlog'!$B$6:$B$25,"S1",'Backlog'!$E$6:$E$25)=0,Burndown!$B$5="",Burndown!$C$5="",Burndown!$C$5&lt;=Burndown!$B$5),"",MAX(0,SUMIF('Backlog'!$B$6:$B$25,"S1",'Backlog'!$E$6:$E$25)*(Burndown!$C$5-D27)/(Burndown!$C$5-Burndown!$B$5)))</x:f>
      </x:c>
      <x:c r="D27" s="10" t="str">
        <x:f>IF(OR('Work Log'!$E$30&lt;&gt;"S1",'Work Log'!$A$30=""),"",'Work Log'!$A$30)</x:f>
      </x:c>
      <x:c r="E27" t="str">
        <x:f>IF(H27="","",TEXT(H27,"mm/dd/yy"))</x:f>
      </x:c>
      <x:c r="F27" s="11" t="str">
        <x:f>IF(OR(H27="",SUMIF('Backlog'!$B$6:$B$25,"S2",'Backlog'!$E$6:$E$25)=0,Burndown!$B$6="",Burndown!$C$6=""),"",MAX(0,SUMIF('Backlog'!$B$6:$B$25,"S2",'Backlog'!$E$6:$E$25)-SUMIFS('Work Log'!$D$6:$D$205,'Work Log'!$E$6:$E$205,"S2",'Work Log'!$A$6:$A$205,"&lt;="&amp;H27)))</x:f>
      </x:c>
      <x:c r="G27" s="11" t="str">
        <x:f>IF(OR(H27="",SUMIF('Backlog'!$B$6:$B$25,"S2",'Backlog'!$E$6:$E$25)=0,Burndown!$B$6="",Burndown!$C$6="",Burndown!$C$6&lt;=Burndown!$B$6),"",MAX(0,SUMIF('Backlog'!$B$6:$B$25,"S2",'Backlog'!$E$6:$E$25)*(Burndown!$C$6-H27)/(Burndown!$C$6-Burndown!$B$6)))</x:f>
      </x:c>
      <x:c r="H27" s="10" t="str">
        <x:f>IF(OR('Work Log'!$E$30&lt;&gt;"S2",'Work Log'!$A$30=""),"",'Work Log'!$A$30)</x:f>
      </x:c>
      <x:c r="I27" t="str">
        <x:f>IF(L27="","",TEXT(L27,"mm/dd/yy"))</x:f>
      </x:c>
      <x:c r="J27" s="11" t="str">
        <x:f>IF(OR(L27="",SUMIF('Backlog'!$B$6:$B$25,"S3",'Backlog'!$E$6:$E$25)=0,Burndown!$B$7="",Burndown!$C$7=""),"",MAX(0,SUMIF('Backlog'!$B$6:$B$25,"S3",'Backlog'!$E$6:$E$25)-SUMIFS('Work Log'!$D$6:$D$205,'Work Log'!$E$6:$E$205,"S3",'Work Log'!$A$6:$A$205,"&lt;="&amp;L27)))</x:f>
      </x:c>
      <x:c r="K27" s="11" t="str">
        <x:f>IF(OR(L27="",SUMIF('Backlog'!$B$6:$B$25,"S3",'Backlog'!$E$6:$E$25)=0,Burndown!$B$7="",Burndown!$C$7="",Burndown!$C$7&lt;=Burndown!$B$7),"",MAX(0,SUMIF('Backlog'!$B$6:$B$25,"S3",'Backlog'!$E$6:$E$25)*(Burndown!$C$7-L27)/(Burndown!$C$7-Burndown!$B$7)))</x:f>
      </x:c>
      <x:c r="L27" s="10" t="str">
        <x:f>IF(OR('Work Log'!$E$30&lt;&gt;"S3",'Work Log'!$A$30=""),"",'Work Log'!$A$30)</x:f>
      </x:c>
      <x:c r="M27" t="str">
        <x:f>IF(P27="","",TEXT(P27,"mm/dd/yy"))</x:f>
      </x:c>
      <x:c r="N27" s="11" t="str">
        <x:f>IF(OR(P27="",SUMIF('Backlog'!$B$6:$B$25,"S4",'Backlog'!$E$6:$E$25)=0,Burndown!$B$8="",Burndown!$C$8=""),"",MAX(0,SUMIF('Backlog'!$B$6:$B$25,"S4",'Backlog'!$E$6:$E$25)-SUMIFS('Work Log'!$D$6:$D$205,'Work Log'!$E$6:$E$205,"S4",'Work Log'!$A$6:$A$205,"&lt;="&amp;P27)))</x:f>
      </x:c>
      <x:c r="O27" s="11" t="str">
        <x:f>IF(OR(P27="",SUMIF('Backlog'!$B$6:$B$25,"S4",'Backlog'!$E$6:$E$25)=0,Burndown!$B$8="",Burndown!$C$8="",Burndown!$C$8&lt;=Burndown!$B$8),"",MAX(0,SUMIF('Backlog'!$B$6:$B$25,"S4",'Backlog'!$E$6:$E$25)*(Burndown!$C$8-P27)/(Burndown!$C$8-Burndown!$B$8)))</x:f>
      </x:c>
      <x:c r="P27" s="10" t="str">
        <x:f>IF(OR('Work Log'!$E$30&lt;&gt;"S4",'Work Log'!$A$30=""),"",'Work Log'!$A$30)</x:f>
      </x:c>
      <x:c r="Q27" t="str">
        <x:f>IF(T27="","",TEXT(T27,"mm/dd/yy"))</x:f>
      </x:c>
      <x:c r="R27" s="11" t="str">
        <x:f>IF(OR(T27="",SUMIF('Backlog'!$B$6:$B$25,"S5",'Backlog'!$E$6:$E$25)=0,Burndown!$B$9="",Burndown!$C$9=""),"",MAX(0,SUMIF('Backlog'!$B$6:$B$25,"S5",'Backlog'!$E$6:$E$25)-SUMIFS('Work Log'!$D$6:$D$205,'Work Log'!$E$6:$E$205,"S5",'Work Log'!$A$6:$A$205,"&lt;="&amp;T27)))</x:f>
      </x:c>
      <x:c r="S27" s="11" t="str">
        <x:f>IF(OR(T27="",SUMIF('Backlog'!$B$6:$B$25,"S5",'Backlog'!$E$6:$E$25)=0,Burndown!$B$9="",Burndown!$C$9="",Burndown!$C$9&lt;=Burndown!$B$9),"",MAX(0,SUMIF('Backlog'!$B$6:$B$25,"S5",'Backlog'!$E$6:$E$25)*(Burndown!$C$9-T27)/(Burndown!$C$9-Burndown!$B$9)))</x:f>
      </x:c>
      <x:c r="T27" s="10" t="str">
        <x:f>IF(OR('Work Log'!$E$30&lt;&gt;"S5",'Work Log'!$A$30=""),"",'Work Log'!$A$30)</x:f>
      </x:c>
    </x:row>
    <x:row r="28">
      <x:c r="A28" t="str">
        <x:f>IF(D28="","",TEXT(D28,"mm/dd/yy"))</x:f>
      </x:c>
      <x:c r="B28" s="11" t="str">
        <x:f>IF(OR(D28="",SUMIF('Backlog'!$B$6:$B$25,"S1",'Backlog'!$E$6:$E$25)=0,Burndown!$B$5="",Burndown!$C$5=""),"",MAX(0,SUMIF('Backlog'!$B$6:$B$25,"S1",'Backlog'!$E$6:$E$25)-SUMIFS('Work Log'!$D$6:$D$205,'Work Log'!$E$6:$E$205,"S1",'Work Log'!$A$6:$A$205,"&lt;="&amp;D28)))</x:f>
      </x:c>
      <x:c r="C28" s="11" t="str">
        <x:f>IF(OR(D28="",SUMIF('Backlog'!$B$6:$B$25,"S1",'Backlog'!$E$6:$E$25)=0,Burndown!$B$5="",Burndown!$C$5="",Burndown!$C$5&lt;=Burndown!$B$5),"",MAX(0,SUMIF('Backlog'!$B$6:$B$25,"S1",'Backlog'!$E$6:$E$25)*(Burndown!$C$5-D28)/(Burndown!$C$5-Burndown!$B$5)))</x:f>
      </x:c>
      <x:c r="D28" s="10" t="str">
        <x:f>IF(OR('Work Log'!$E$31&lt;&gt;"S1",'Work Log'!$A$31=""),"",'Work Log'!$A$31)</x:f>
      </x:c>
      <x:c r="E28" t="str">
        <x:f>IF(H28="","",TEXT(H28,"mm/dd/yy"))</x:f>
      </x:c>
      <x:c r="F28" s="11" t="str">
        <x:f>IF(OR(H28="",SUMIF('Backlog'!$B$6:$B$25,"S2",'Backlog'!$E$6:$E$25)=0,Burndown!$B$6="",Burndown!$C$6=""),"",MAX(0,SUMIF('Backlog'!$B$6:$B$25,"S2",'Backlog'!$E$6:$E$25)-SUMIFS('Work Log'!$D$6:$D$205,'Work Log'!$E$6:$E$205,"S2",'Work Log'!$A$6:$A$205,"&lt;="&amp;H28)))</x:f>
      </x:c>
      <x:c r="G28" s="11" t="str">
        <x:f>IF(OR(H28="",SUMIF('Backlog'!$B$6:$B$25,"S2",'Backlog'!$E$6:$E$25)=0,Burndown!$B$6="",Burndown!$C$6="",Burndown!$C$6&lt;=Burndown!$B$6),"",MAX(0,SUMIF('Backlog'!$B$6:$B$25,"S2",'Backlog'!$E$6:$E$25)*(Burndown!$C$6-H28)/(Burndown!$C$6-Burndown!$B$6)))</x:f>
      </x:c>
      <x:c r="H28" s="10" t="str">
        <x:f>IF(OR('Work Log'!$E$31&lt;&gt;"S2",'Work Log'!$A$31=""),"",'Work Log'!$A$31)</x:f>
      </x:c>
      <x:c r="I28" t="str">
        <x:f>IF(L28="","",TEXT(L28,"mm/dd/yy"))</x:f>
      </x:c>
      <x:c r="J28" s="11" t="str">
        <x:f>IF(OR(L28="",SUMIF('Backlog'!$B$6:$B$25,"S3",'Backlog'!$E$6:$E$25)=0,Burndown!$B$7="",Burndown!$C$7=""),"",MAX(0,SUMIF('Backlog'!$B$6:$B$25,"S3",'Backlog'!$E$6:$E$25)-SUMIFS('Work Log'!$D$6:$D$205,'Work Log'!$E$6:$E$205,"S3",'Work Log'!$A$6:$A$205,"&lt;="&amp;L28)))</x:f>
      </x:c>
      <x:c r="K28" s="11" t="str">
        <x:f>IF(OR(L28="",SUMIF('Backlog'!$B$6:$B$25,"S3",'Backlog'!$E$6:$E$25)=0,Burndown!$B$7="",Burndown!$C$7="",Burndown!$C$7&lt;=Burndown!$B$7),"",MAX(0,SUMIF('Backlog'!$B$6:$B$25,"S3",'Backlog'!$E$6:$E$25)*(Burndown!$C$7-L28)/(Burndown!$C$7-Burndown!$B$7)))</x:f>
      </x:c>
      <x:c r="L28" s="10" t="str">
        <x:f>IF(OR('Work Log'!$E$31&lt;&gt;"S3",'Work Log'!$A$31=""),"",'Work Log'!$A$31)</x:f>
      </x:c>
      <x:c r="M28" t="str">
        <x:f>IF(P28="","",TEXT(P28,"mm/dd/yy"))</x:f>
      </x:c>
      <x:c r="N28" s="11" t="str">
        <x:f>IF(OR(P28="",SUMIF('Backlog'!$B$6:$B$25,"S4",'Backlog'!$E$6:$E$25)=0,Burndown!$B$8="",Burndown!$C$8=""),"",MAX(0,SUMIF('Backlog'!$B$6:$B$25,"S4",'Backlog'!$E$6:$E$25)-SUMIFS('Work Log'!$D$6:$D$205,'Work Log'!$E$6:$E$205,"S4",'Work Log'!$A$6:$A$205,"&lt;="&amp;P28)))</x:f>
      </x:c>
      <x:c r="O28" s="11" t="str">
        <x:f>IF(OR(P28="",SUMIF('Backlog'!$B$6:$B$25,"S4",'Backlog'!$E$6:$E$25)=0,Burndown!$B$8="",Burndown!$C$8="",Burndown!$C$8&lt;=Burndown!$B$8),"",MAX(0,SUMIF('Backlog'!$B$6:$B$25,"S4",'Backlog'!$E$6:$E$25)*(Burndown!$C$8-P28)/(Burndown!$C$8-Burndown!$B$8)))</x:f>
      </x:c>
      <x:c r="P28" s="10" t="str">
        <x:f>IF(OR('Work Log'!$E$31&lt;&gt;"S4",'Work Log'!$A$31=""),"",'Work Log'!$A$31)</x:f>
      </x:c>
      <x:c r="Q28" t="str">
        <x:f>IF(T28="","",TEXT(T28,"mm/dd/yy"))</x:f>
      </x:c>
      <x:c r="R28" s="11" t="str">
        <x:f>IF(OR(T28="",SUMIF('Backlog'!$B$6:$B$25,"S5",'Backlog'!$E$6:$E$25)=0,Burndown!$B$9="",Burndown!$C$9=""),"",MAX(0,SUMIF('Backlog'!$B$6:$B$25,"S5",'Backlog'!$E$6:$E$25)-SUMIFS('Work Log'!$D$6:$D$205,'Work Log'!$E$6:$E$205,"S5",'Work Log'!$A$6:$A$205,"&lt;="&amp;T28)))</x:f>
      </x:c>
      <x:c r="S28" s="11" t="str">
        <x:f>IF(OR(T28="",SUMIF('Backlog'!$B$6:$B$25,"S5",'Backlog'!$E$6:$E$25)=0,Burndown!$B$9="",Burndown!$C$9="",Burndown!$C$9&lt;=Burndown!$B$9),"",MAX(0,SUMIF('Backlog'!$B$6:$B$25,"S5",'Backlog'!$E$6:$E$25)*(Burndown!$C$9-T28)/(Burndown!$C$9-Burndown!$B$9)))</x:f>
      </x:c>
      <x:c r="T28" s="10" t="str">
        <x:f>IF(OR('Work Log'!$E$31&lt;&gt;"S5",'Work Log'!$A$31=""),"",'Work Log'!$A$31)</x:f>
      </x:c>
    </x:row>
    <x:row r="29">
      <x:c r="A29" t="str">
        <x:f>IF(D29="","",TEXT(D29,"mm/dd/yy"))</x:f>
      </x:c>
      <x:c r="B29" s="11" t="str">
        <x:f>IF(OR(D29="",SUMIF('Backlog'!$B$6:$B$25,"S1",'Backlog'!$E$6:$E$25)=0,Burndown!$B$5="",Burndown!$C$5=""),"",MAX(0,SUMIF('Backlog'!$B$6:$B$25,"S1",'Backlog'!$E$6:$E$25)-SUMIFS('Work Log'!$D$6:$D$205,'Work Log'!$E$6:$E$205,"S1",'Work Log'!$A$6:$A$205,"&lt;="&amp;D29)))</x:f>
      </x:c>
      <x:c r="C29" s="11" t="str">
        <x:f>IF(OR(D29="",SUMIF('Backlog'!$B$6:$B$25,"S1",'Backlog'!$E$6:$E$25)=0,Burndown!$B$5="",Burndown!$C$5="",Burndown!$C$5&lt;=Burndown!$B$5),"",MAX(0,SUMIF('Backlog'!$B$6:$B$25,"S1",'Backlog'!$E$6:$E$25)*(Burndown!$C$5-D29)/(Burndown!$C$5-Burndown!$B$5)))</x:f>
      </x:c>
      <x:c r="D29" s="10" t="str">
        <x:f>IF(OR('Work Log'!$E$32&lt;&gt;"S1",'Work Log'!$A$32=""),"",'Work Log'!$A$32)</x:f>
      </x:c>
      <x:c r="E29" t="str">
        <x:f>IF(H29="","",TEXT(H29,"mm/dd/yy"))</x:f>
      </x:c>
      <x:c r="F29" s="11" t="str">
        <x:f>IF(OR(H29="",SUMIF('Backlog'!$B$6:$B$25,"S2",'Backlog'!$E$6:$E$25)=0,Burndown!$B$6="",Burndown!$C$6=""),"",MAX(0,SUMIF('Backlog'!$B$6:$B$25,"S2",'Backlog'!$E$6:$E$25)-SUMIFS('Work Log'!$D$6:$D$205,'Work Log'!$E$6:$E$205,"S2",'Work Log'!$A$6:$A$205,"&lt;="&amp;H29)))</x:f>
      </x:c>
      <x:c r="G29" s="11" t="str">
        <x:f>IF(OR(H29="",SUMIF('Backlog'!$B$6:$B$25,"S2",'Backlog'!$E$6:$E$25)=0,Burndown!$B$6="",Burndown!$C$6="",Burndown!$C$6&lt;=Burndown!$B$6),"",MAX(0,SUMIF('Backlog'!$B$6:$B$25,"S2",'Backlog'!$E$6:$E$25)*(Burndown!$C$6-H29)/(Burndown!$C$6-Burndown!$B$6)))</x:f>
      </x:c>
      <x:c r="H29" s="10" t="str">
        <x:f>IF(OR('Work Log'!$E$32&lt;&gt;"S2",'Work Log'!$A$32=""),"",'Work Log'!$A$32)</x:f>
      </x:c>
      <x:c r="I29" t="str">
        <x:f>IF(L29="","",TEXT(L29,"mm/dd/yy"))</x:f>
      </x:c>
      <x:c r="J29" s="11" t="str">
        <x:f>IF(OR(L29="",SUMIF('Backlog'!$B$6:$B$25,"S3",'Backlog'!$E$6:$E$25)=0,Burndown!$B$7="",Burndown!$C$7=""),"",MAX(0,SUMIF('Backlog'!$B$6:$B$25,"S3",'Backlog'!$E$6:$E$25)-SUMIFS('Work Log'!$D$6:$D$205,'Work Log'!$E$6:$E$205,"S3",'Work Log'!$A$6:$A$205,"&lt;="&amp;L29)))</x:f>
      </x:c>
      <x:c r="K29" s="11" t="str">
        <x:f>IF(OR(L29="",SUMIF('Backlog'!$B$6:$B$25,"S3",'Backlog'!$E$6:$E$25)=0,Burndown!$B$7="",Burndown!$C$7="",Burndown!$C$7&lt;=Burndown!$B$7),"",MAX(0,SUMIF('Backlog'!$B$6:$B$25,"S3",'Backlog'!$E$6:$E$25)*(Burndown!$C$7-L29)/(Burndown!$C$7-Burndown!$B$7)))</x:f>
      </x:c>
      <x:c r="L29" s="10" t="str">
        <x:f>IF(OR('Work Log'!$E$32&lt;&gt;"S3",'Work Log'!$A$32=""),"",'Work Log'!$A$32)</x:f>
      </x:c>
      <x:c r="M29" t="str">
        <x:f>IF(P29="","",TEXT(P29,"mm/dd/yy"))</x:f>
      </x:c>
      <x:c r="N29" s="11" t="str">
        <x:f>IF(OR(P29="",SUMIF('Backlog'!$B$6:$B$25,"S4",'Backlog'!$E$6:$E$25)=0,Burndown!$B$8="",Burndown!$C$8=""),"",MAX(0,SUMIF('Backlog'!$B$6:$B$25,"S4",'Backlog'!$E$6:$E$25)-SUMIFS('Work Log'!$D$6:$D$205,'Work Log'!$E$6:$E$205,"S4",'Work Log'!$A$6:$A$205,"&lt;="&amp;P29)))</x:f>
      </x:c>
      <x:c r="O29" s="11" t="str">
        <x:f>IF(OR(P29="",SUMIF('Backlog'!$B$6:$B$25,"S4",'Backlog'!$E$6:$E$25)=0,Burndown!$B$8="",Burndown!$C$8="",Burndown!$C$8&lt;=Burndown!$B$8),"",MAX(0,SUMIF('Backlog'!$B$6:$B$25,"S4",'Backlog'!$E$6:$E$25)*(Burndown!$C$8-P29)/(Burndown!$C$8-Burndown!$B$8)))</x:f>
      </x:c>
      <x:c r="P29" s="10" t="str">
        <x:f>IF(OR('Work Log'!$E$32&lt;&gt;"S4",'Work Log'!$A$32=""),"",'Work Log'!$A$32)</x:f>
      </x:c>
      <x:c r="Q29" t="str">
        <x:f>IF(T29="","",TEXT(T29,"mm/dd/yy"))</x:f>
      </x:c>
      <x:c r="R29" s="11" t="str">
        <x:f>IF(OR(T29="",SUMIF('Backlog'!$B$6:$B$25,"S5",'Backlog'!$E$6:$E$25)=0,Burndown!$B$9="",Burndown!$C$9=""),"",MAX(0,SUMIF('Backlog'!$B$6:$B$25,"S5",'Backlog'!$E$6:$E$25)-SUMIFS('Work Log'!$D$6:$D$205,'Work Log'!$E$6:$E$205,"S5",'Work Log'!$A$6:$A$205,"&lt;="&amp;T29)))</x:f>
      </x:c>
      <x:c r="S29" s="11" t="str">
        <x:f>IF(OR(T29="",SUMIF('Backlog'!$B$6:$B$25,"S5",'Backlog'!$E$6:$E$25)=0,Burndown!$B$9="",Burndown!$C$9="",Burndown!$C$9&lt;=Burndown!$B$9),"",MAX(0,SUMIF('Backlog'!$B$6:$B$25,"S5",'Backlog'!$E$6:$E$25)*(Burndown!$C$9-T29)/(Burndown!$C$9-Burndown!$B$9)))</x:f>
      </x:c>
      <x:c r="T29" s="10" t="str">
        <x:f>IF(OR('Work Log'!$E$32&lt;&gt;"S5",'Work Log'!$A$32=""),"",'Work Log'!$A$32)</x:f>
      </x:c>
    </x:row>
    <x:row r="30">
      <x:c r="A30" t="str">
        <x:f>IF(D30="","",TEXT(D30,"mm/dd/yy"))</x:f>
      </x:c>
      <x:c r="B30" s="11" t="str">
        <x:f>IF(OR(D30="",SUMIF('Backlog'!$B$6:$B$25,"S1",'Backlog'!$E$6:$E$25)=0,Burndown!$B$5="",Burndown!$C$5=""),"",MAX(0,SUMIF('Backlog'!$B$6:$B$25,"S1",'Backlog'!$E$6:$E$25)-SUMIFS('Work Log'!$D$6:$D$205,'Work Log'!$E$6:$E$205,"S1",'Work Log'!$A$6:$A$205,"&lt;="&amp;D30)))</x:f>
      </x:c>
      <x:c r="C30" s="11" t="str">
        <x:f>IF(OR(D30="",SUMIF('Backlog'!$B$6:$B$25,"S1",'Backlog'!$E$6:$E$25)=0,Burndown!$B$5="",Burndown!$C$5="",Burndown!$C$5&lt;=Burndown!$B$5),"",MAX(0,SUMIF('Backlog'!$B$6:$B$25,"S1",'Backlog'!$E$6:$E$25)*(Burndown!$C$5-D30)/(Burndown!$C$5-Burndown!$B$5)))</x:f>
      </x:c>
      <x:c r="D30" s="10" t="str">
        <x:f>IF(OR('Work Log'!$E$33&lt;&gt;"S1",'Work Log'!$A$33=""),"",'Work Log'!$A$33)</x:f>
      </x:c>
      <x:c r="E30" t="str">
        <x:f>IF(H30="","",TEXT(H30,"mm/dd/yy"))</x:f>
      </x:c>
      <x:c r="F30" s="11" t="str">
        <x:f>IF(OR(H30="",SUMIF('Backlog'!$B$6:$B$25,"S2",'Backlog'!$E$6:$E$25)=0,Burndown!$B$6="",Burndown!$C$6=""),"",MAX(0,SUMIF('Backlog'!$B$6:$B$25,"S2",'Backlog'!$E$6:$E$25)-SUMIFS('Work Log'!$D$6:$D$205,'Work Log'!$E$6:$E$205,"S2",'Work Log'!$A$6:$A$205,"&lt;="&amp;H30)))</x:f>
      </x:c>
      <x:c r="G30" s="11" t="str">
        <x:f>IF(OR(H30="",SUMIF('Backlog'!$B$6:$B$25,"S2",'Backlog'!$E$6:$E$25)=0,Burndown!$B$6="",Burndown!$C$6="",Burndown!$C$6&lt;=Burndown!$B$6),"",MAX(0,SUMIF('Backlog'!$B$6:$B$25,"S2",'Backlog'!$E$6:$E$25)*(Burndown!$C$6-H30)/(Burndown!$C$6-Burndown!$B$6)))</x:f>
      </x:c>
      <x:c r="H30" s="10" t="str">
        <x:f>IF(OR('Work Log'!$E$33&lt;&gt;"S2",'Work Log'!$A$33=""),"",'Work Log'!$A$33)</x:f>
      </x:c>
      <x:c r="I30" t="str">
        <x:f>IF(L30="","",TEXT(L30,"mm/dd/yy"))</x:f>
      </x:c>
      <x:c r="J30" s="11" t="str">
        <x:f>IF(OR(L30="",SUMIF('Backlog'!$B$6:$B$25,"S3",'Backlog'!$E$6:$E$25)=0,Burndown!$B$7="",Burndown!$C$7=""),"",MAX(0,SUMIF('Backlog'!$B$6:$B$25,"S3",'Backlog'!$E$6:$E$25)-SUMIFS('Work Log'!$D$6:$D$205,'Work Log'!$E$6:$E$205,"S3",'Work Log'!$A$6:$A$205,"&lt;="&amp;L30)))</x:f>
      </x:c>
      <x:c r="K30" s="11" t="str">
        <x:f>IF(OR(L30="",SUMIF('Backlog'!$B$6:$B$25,"S3",'Backlog'!$E$6:$E$25)=0,Burndown!$B$7="",Burndown!$C$7="",Burndown!$C$7&lt;=Burndown!$B$7),"",MAX(0,SUMIF('Backlog'!$B$6:$B$25,"S3",'Backlog'!$E$6:$E$25)*(Burndown!$C$7-L30)/(Burndown!$C$7-Burndown!$B$7)))</x:f>
      </x:c>
      <x:c r="L30" s="10" t="str">
        <x:f>IF(OR('Work Log'!$E$33&lt;&gt;"S3",'Work Log'!$A$33=""),"",'Work Log'!$A$33)</x:f>
      </x:c>
      <x:c r="M30" t="str">
        <x:f>IF(P30="","",TEXT(P30,"mm/dd/yy"))</x:f>
      </x:c>
      <x:c r="N30" s="11" t="str">
        <x:f>IF(OR(P30="",SUMIF('Backlog'!$B$6:$B$25,"S4",'Backlog'!$E$6:$E$25)=0,Burndown!$B$8="",Burndown!$C$8=""),"",MAX(0,SUMIF('Backlog'!$B$6:$B$25,"S4",'Backlog'!$E$6:$E$25)-SUMIFS('Work Log'!$D$6:$D$205,'Work Log'!$E$6:$E$205,"S4",'Work Log'!$A$6:$A$205,"&lt;="&amp;P30)))</x:f>
      </x:c>
      <x:c r="O30" s="11" t="str">
        <x:f>IF(OR(P30="",SUMIF('Backlog'!$B$6:$B$25,"S4",'Backlog'!$E$6:$E$25)=0,Burndown!$B$8="",Burndown!$C$8="",Burndown!$C$8&lt;=Burndown!$B$8),"",MAX(0,SUMIF('Backlog'!$B$6:$B$25,"S4",'Backlog'!$E$6:$E$25)*(Burndown!$C$8-P30)/(Burndown!$C$8-Burndown!$B$8)))</x:f>
      </x:c>
      <x:c r="P30" s="10" t="str">
        <x:f>IF(OR('Work Log'!$E$33&lt;&gt;"S4",'Work Log'!$A$33=""),"",'Work Log'!$A$33)</x:f>
      </x:c>
      <x:c r="Q30" t="str">
        <x:f>IF(T30="","",TEXT(T30,"mm/dd/yy"))</x:f>
      </x:c>
      <x:c r="R30" s="11" t="str">
        <x:f>IF(OR(T30="",SUMIF('Backlog'!$B$6:$B$25,"S5",'Backlog'!$E$6:$E$25)=0,Burndown!$B$9="",Burndown!$C$9=""),"",MAX(0,SUMIF('Backlog'!$B$6:$B$25,"S5",'Backlog'!$E$6:$E$25)-SUMIFS('Work Log'!$D$6:$D$205,'Work Log'!$E$6:$E$205,"S5",'Work Log'!$A$6:$A$205,"&lt;="&amp;T30)))</x:f>
      </x:c>
      <x:c r="S30" s="11" t="str">
        <x:f>IF(OR(T30="",SUMIF('Backlog'!$B$6:$B$25,"S5",'Backlog'!$E$6:$E$25)=0,Burndown!$B$9="",Burndown!$C$9="",Burndown!$C$9&lt;=Burndown!$B$9),"",MAX(0,SUMIF('Backlog'!$B$6:$B$25,"S5",'Backlog'!$E$6:$E$25)*(Burndown!$C$9-T30)/(Burndown!$C$9-Burndown!$B$9)))</x:f>
      </x:c>
      <x:c r="T30" s="10" t="str">
        <x:f>IF(OR('Work Log'!$E$33&lt;&gt;"S5",'Work Log'!$A$33=""),"",'Work Log'!$A$33)</x:f>
      </x:c>
    </x:row>
    <x:row r="31">
      <x:c r="A31" t="str">
        <x:f>IF(D31="","",TEXT(D31,"mm/dd/yy"))</x:f>
      </x:c>
      <x:c r="B31" s="11" t="str">
        <x:f>IF(OR(D31="",SUMIF('Backlog'!$B$6:$B$25,"S1",'Backlog'!$E$6:$E$25)=0,Burndown!$B$5="",Burndown!$C$5=""),"",MAX(0,SUMIF('Backlog'!$B$6:$B$25,"S1",'Backlog'!$E$6:$E$25)-SUMIFS('Work Log'!$D$6:$D$205,'Work Log'!$E$6:$E$205,"S1",'Work Log'!$A$6:$A$205,"&lt;="&amp;D31)))</x:f>
      </x:c>
      <x:c r="C31" s="11" t="str">
        <x:f>IF(OR(D31="",SUMIF('Backlog'!$B$6:$B$25,"S1",'Backlog'!$E$6:$E$25)=0,Burndown!$B$5="",Burndown!$C$5="",Burndown!$C$5&lt;=Burndown!$B$5),"",MAX(0,SUMIF('Backlog'!$B$6:$B$25,"S1",'Backlog'!$E$6:$E$25)*(Burndown!$C$5-D31)/(Burndown!$C$5-Burndown!$B$5)))</x:f>
      </x:c>
      <x:c r="D31" s="10" t="str">
        <x:f>IF(OR('Work Log'!$E$34&lt;&gt;"S1",'Work Log'!$A$34=""),"",'Work Log'!$A$34)</x:f>
      </x:c>
      <x:c r="E31" t="str">
        <x:f>IF(H31="","",TEXT(H31,"mm/dd/yy"))</x:f>
      </x:c>
      <x:c r="F31" s="11" t="str">
        <x:f>IF(OR(H31="",SUMIF('Backlog'!$B$6:$B$25,"S2",'Backlog'!$E$6:$E$25)=0,Burndown!$B$6="",Burndown!$C$6=""),"",MAX(0,SUMIF('Backlog'!$B$6:$B$25,"S2",'Backlog'!$E$6:$E$25)-SUMIFS('Work Log'!$D$6:$D$205,'Work Log'!$E$6:$E$205,"S2",'Work Log'!$A$6:$A$205,"&lt;="&amp;H31)))</x:f>
      </x:c>
      <x:c r="G31" s="11" t="str">
        <x:f>IF(OR(H31="",SUMIF('Backlog'!$B$6:$B$25,"S2",'Backlog'!$E$6:$E$25)=0,Burndown!$B$6="",Burndown!$C$6="",Burndown!$C$6&lt;=Burndown!$B$6),"",MAX(0,SUMIF('Backlog'!$B$6:$B$25,"S2",'Backlog'!$E$6:$E$25)*(Burndown!$C$6-H31)/(Burndown!$C$6-Burndown!$B$6)))</x:f>
      </x:c>
      <x:c r="H31" s="10" t="str">
        <x:f>IF(OR('Work Log'!$E$34&lt;&gt;"S2",'Work Log'!$A$34=""),"",'Work Log'!$A$34)</x:f>
      </x:c>
      <x:c r="I31" t="str">
        <x:f>IF(L31="","",TEXT(L31,"mm/dd/yy"))</x:f>
      </x:c>
      <x:c r="J31" s="11" t="str">
        <x:f>IF(OR(L31="",SUMIF('Backlog'!$B$6:$B$25,"S3",'Backlog'!$E$6:$E$25)=0,Burndown!$B$7="",Burndown!$C$7=""),"",MAX(0,SUMIF('Backlog'!$B$6:$B$25,"S3",'Backlog'!$E$6:$E$25)-SUMIFS('Work Log'!$D$6:$D$205,'Work Log'!$E$6:$E$205,"S3",'Work Log'!$A$6:$A$205,"&lt;="&amp;L31)))</x:f>
      </x:c>
      <x:c r="K31" s="11" t="str">
        <x:f>IF(OR(L31="",SUMIF('Backlog'!$B$6:$B$25,"S3",'Backlog'!$E$6:$E$25)=0,Burndown!$B$7="",Burndown!$C$7="",Burndown!$C$7&lt;=Burndown!$B$7),"",MAX(0,SUMIF('Backlog'!$B$6:$B$25,"S3",'Backlog'!$E$6:$E$25)*(Burndown!$C$7-L31)/(Burndown!$C$7-Burndown!$B$7)))</x:f>
      </x:c>
      <x:c r="L31" s="10" t="str">
        <x:f>IF(OR('Work Log'!$E$34&lt;&gt;"S3",'Work Log'!$A$34=""),"",'Work Log'!$A$34)</x:f>
      </x:c>
      <x:c r="M31" t="str">
        <x:f>IF(P31="","",TEXT(P31,"mm/dd/yy"))</x:f>
      </x:c>
      <x:c r="N31" s="11" t="str">
        <x:f>IF(OR(P31="",SUMIF('Backlog'!$B$6:$B$25,"S4",'Backlog'!$E$6:$E$25)=0,Burndown!$B$8="",Burndown!$C$8=""),"",MAX(0,SUMIF('Backlog'!$B$6:$B$25,"S4",'Backlog'!$E$6:$E$25)-SUMIFS('Work Log'!$D$6:$D$205,'Work Log'!$E$6:$E$205,"S4",'Work Log'!$A$6:$A$205,"&lt;="&amp;P31)))</x:f>
      </x:c>
      <x:c r="O31" s="11" t="str">
        <x:f>IF(OR(P31="",SUMIF('Backlog'!$B$6:$B$25,"S4",'Backlog'!$E$6:$E$25)=0,Burndown!$B$8="",Burndown!$C$8="",Burndown!$C$8&lt;=Burndown!$B$8),"",MAX(0,SUMIF('Backlog'!$B$6:$B$25,"S4",'Backlog'!$E$6:$E$25)*(Burndown!$C$8-P31)/(Burndown!$C$8-Burndown!$B$8)))</x:f>
      </x:c>
      <x:c r="P31" s="10" t="str">
        <x:f>IF(OR('Work Log'!$E$34&lt;&gt;"S4",'Work Log'!$A$34=""),"",'Work Log'!$A$34)</x:f>
      </x:c>
      <x:c r="Q31" t="str">
        <x:f>IF(T31="","",TEXT(T31,"mm/dd/yy"))</x:f>
      </x:c>
      <x:c r="R31" s="11" t="str">
        <x:f>IF(OR(T31="",SUMIF('Backlog'!$B$6:$B$25,"S5",'Backlog'!$E$6:$E$25)=0,Burndown!$B$9="",Burndown!$C$9=""),"",MAX(0,SUMIF('Backlog'!$B$6:$B$25,"S5",'Backlog'!$E$6:$E$25)-SUMIFS('Work Log'!$D$6:$D$205,'Work Log'!$E$6:$E$205,"S5",'Work Log'!$A$6:$A$205,"&lt;="&amp;T31)))</x:f>
      </x:c>
      <x:c r="S31" s="11" t="str">
        <x:f>IF(OR(T31="",SUMIF('Backlog'!$B$6:$B$25,"S5",'Backlog'!$E$6:$E$25)=0,Burndown!$B$9="",Burndown!$C$9="",Burndown!$C$9&lt;=Burndown!$B$9),"",MAX(0,SUMIF('Backlog'!$B$6:$B$25,"S5",'Backlog'!$E$6:$E$25)*(Burndown!$C$9-T31)/(Burndown!$C$9-Burndown!$B$9)))</x:f>
      </x:c>
      <x:c r="T31" s="10" t="str">
        <x:f>IF(OR('Work Log'!$E$34&lt;&gt;"S5",'Work Log'!$A$34=""),"",'Work Log'!$A$34)</x:f>
      </x:c>
    </x:row>
    <x:row r="32">
      <x:c r="A32" t="str">
        <x:f>IF(D32="","",TEXT(D32,"mm/dd/yy"))</x:f>
      </x:c>
      <x:c r="B32" s="11" t="str">
        <x:f>IF(OR(D32="",SUMIF('Backlog'!$B$6:$B$25,"S1",'Backlog'!$E$6:$E$25)=0,Burndown!$B$5="",Burndown!$C$5=""),"",MAX(0,SUMIF('Backlog'!$B$6:$B$25,"S1",'Backlog'!$E$6:$E$25)-SUMIFS('Work Log'!$D$6:$D$205,'Work Log'!$E$6:$E$205,"S1",'Work Log'!$A$6:$A$205,"&lt;="&amp;D32)))</x:f>
      </x:c>
      <x:c r="C32" s="11" t="str">
        <x:f>IF(OR(D32="",SUMIF('Backlog'!$B$6:$B$25,"S1",'Backlog'!$E$6:$E$25)=0,Burndown!$B$5="",Burndown!$C$5="",Burndown!$C$5&lt;=Burndown!$B$5),"",MAX(0,SUMIF('Backlog'!$B$6:$B$25,"S1",'Backlog'!$E$6:$E$25)*(Burndown!$C$5-D32)/(Burndown!$C$5-Burndown!$B$5)))</x:f>
      </x:c>
      <x:c r="D32" s="10" t="str">
        <x:f>IF(OR('Work Log'!$E$35&lt;&gt;"S1",'Work Log'!$A$35=""),"",'Work Log'!$A$35)</x:f>
      </x:c>
      <x:c r="E32" t="str">
        <x:f>IF(H32="","",TEXT(H32,"mm/dd/yy"))</x:f>
      </x:c>
      <x:c r="F32" s="11" t="str">
        <x:f>IF(OR(H32="",SUMIF('Backlog'!$B$6:$B$25,"S2",'Backlog'!$E$6:$E$25)=0,Burndown!$B$6="",Burndown!$C$6=""),"",MAX(0,SUMIF('Backlog'!$B$6:$B$25,"S2",'Backlog'!$E$6:$E$25)-SUMIFS('Work Log'!$D$6:$D$205,'Work Log'!$E$6:$E$205,"S2",'Work Log'!$A$6:$A$205,"&lt;="&amp;H32)))</x:f>
      </x:c>
      <x:c r="G32" s="11" t="str">
        <x:f>IF(OR(H32="",SUMIF('Backlog'!$B$6:$B$25,"S2",'Backlog'!$E$6:$E$25)=0,Burndown!$B$6="",Burndown!$C$6="",Burndown!$C$6&lt;=Burndown!$B$6),"",MAX(0,SUMIF('Backlog'!$B$6:$B$25,"S2",'Backlog'!$E$6:$E$25)*(Burndown!$C$6-H32)/(Burndown!$C$6-Burndown!$B$6)))</x:f>
      </x:c>
      <x:c r="H32" s="10" t="str">
        <x:f>IF(OR('Work Log'!$E$35&lt;&gt;"S2",'Work Log'!$A$35=""),"",'Work Log'!$A$35)</x:f>
      </x:c>
      <x:c r="I32" t="str">
        <x:f>IF(L32="","",TEXT(L32,"mm/dd/yy"))</x:f>
      </x:c>
      <x:c r="J32" s="11" t="str">
        <x:f>IF(OR(L32="",SUMIF('Backlog'!$B$6:$B$25,"S3",'Backlog'!$E$6:$E$25)=0,Burndown!$B$7="",Burndown!$C$7=""),"",MAX(0,SUMIF('Backlog'!$B$6:$B$25,"S3",'Backlog'!$E$6:$E$25)-SUMIFS('Work Log'!$D$6:$D$205,'Work Log'!$E$6:$E$205,"S3",'Work Log'!$A$6:$A$205,"&lt;="&amp;L32)))</x:f>
      </x:c>
      <x:c r="K32" s="11" t="str">
        <x:f>IF(OR(L32="",SUMIF('Backlog'!$B$6:$B$25,"S3",'Backlog'!$E$6:$E$25)=0,Burndown!$B$7="",Burndown!$C$7="",Burndown!$C$7&lt;=Burndown!$B$7),"",MAX(0,SUMIF('Backlog'!$B$6:$B$25,"S3",'Backlog'!$E$6:$E$25)*(Burndown!$C$7-L32)/(Burndown!$C$7-Burndown!$B$7)))</x:f>
      </x:c>
      <x:c r="L32" s="10" t="str">
        <x:f>IF(OR('Work Log'!$E$35&lt;&gt;"S3",'Work Log'!$A$35=""),"",'Work Log'!$A$35)</x:f>
      </x:c>
      <x:c r="M32" t="str">
        <x:f>IF(P32="","",TEXT(P32,"mm/dd/yy"))</x:f>
      </x:c>
      <x:c r="N32" s="11" t="str">
        <x:f>IF(OR(P32="",SUMIF('Backlog'!$B$6:$B$25,"S4",'Backlog'!$E$6:$E$25)=0,Burndown!$B$8="",Burndown!$C$8=""),"",MAX(0,SUMIF('Backlog'!$B$6:$B$25,"S4",'Backlog'!$E$6:$E$25)-SUMIFS('Work Log'!$D$6:$D$205,'Work Log'!$E$6:$E$205,"S4",'Work Log'!$A$6:$A$205,"&lt;="&amp;P32)))</x:f>
      </x:c>
      <x:c r="O32" s="11" t="str">
        <x:f>IF(OR(P32="",SUMIF('Backlog'!$B$6:$B$25,"S4",'Backlog'!$E$6:$E$25)=0,Burndown!$B$8="",Burndown!$C$8="",Burndown!$C$8&lt;=Burndown!$B$8),"",MAX(0,SUMIF('Backlog'!$B$6:$B$25,"S4",'Backlog'!$E$6:$E$25)*(Burndown!$C$8-P32)/(Burndown!$C$8-Burndown!$B$8)))</x:f>
      </x:c>
      <x:c r="P32" s="10" t="str">
        <x:f>IF(OR('Work Log'!$E$35&lt;&gt;"S4",'Work Log'!$A$35=""),"",'Work Log'!$A$35)</x:f>
      </x:c>
      <x:c r="Q32" t="str">
        <x:f>IF(T32="","",TEXT(T32,"mm/dd/yy"))</x:f>
      </x:c>
      <x:c r="R32" s="11" t="str">
        <x:f>IF(OR(T32="",SUMIF('Backlog'!$B$6:$B$25,"S5",'Backlog'!$E$6:$E$25)=0,Burndown!$B$9="",Burndown!$C$9=""),"",MAX(0,SUMIF('Backlog'!$B$6:$B$25,"S5",'Backlog'!$E$6:$E$25)-SUMIFS('Work Log'!$D$6:$D$205,'Work Log'!$E$6:$E$205,"S5",'Work Log'!$A$6:$A$205,"&lt;="&amp;T32)))</x:f>
      </x:c>
      <x:c r="S32" s="11" t="str">
        <x:f>IF(OR(T32="",SUMIF('Backlog'!$B$6:$B$25,"S5",'Backlog'!$E$6:$E$25)=0,Burndown!$B$9="",Burndown!$C$9="",Burndown!$C$9&lt;=Burndown!$B$9),"",MAX(0,SUMIF('Backlog'!$B$6:$B$25,"S5",'Backlog'!$E$6:$E$25)*(Burndown!$C$9-T32)/(Burndown!$C$9-Burndown!$B$9)))</x:f>
      </x:c>
      <x:c r="T32" s="10" t="str">
        <x:f>IF(OR('Work Log'!$E$35&lt;&gt;"S5",'Work Log'!$A$35=""),"",'Work Log'!$A$35)</x:f>
      </x:c>
    </x:row>
    <x:row r="33">
      <x:c r="A33" t="str">
        <x:f>IF(D33="","",TEXT(D33,"mm/dd/yy"))</x:f>
      </x:c>
      <x:c r="B33" s="11" t="str">
        <x:f>IF(OR(D33="",SUMIF('Backlog'!$B$6:$B$25,"S1",'Backlog'!$E$6:$E$25)=0,Burndown!$B$5="",Burndown!$C$5=""),"",MAX(0,SUMIF('Backlog'!$B$6:$B$25,"S1",'Backlog'!$E$6:$E$25)-SUMIFS('Work Log'!$D$6:$D$205,'Work Log'!$E$6:$E$205,"S1",'Work Log'!$A$6:$A$205,"&lt;="&amp;D33)))</x:f>
      </x:c>
      <x:c r="C33" s="11" t="str">
        <x:f>IF(OR(D33="",SUMIF('Backlog'!$B$6:$B$25,"S1",'Backlog'!$E$6:$E$25)=0,Burndown!$B$5="",Burndown!$C$5="",Burndown!$C$5&lt;=Burndown!$B$5),"",MAX(0,SUMIF('Backlog'!$B$6:$B$25,"S1",'Backlog'!$E$6:$E$25)*(Burndown!$C$5-D33)/(Burndown!$C$5-Burndown!$B$5)))</x:f>
      </x:c>
      <x:c r="D33" s="10" t="str">
        <x:f>IF(OR('Work Log'!$E$36&lt;&gt;"S1",'Work Log'!$A$36=""),"",'Work Log'!$A$36)</x:f>
      </x:c>
      <x:c r="E33" t="str">
        <x:f>IF(H33="","",TEXT(H33,"mm/dd/yy"))</x:f>
      </x:c>
      <x:c r="F33" s="11" t="str">
        <x:f>IF(OR(H33="",SUMIF('Backlog'!$B$6:$B$25,"S2",'Backlog'!$E$6:$E$25)=0,Burndown!$B$6="",Burndown!$C$6=""),"",MAX(0,SUMIF('Backlog'!$B$6:$B$25,"S2",'Backlog'!$E$6:$E$25)-SUMIFS('Work Log'!$D$6:$D$205,'Work Log'!$E$6:$E$205,"S2",'Work Log'!$A$6:$A$205,"&lt;="&amp;H33)))</x:f>
      </x:c>
      <x:c r="G33" s="11" t="str">
        <x:f>IF(OR(H33="",SUMIF('Backlog'!$B$6:$B$25,"S2",'Backlog'!$E$6:$E$25)=0,Burndown!$B$6="",Burndown!$C$6="",Burndown!$C$6&lt;=Burndown!$B$6),"",MAX(0,SUMIF('Backlog'!$B$6:$B$25,"S2",'Backlog'!$E$6:$E$25)*(Burndown!$C$6-H33)/(Burndown!$C$6-Burndown!$B$6)))</x:f>
      </x:c>
      <x:c r="H33" s="10" t="str">
        <x:f>IF(OR('Work Log'!$E$36&lt;&gt;"S2",'Work Log'!$A$36=""),"",'Work Log'!$A$36)</x:f>
      </x:c>
      <x:c r="I33" t="str">
        <x:f>IF(L33="","",TEXT(L33,"mm/dd/yy"))</x:f>
      </x:c>
      <x:c r="J33" s="11" t="str">
        <x:f>IF(OR(L33="",SUMIF('Backlog'!$B$6:$B$25,"S3",'Backlog'!$E$6:$E$25)=0,Burndown!$B$7="",Burndown!$C$7=""),"",MAX(0,SUMIF('Backlog'!$B$6:$B$25,"S3",'Backlog'!$E$6:$E$25)-SUMIFS('Work Log'!$D$6:$D$205,'Work Log'!$E$6:$E$205,"S3",'Work Log'!$A$6:$A$205,"&lt;="&amp;L33)))</x:f>
      </x:c>
      <x:c r="K33" s="11" t="str">
        <x:f>IF(OR(L33="",SUMIF('Backlog'!$B$6:$B$25,"S3",'Backlog'!$E$6:$E$25)=0,Burndown!$B$7="",Burndown!$C$7="",Burndown!$C$7&lt;=Burndown!$B$7),"",MAX(0,SUMIF('Backlog'!$B$6:$B$25,"S3",'Backlog'!$E$6:$E$25)*(Burndown!$C$7-L33)/(Burndown!$C$7-Burndown!$B$7)))</x:f>
      </x:c>
      <x:c r="L33" s="10" t="str">
        <x:f>IF(OR('Work Log'!$E$36&lt;&gt;"S3",'Work Log'!$A$36=""),"",'Work Log'!$A$36)</x:f>
      </x:c>
      <x:c r="M33" t="str">
        <x:f>IF(P33="","",TEXT(P33,"mm/dd/yy"))</x:f>
      </x:c>
      <x:c r="N33" s="11" t="str">
        <x:f>IF(OR(P33="",SUMIF('Backlog'!$B$6:$B$25,"S4",'Backlog'!$E$6:$E$25)=0,Burndown!$B$8="",Burndown!$C$8=""),"",MAX(0,SUMIF('Backlog'!$B$6:$B$25,"S4",'Backlog'!$E$6:$E$25)-SUMIFS('Work Log'!$D$6:$D$205,'Work Log'!$E$6:$E$205,"S4",'Work Log'!$A$6:$A$205,"&lt;="&amp;P33)))</x:f>
      </x:c>
      <x:c r="O33" s="11" t="str">
        <x:f>IF(OR(P33="",SUMIF('Backlog'!$B$6:$B$25,"S4",'Backlog'!$E$6:$E$25)=0,Burndown!$B$8="",Burndown!$C$8="",Burndown!$C$8&lt;=Burndown!$B$8),"",MAX(0,SUMIF('Backlog'!$B$6:$B$25,"S4",'Backlog'!$E$6:$E$25)*(Burndown!$C$8-P33)/(Burndown!$C$8-Burndown!$B$8)))</x:f>
      </x:c>
      <x:c r="P33" s="10" t="str">
        <x:f>IF(OR('Work Log'!$E$36&lt;&gt;"S4",'Work Log'!$A$36=""),"",'Work Log'!$A$36)</x:f>
      </x:c>
      <x:c r="Q33" t="str">
        <x:f>IF(T33="","",TEXT(T33,"mm/dd/yy"))</x:f>
      </x:c>
      <x:c r="R33" s="11" t="str">
        <x:f>IF(OR(T33="",SUMIF('Backlog'!$B$6:$B$25,"S5",'Backlog'!$E$6:$E$25)=0,Burndown!$B$9="",Burndown!$C$9=""),"",MAX(0,SUMIF('Backlog'!$B$6:$B$25,"S5",'Backlog'!$E$6:$E$25)-SUMIFS('Work Log'!$D$6:$D$205,'Work Log'!$E$6:$E$205,"S5",'Work Log'!$A$6:$A$205,"&lt;="&amp;T33)))</x:f>
      </x:c>
      <x:c r="S33" s="11" t="str">
        <x:f>IF(OR(T33="",SUMIF('Backlog'!$B$6:$B$25,"S5",'Backlog'!$E$6:$E$25)=0,Burndown!$B$9="",Burndown!$C$9="",Burndown!$C$9&lt;=Burndown!$B$9),"",MAX(0,SUMIF('Backlog'!$B$6:$B$25,"S5",'Backlog'!$E$6:$E$25)*(Burndown!$C$9-T33)/(Burndown!$C$9-Burndown!$B$9)))</x:f>
      </x:c>
      <x:c r="T33" s="10" t="str">
        <x:f>IF(OR('Work Log'!$E$36&lt;&gt;"S5",'Work Log'!$A$36=""),"",'Work Log'!$A$36)</x:f>
      </x:c>
    </x:row>
    <x:row r="34">
      <x:c r="A34" t="str">
        <x:f>IF(D34="","",TEXT(D34,"mm/dd/yy"))</x:f>
      </x:c>
      <x:c r="B34" s="11" t="str">
        <x:f>IF(OR(D34="",SUMIF('Backlog'!$B$6:$B$25,"S1",'Backlog'!$E$6:$E$25)=0,Burndown!$B$5="",Burndown!$C$5=""),"",MAX(0,SUMIF('Backlog'!$B$6:$B$25,"S1",'Backlog'!$E$6:$E$25)-SUMIFS('Work Log'!$D$6:$D$205,'Work Log'!$E$6:$E$205,"S1",'Work Log'!$A$6:$A$205,"&lt;="&amp;D34)))</x:f>
      </x:c>
      <x:c r="C34" s="11" t="str">
        <x:f>IF(OR(D34="",SUMIF('Backlog'!$B$6:$B$25,"S1",'Backlog'!$E$6:$E$25)=0,Burndown!$B$5="",Burndown!$C$5="",Burndown!$C$5&lt;=Burndown!$B$5),"",MAX(0,SUMIF('Backlog'!$B$6:$B$25,"S1",'Backlog'!$E$6:$E$25)*(Burndown!$C$5-D34)/(Burndown!$C$5-Burndown!$B$5)))</x:f>
      </x:c>
      <x:c r="D34" s="10" t="str">
        <x:f>IF(OR('Work Log'!$E$37&lt;&gt;"S1",'Work Log'!$A$37=""),"",'Work Log'!$A$37)</x:f>
      </x:c>
      <x:c r="E34" t="str">
        <x:f>IF(H34="","",TEXT(H34,"mm/dd/yy"))</x:f>
      </x:c>
      <x:c r="F34" s="11" t="str">
        <x:f>IF(OR(H34="",SUMIF('Backlog'!$B$6:$B$25,"S2",'Backlog'!$E$6:$E$25)=0,Burndown!$B$6="",Burndown!$C$6=""),"",MAX(0,SUMIF('Backlog'!$B$6:$B$25,"S2",'Backlog'!$E$6:$E$25)-SUMIFS('Work Log'!$D$6:$D$205,'Work Log'!$E$6:$E$205,"S2",'Work Log'!$A$6:$A$205,"&lt;="&amp;H34)))</x:f>
      </x:c>
      <x:c r="G34" s="11" t="str">
        <x:f>IF(OR(H34="",SUMIF('Backlog'!$B$6:$B$25,"S2",'Backlog'!$E$6:$E$25)=0,Burndown!$B$6="",Burndown!$C$6="",Burndown!$C$6&lt;=Burndown!$B$6),"",MAX(0,SUMIF('Backlog'!$B$6:$B$25,"S2",'Backlog'!$E$6:$E$25)*(Burndown!$C$6-H34)/(Burndown!$C$6-Burndown!$B$6)))</x:f>
      </x:c>
      <x:c r="H34" s="10" t="str">
        <x:f>IF(OR('Work Log'!$E$37&lt;&gt;"S2",'Work Log'!$A$37=""),"",'Work Log'!$A$37)</x:f>
      </x:c>
      <x:c r="I34" t="str">
        <x:f>IF(L34="","",TEXT(L34,"mm/dd/yy"))</x:f>
      </x:c>
      <x:c r="J34" s="11" t="str">
        <x:f>IF(OR(L34="",SUMIF('Backlog'!$B$6:$B$25,"S3",'Backlog'!$E$6:$E$25)=0,Burndown!$B$7="",Burndown!$C$7=""),"",MAX(0,SUMIF('Backlog'!$B$6:$B$25,"S3",'Backlog'!$E$6:$E$25)-SUMIFS('Work Log'!$D$6:$D$205,'Work Log'!$E$6:$E$205,"S3",'Work Log'!$A$6:$A$205,"&lt;="&amp;L34)))</x:f>
      </x:c>
      <x:c r="K34" s="11" t="str">
        <x:f>IF(OR(L34="",SUMIF('Backlog'!$B$6:$B$25,"S3",'Backlog'!$E$6:$E$25)=0,Burndown!$B$7="",Burndown!$C$7="",Burndown!$C$7&lt;=Burndown!$B$7),"",MAX(0,SUMIF('Backlog'!$B$6:$B$25,"S3",'Backlog'!$E$6:$E$25)*(Burndown!$C$7-L34)/(Burndown!$C$7-Burndown!$B$7)))</x:f>
      </x:c>
      <x:c r="L34" s="10" t="str">
        <x:f>IF(OR('Work Log'!$E$37&lt;&gt;"S3",'Work Log'!$A$37=""),"",'Work Log'!$A$37)</x:f>
      </x:c>
      <x:c r="M34" t="str">
        <x:f>IF(P34="","",TEXT(P34,"mm/dd/yy"))</x:f>
      </x:c>
      <x:c r="N34" s="11" t="str">
        <x:f>IF(OR(P34="",SUMIF('Backlog'!$B$6:$B$25,"S4",'Backlog'!$E$6:$E$25)=0,Burndown!$B$8="",Burndown!$C$8=""),"",MAX(0,SUMIF('Backlog'!$B$6:$B$25,"S4",'Backlog'!$E$6:$E$25)-SUMIFS('Work Log'!$D$6:$D$205,'Work Log'!$E$6:$E$205,"S4",'Work Log'!$A$6:$A$205,"&lt;="&amp;P34)))</x:f>
      </x:c>
      <x:c r="O34" s="11" t="str">
        <x:f>IF(OR(P34="",SUMIF('Backlog'!$B$6:$B$25,"S4",'Backlog'!$E$6:$E$25)=0,Burndown!$B$8="",Burndown!$C$8="",Burndown!$C$8&lt;=Burndown!$B$8),"",MAX(0,SUMIF('Backlog'!$B$6:$B$25,"S4",'Backlog'!$E$6:$E$25)*(Burndown!$C$8-P34)/(Burndown!$C$8-Burndown!$B$8)))</x:f>
      </x:c>
      <x:c r="P34" s="10" t="str">
        <x:f>IF(OR('Work Log'!$E$37&lt;&gt;"S4",'Work Log'!$A$37=""),"",'Work Log'!$A$37)</x:f>
      </x:c>
      <x:c r="Q34" t="str">
        <x:f>IF(T34="","",TEXT(T34,"mm/dd/yy"))</x:f>
      </x:c>
      <x:c r="R34" s="11" t="str">
        <x:f>IF(OR(T34="",SUMIF('Backlog'!$B$6:$B$25,"S5",'Backlog'!$E$6:$E$25)=0,Burndown!$B$9="",Burndown!$C$9=""),"",MAX(0,SUMIF('Backlog'!$B$6:$B$25,"S5",'Backlog'!$E$6:$E$25)-SUMIFS('Work Log'!$D$6:$D$205,'Work Log'!$E$6:$E$205,"S5",'Work Log'!$A$6:$A$205,"&lt;="&amp;T34)))</x:f>
      </x:c>
      <x:c r="S34" s="11" t="str">
        <x:f>IF(OR(T34="",SUMIF('Backlog'!$B$6:$B$25,"S5",'Backlog'!$E$6:$E$25)=0,Burndown!$B$9="",Burndown!$C$9="",Burndown!$C$9&lt;=Burndown!$B$9),"",MAX(0,SUMIF('Backlog'!$B$6:$B$25,"S5",'Backlog'!$E$6:$E$25)*(Burndown!$C$9-T34)/(Burndown!$C$9-Burndown!$B$9)))</x:f>
      </x:c>
      <x:c r="T34" s="10" t="str">
        <x:f>IF(OR('Work Log'!$E$37&lt;&gt;"S5",'Work Log'!$A$37=""),"",'Work Log'!$A$37)</x:f>
      </x:c>
    </x:row>
    <x:row r="35">
      <x:c r="A35" t="str">
        <x:f>IF(D35="","",TEXT(D35,"mm/dd/yy"))</x:f>
      </x:c>
      <x:c r="B35" s="11" t="str">
        <x:f>IF(OR(D35="",SUMIF('Backlog'!$B$6:$B$25,"S1",'Backlog'!$E$6:$E$25)=0,Burndown!$B$5="",Burndown!$C$5=""),"",MAX(0,SUMIF('Backlog'!$B$6:$B$25,"S1",'Backlog'!$E$6:$E$25)-SUMIFS('Work Log'!$D$6:$D$205,'Work Log'!$E$6:$E$205,"S1",'Work Log'!$A$6:$A$205,"&lt;="&amp;D35)))</x:f>
      </x:c>
      <x:c r="C35" s="11" t="str">
        <x:f>IF(OR(D35="",SUMIF('Backlog'!$B$6:$B$25,"S1",'Backlog'!$E$6:$E$25)=0,Burndown!$B$5="",Burndown!$C$5="",Burndown!$C$5&lt;=Burndown!$B$5),"",MAX(0,SUMIF('Backlog'!$B$6:$B$25,"S1",'Backlog'!$E$6:$E$25)*(Burndown!$C$5-D35)/(Burndown!$C$5-Burndown!$B$5)))</x:f>
      </x:c>
      <x:c r="D35" s="10" t="str">
        <x:f>IF(OR('Work Log'!$E$38&lt;&gt;"S1",'Work Log'!$A$38=""),"",'Work Log'!$A$38)</x:f>
      </x:c>
      <x:c r="E35" t="str">
        <x:f>IF(H35="","",TEXT(H35,"mm/dd/yy"))</x:f>
      </x:c>
      <x:c r="F35" s="11" t="str">
        <x:f>IF(OR(H35="",SUMIF('Backlog'!$B$6:$B$25,"S2",'Backlog'!$E$6:$E$25)=0,Burndown!$B$6="",Burndown!$C$6=""),"",MAX(0,SUMIF('Backlog'!$B$6:$B$25,"S2",'Backlog'!$E$6:$E$25)-SUMIFS('Work Log'!$D$6:$D$205,'Work Log'!$E$6:$E$205,"S2",'Work Log'!$A$6:$A$205,"&lt;="&amp;H35)))</x:f>
      </x:c>
      <x:c r="G35" s="11" t="str">
        <x:f>IF(OR(H35="",SUMIF('Backlog'!$B$6:$B$25,"S2",'Backlog'!$E$6:$E$25)=0,Burndown!$B$6="",Burndown!$C$6="",Burndown!$C$6&lt;=Burndown!$B$6),"",MAX(0,SUMIF('Backlog'!$B$6:$B$25,"S2",'Backlog'!$E$6:$E$25)*(Burndown!$C$6-H35)/(Burndown!$C$6-Burndown!$B$6)))</x:f>
      </x:c>
      <x:c r="H35" s="10" t="str">
        <x:f>IF(OR('Work Log'!$E$38&lt;&gt;"S2",'Work Log'!$A$38=""),"",'Work Log'!$A$38)</x:f>
      </x:c>
      <x:c r="I35" t="str">
        <x:f>IF(L35="","",TEXT(L35,"mm/dd/yy"))</x:f>
      </x:c>
      <x:c r="J35" s="11" t="str">
        <x:f>IF(OR(L35="",SUMIF('Backlog'!$B$6:$B$25,"S3",'Backlog'!$E$6:$E$25)=0,Burndown!$B$7="",Burndown!$C$7=""),"",MAX(0,SUMIF('Backlog'!$B$6:$B$25,"S3",'Backlog'!$E$6:$E$25)-SUMIFS('Work Log'!$D$6:$D$205,'Work Log'!$E$6:$E$205,"S3",'Work Log'!$A$6:$A$205,"&lt;="&amp;L35)))</x:f>
      </x:c>
      <x:c r="K35" s="11" t="str">
        <x:f>IF(OR(L35="",SUMIF('Backlog'!$B$6:$B$25,"S3",'Backlog'!$E$6:$E$25)=0,Burndown!$B$7="",Burndown!$C$7="",Burndown!$C$7&lt;=Burndown!$B$7),"",MAX(0,SUMIF('Backlog'!$B$6:$B$25,"S3",'Backlog'!$E$6:$E$25)*(Burndown!$C$7-L35)/(Burndown!$C$7-Burndown!$B$7)))</x:f>
      </x:c>
      <x:c r="L35" s="10" t="str">
        <x:f>IF(OR('Work Log'!$E$38&lt;&gt;"S3",'Work Log'!$A$38=""),"",'Work Log'!$A$38)</x:f>
      </x:c>
      <x:c r="M35" t="str">
        <x:f>IF(P35="","",TEXT(P35,"mm/dd/yy"))</x:f>
      </x:c>
      <x:c r="N35" s="11" t="str">
        <x:f>IF(OR(P35="",SUMIF('Backlog'!$B$6:$B$25,"S4",'Backlog'!$E$6:$E$25)=0,Burndown!$B$8="",Burndown!$C$8=""),"",MAX(0,SUMIF('Backlog'!$B$6:$B$25,"S4",'Backlog'!$E$6:$E$25)-SUMIFS('Work Log'!$D$6:$D$205,'Work Log'!$E$6:$E$205,"S4",'Work Log'!$A$6:$A$205,"&lt;="&amp;P35)))</x:f>
      </x:c>
      <x:c r="O35" s="11" t="str">
        <x:f>IF(OR(P35="",SUMIF('Backlog'!$B$6:$B$25,"S4",'Backlog'!$E$6:$E$25)=0,Burndown!$B$8="",Burndown!$C$8="",Burndown!$C$8&lt;=Burndown!$B$8),"",MAX(0,SUMIF('Backlog'!$B$6:$B$25,"S4",'Backlog'!$E$6:$E$25)*(Burndown!$C$8-P35)/(Burndown!$C$8-Burndown!$B$8)))</x:f>
      </x:c>
      <x:c r="P35" s="10" t="str">
        <x:f>IF(OR('Work Log'!$E$38&lt;&gt;"S4",'Work Log'!$A$38=""),"",'Work Log'!$A$38)</x:f>
      </x:c>
      <x:c r="Q35" t="str">
        <x:f>IF(T35="","",TEXT(T35,"mm/dd/yy"))</x:f>
      </x:c>
      <x:c r="R35" s="11" t="str">
        <x:f>IF(OR(T35="",SUMIF('Backlog'!$B$6:$B$25,"S5",'Backlog'!$E$6:$E$25)=0,Burndown!$B$9="",Burndown!$C$9=""),"",MAX(0,SUMIF('Backlog'!$B$6:$B$25,"S5",'Backlog'!$E$6:$E$25)-SUMIFS('Work Log'!$D$6:$D$205,'Work Log'!$E$6:$E$205,"S5",'Work Log'!$A$6:$A$205,"&lt;="&amp;T35)))</x:f>
      </x:c>
      <x:c r="S35" s="11" t="str">
        <x:f>IF(OR(T35="",SUMIF('Backlog'!$B$6:$B$25,"S5",'Backlog'!$E$6:$E$25)=0,Burndown!$B$9="",Burndown!$C$9="",Burndown!$C$9&lt;=Burndown!$B$9),"",MAX(0,SUMIF('Backlog'!$B$6:$B$25,"S5",'Backlog'!$E$6:$E$25)*(Burndown!$C$9-T35)/(Burndown!$C$9-Burndown!$B$9)))</x:f>
      </x:c>
      <x:c r="T35" s="10" t="str">
        <x:f>IF(OR('Work Log'!$E$38&lt;&gt;"S5",'Work Log'!$A$38=""),"",'Work Log'!$A$38)</x:f>
      </x:c>
    </x:row>
    <x:row r="36">
      <x:c r="A36" t="str">
        <x:f>IF(D36="","",TEXT(D36,"mm/dd/yy"))</x:f>
      </x:c>
      <x:c r="B36" s="11" t="str">
        <x:f>IF(OR(D36="",SUMIF('Backlog'!$B$6:$B$25,"S1",'Backlog'!$E$6:$E$25)=0,Burndown!$B$5="",Burndown!$C$5=""),"",MAX(0,SUMIF('Backlog'!$B$6:$B$25,"S1",'Backlog'!$E$6:$E$25)-SUMIFS('Work Log'!$D$6:$D$205,'Work Log'!$E$6:$E$205,"S1",'Work Log'!$A$6:$A$205,"&lt;="&amp;D36)))</x:f>
      </x:c>
      <x:c r="C36" s="11" t="str">
        <x:f>IF(OR(D36="",SUMIF('Backlog'!$B$6:$B$25,"S1",'Backlog'!$E$6:$E$25)=0,Burndown!$B$5="",Burndown!$C$5="",Burndown!$C$5&lt;=Burndown!$B$5),"",MAX(0,SUMIF('Backlog'!$B$6:$B$25,"S1",'Backlog'!$E$6:$E$25)*(Burndown!$C$5-D36)/(Burndown!$C$5-Burndown!$B$5)))</x:f>
      </x:c>
      <x:c r="D36" s="10" t="str">
        <x:f>IF(OR('Work Log'!$E$39&lt;&gt;"S1",'Work Log'!$A$39=""),"",'Work Log'!$A$39)</x:f>
      </x:c>
      <x:c r="E36" t="str">
        <x:f>IF(H36="","",TEXT(H36,"mm/dd/yy"))</x:f>
      </x:c>
      <x:c r="F36" s="11" t="str">
        <x:f>IF(OR(H36="",SUMIF('Backlog'!$B$6:$B$25,"S2",'Backlog'!$E$6:$E$25)=0,Burndown!$B$6="",Burndown!$C$6=""),"",MAX(0,SUMIF('Backlog'!$B$6:$B$25,"S2",'Backlog'!$E$6:$E$25)-SUMIFS('Work Log'!$D$6:$D$205,'Work Log'!$E$6:$E$205,"S2",'Work Log'!$A$6:$A$205,"&lt;="&amp;H36)))</x:f>
      </x:c>
      <x:c r="G36" s="11" t="str">
        <x:f>IF(OR(H36="",SUMIF('Backlog'!$B$6:$B$25,"S2",'Backlog'!$E$6:$E$25)=0,Burndown!$B$6="",Burndown!$C$6="",Burndown!$C$6&lt;=Burndown!$B$6),"",MAX(0,SUMIF('Backlog'!$B$6:$B$25,"S2",'Backlog'!$E$6:$E$25)*(Burndown!$C$6-H36)/(Burndown!$C$6-Burndown!$B$6)))</x:f>
      </x:c>
      <x:c r="H36" s="10" t="str">
        <x:f>IF(OR('Work Log'!$E$39&lt;&gt;"S2",'Work Log'!$A$39=""),"",'Work Log'!$A$39)</x:f>
      </x:c>
      <x:c r="I36" t="str">
        <x:f>IF(L36="","",TEXT(L36,"mm/dd/yy"))</x:f>
      </x:c>
      <x:c r="J36" s="11" t="str">
        <x:f>IF(OR(L36="",SUMIF('Backlog'!$B$6:$B$25,"S3",'Backlog'!$E$6:$E$25)=0,Burndown!$B$7="",Burndown!$C$7=""),"",MAX(0,SUMIF('Backlog'!$B$6:$B$25,"S3",'Backlog'!$E$6:$E$25)-SUMIFS('Work Log'!$D$6:$D$205,'Work Log'!$E$6:$E$205,"S3",'Work Log'!$A$6:$A$205,"&lt;="&amp;L36)))</x:f>
      </x:c>
      <x:c r="K36" s="11" t="str">
        <x:f>IF(OR(L36="",SUMIF('Backlog'!$B$6:$B$25,"S3",'Backlog'!$E$6:$E$25)=0,Burndown!$B$7="",Burndown!$C$7="",Burndown!$C$7&lt;=Burndown!$B$7),"",MAX(0,SUMIF('Backlog'!$B$6:$B$25,"S3",'Backlog'!$E$6:$E$25)*(Burndown!$C$7-L36)/(Burndown!$C$7-Burndown!$B$7)))</x:f>
      </x:c>
      <x:c r="L36" s="10" t="str">
        <x:f>IF(OR('Work Log'!$E$39&lt;&gt;"S3",'Work Log'!$A$39=""),"",'Work Log'!$A$39)</x:f>
      </x:c>
      <x:c r="M36" t="str">
        <x:f>IF(P36="","",TEXT(P36,"mm/dd/yy"))</x:f>
      </x:c>
      <x:c r="N36" s="11" t="str">
        <x:f>IF(OR(P36="",SUMIF('Backlog'!$B$6:$B$25,"S4",'Backlog'!$E$6:$E$25)=0,Burndown!$B$8="",Burndown!$C$8=""),"",MAX(0,SUMIF('Backlog'!$B$6:$B$25,"S4",'Backlog'!$E$6:$E$25)-SUMIFS('Work Log'!$D$6:$D$205,'Work Log'!$E$6:$E$205,"S4",'Work Log'!$A$6:$A$205,"&lt;="&amp;P36)))</x:f>
      </x:c>
      <x:c r="O36" s="11" t="str">
        <x:f>IF(OR(P36="",SUMIF('Backlog'!$B$6:$B$25,"S4",'Backlog'!$E$6:$E$25)=0,Burndown!$B$8="",Burndown!$C$8="",Burndown!$C$8&lt;=Burndown!$B$8),"",MAX(0,SUMIF('Backlog'!$B$6:$B$25,"S4",'Backlog'!$E$6:$E$25)*(Burndown!$C$8-P36)/(Burndown!$C$8-Burndown!$B$8)))</x:f>
      </x:c>
      <x:c r="P36" s="10" t="str">
        <x:f>IF(OR('Work Log'!$E$39&lt;&gt;"S4",'Work Log'!$A$39=""),"",'Work Log'!$A$39)</x:f>
      </x:c>
      <x:c r="Q36" t="str">
        <x:f>IF(T36="","",TEXT(T36,"mm/dd/yy"))</x:f>
      </x:c>
      <x:c r="R36" s="11" t="str">
        <x:f>IF(OR(T36="",SUMIF('Backlog'!$B$6:$B$25,"S5",'Backlog'!$E$6:$E$25)=0,Burndown!$B$9="",Burndown!$C$9=""),"",MAX(0,SUMIF('Backlog'!$B$6:$B$25,"S5",'Backlog'!$E$6:$E$25)-SUMIFS('Work Log'!$D$6:$D$205,'Work Log'!$E$6:$E$205,"S5",'Work Log'!$A$6:$A$205,"&lt;="&amp;T36)))</x:f>
      </x:c>
      <x:c r="S36" s="11" t="str">
        <x:f>IF(OR(T36="",SUMIF('Backlog'!$B$6:$B$25,"S5",'Backlog'!$E$6:$E$25)=0,Burndown!$B$9="",Burndown!$C$9="",Burndown!$C$9&lt;=Burndown!$B$9),"",MAX(0,SUMIF('Backlog'!$B$6:$B$25,"S5",'Backlog'!$E$6:$E$25)*(Burndown!$C$9-T36)/(Burndown!$C$9-Burndown!$B$9)))</x:f>
      </x:c>
      <x:c r="T36" s="10" t="str">
        <x:f>IF(OR('Work Log'!$E$39&lt;&gt;"S5",'Work Log'!$A$39=""),"",'Work Log'!$A$39)</x:f>
      </x:c>
    </x:row>
    <x:row r="37">
      <x:c r="A37" t="str">
        <x:f>IF(D37="","",TEXT(D37,"mm/dd/yy"))</x:f>
      </x:c>
      <x:c r="B37" s="11" t="str">
        <x:f>IF(OR(D37="",SUMIF('Backlog'!$B$6:$B$25,"S1",'Backlog'!$E$6:$E$25)=0,Burndown!$B$5="",Burndown!$C$5=""),"",MAX(0,SUMIF('Backlog'!$B$6:$B$25,"S1",'Backlog'!$E$6:$E$25)-SUMIFS('Work Log'!$D$6:$D$205,'Work Log'!$E$6:$E$205,"S1",'Work Log'!$A$6:$A$205,"&lt;="&amp;D37)))</x:f>
      </x:c>
      <x:c r="C37" s="11" t="str">
        <x:f>IF(OR(D37="",SUMIF('Backlog'!$B$6:$B$25,"S1",'Backlog'!$E$6:$E$25)=0,Burndown!$B$5="",Burndown!$C$5="",Burndown!$C$5&lt;=Burndown!$B$5),"",MAX(0,SUMIF('Backlog'!$B$6:$B$25,"S1",'Backlog'!$E$6:$E$25)*(Burndown!$C$5-D37)/(Burndown!$C$5-Burndown!$B$5)))</x:f>
      </x:c>
      <x:c r="D37" s="10" t="str">
        <x:f>IF(OR('Work Log'!$E$40&lt;&gt;"S1",'Work Log'!$A$40=""),"",'Work Log'!$A$40)</x:f>
      </x:c>
      <x:c r="E37" t="str">
        <x:f>IF(H37="","",TEXT(H37,"mm/dd/yy"))</x:f>
      </x:c>
      <x:c r="F37" s="11" t="str">
        <x:f>IF(OR(H37="",SUMIF('Backlog'!$B$6:$B$25,"S2",'Backlog'!$E$6:$E$25)=0,Burndown!$B$6="",Burndown!$C$6=""),"",MAX(0,SUMIF('Backlog'!$B$6:$B$25,"S2",'Backlog'!$E$6:$E$25)-SUMIFS('Work Log'!$D$6:$D$205,'Work Log'!$E$6:$E$205,"S2",'Work Log'!$A$6:$A$205,"&lt;="&amp;H37)))</x:f>
      </x:c>
      <x:c r="G37" s="11" t="str">
        <x:f>IF(OR(H37="",SUMIF('Backlog'!$B$6:$B$25,"S2",'Backlog'!$E$6:$E$25)=0,Burndown!$B$6="",Burndown!$C$6="",Burndown!$C$6&lt;=Burndown!$B$6),"",MAX(0,SUMIF('Backlog'!$B$6:$B$25,"S2",'Backlog'!$E$6:$E$25)*(Burndown!$C$6-H37)/(Burndown!$C$6-Burndown!$B$6)))</x:f>
      </x:c>
      <x:c r="H37" s="10" t="str">
        <x:f>IF(OR('Work Log'!$E$40&lt;&gt;"S2",'Work Log'!$A$40=""),"",'Work Log'!$A$40)</x:f>
      </x:c>
      <x:c r="I37" t="str">
        <x:f>IF(L37="","",TEXT(L37,"mm/dd/yy"))</x:f>
      </x:c>
      <x:c r="J37" s="11" t="str">
        <x:f>IF(OR(L37="",SUMIF('Backlog'!$B$6:$B$25,"S3",'Backlog'!$E$6:$E$25)=0,Burndown!$B$7="",Burndown!$C$7=""),"",MAX(0,SUMIF('Backlog'!$B$6:$B$25,"S3",'Backlog'!$E$6:$E$25)-SUMIFS('Work Log'!$D$6:$D$205,'Work Log'!$E$6:$E$205,"S3",'Work Log'!$A$6:$A$205,"&lt;="&amp;L37)))</x:f>
      </x:c>
      <x:c r="K37" s="11" t="str">
        <x:f>IF(OR(L37="",SUMIF('Backlog'!$B$6:$B$25,"S3",'Backlog'!$E$6:$E$25)=0,Burndown!$B$7="",Burndown!$C$7="",Burndown!$C$7&lt;=Burndown!$B$7),"",MAX(0,SUMIF('Backlog'!$B$6:$B$25,"S3",'Backlog'!$E$6:$E$25)*(Burndown!$C$7-L37)/(Burndown!$C$7-Burndown!$B$7)))</x:f>
      </x:c>
      <x:c r="L37" s="10" t="str">
        <x:f>IF(OR('Work Log'!$E$40&lt;&gt;"S3",'Work Log'!$A$40=""),"",'Work Log'!$A$40)</x:f>
      </x:c>
      <x:c r="M37" t="str">
        <x:f>IF(P37="","",TEXT(P37,"mm/dd/yy"))</x:f>
      </x:c>
      <x:c r="N37" s="11" t="str">
        <x:f>IF(OR(P37="",SUMIF('Backlog'!$B$6:$B$25,"S4",'Backlog'!$E$6:$E$25)=0,Burndown!$B$8="",Burndown!$C$8=""),"",MAX(0,SUMIF('Backlog'!$B$6:$B$25,"S4",'Backlog'!$E$6:$E$25)-SUMIFS('Work Log'!$D$6:$D$205,'Work Log'!$E$6:$E$205,"S4",'Work Log'!$A$6:$A$205,"&lt;="&amp;P37)))</x:f>
      </x:c>
      <x:c r="O37" s="11" t="str">
        <x:f>IF(OR(P37="",SUMIF('Backlog'!$B$6:$B$25,"S4",'Backlog'!$E$6:$E$25)=0,Burndown!$B$8="",Burndown!$C$8="",Burndown!$C$8&lt;=Burndown!$B$8),"",MAX(0,SUMIF('Backlog'!$B$6:$B$25,"S4",'Backlog'!$E$6:$E$25)*(Burndown!$C$8-P37)/(Burndown!$C$8-Burndown!$B$8)))</x:f>
      </x:c>
      <x:c r="P37" s="10" t="str">
        <x:f>IF(OR('Work Log'!$E$40&lt;&gt;"S4",'Work Log'!$A$40=""),"",'Work Log'!$A$40)</x:f>
      </x:c>
      <x:c r="Q37" t="str">
        <x:f>IF(T37="","",TEXT(T37,"mm/dd/yy"))</x:f>
      </x:c>
      <x:c r="R37" s="11" t="str">
        <x:f>IF(OR(T37="",SUMIF('Backlog'!$B$6:$B$25,"S5",'Backlog'!$E$6:$E$25)=0,Burndown!$B$9="",Burndown!$C$9=""),"",MAX(0,SUMIF('Backlog'!$B$6:$B$25,"S5",'Backlog'!$E$6:$E$25)-SUMIFS('Work Log'!$D$6:$D$205,'Work Log'!$E$6:$E$205,"S5",'Work Log'!$A$6:$A$205,"&lt;="&amp;T37)))</x:f>
      </x:c>
      <x:c r="S37" s="11" t="str">
        <x:f>IF(OR(T37="",SUMIF('Backlog'!$B$6:$B$25,"S5",'Backlog'!$E$6:$E$25)=0,Burndown!$B$9="",Burndown!$C$9="",Burndown!$C$9&lt;=Burndown!$B$9),"",MAX(0,SUMIF('Backlog'!$B$6:$B$25,"S5",'Backlog'!$E$6:$E$25)*(Burndown!$C$9-T37)/(Burndown!$C$9-Burndown!$B$9)))</x:f>
      </x:c>
      <x:c r="T37" s="10" t="str">
        <x:f>IF(OR('Work Log'!$E$40&lt;&gt;"S5",'Work Log'!$A$40=""),"",'Work Log'!$A$40)</x:f>
      </x:c>
    </x:row>
    <x:row r="38">
      <x:c r="A38" t="str">
        <x:f>IF(D38="","",TEXT(D38,"mm/dd/yy"))</x:f>
      </x:c>
      <x:c r="B38" s="11" t="str">
        <x:f>IF(OR(D38="",SUMIF('Backlog'!$B$6:$B$25,"S1",'Backlog'!$E$6:$E$25)=0,Burndown!$B$5="",Burndown!$C$5=""),"",MAX(0,SUMIF('Backlog'!$B$6:$B$25,"S1",'Backlog'!$E$6:$E$25)-SUMIFS('Work Log'!$D$6:$D$205,'Work Log'!$E$6:$E$205,"S1",'Work Log'!$A$6:$A$205,"&lt;="&amp;D38)))</x:f>
      </x:c>
      <x:c r="C38" s="11" t="str">
        <x:f>IF(OR(D38="",SUMIF('Backlog'!$B$6:$B$25,"S1",'Backlog'!$E$6:$E$25)=0,Burndown!$B$5="",Burndown!$C$5="",Burndown!$C$5&lt;=Burndown!$B$5),"",MAX(0,SUMIF('Backlog'!$B$6:$B$25,"S1",'Backlog'!$E$6:$E$25)*(Burndown!$C$5-D38)/(Burndown!$C$5-Burndown!$B$5)))</x:f>
      </x:c>
      <x:c r="D38" s="10" t="str">
        <x:f>IF(OR('Work Log'!$E$41&lt;&gt;"S1",'Work Log'!$A$41=""),"",'Work Log'!$A$41)</x:f>
      </x:c>
      <x:c r="E38" t="str">
        <x:f>IF(H38="","",TEXT(H38,"mm/dd/yy"))</x:f>
      </x:c>
      <x:c r="F38" s="11" t="str">
        <x:f>IF(OR(H38="",SUMIF('Backlog'!$B$6:$B$25,"S2",'Backlog'!$E$6:$E$25)=0,Burndown!$B$6="",Burndown!$C$6=""),"",MAX(0,SUMIF('Backlog'!$B$6:$B$25,"S2",'Backlog'!$E$6:$E$25)-SUMIFS('Work Log'!$D$6:$D$205,'Work Log'!$E$6:$E$205,"S2",'Work Log'!$A$6:$A$205,"&lt;="&amp;H38)))</x:f>
      </x:c>
      <x:c r="G38" s="11" t="str">
        <x:f>IF(OR(H38="",SUMIF('Backlog'!$B$6:$B$25,"S2",'Backlog'!$E$6:$E$25)=0,Burndown!$B$6="",Burndown!$C$6="",Burndown!$C$6&lt;=Burndown!$B$6),"",MAX(0,SUMIF('Backlog'!$B$6:$B$25,"S2",'Backlog'!$E$6:$E$25)*(Burndown!$C$6-H38)/(Burndown!$C$6-Burndown!$B$6)))</x:f>
      </x:c>
      <x:c r="H38" s="10" t="str">
        <x:f>IF(OR('Work Log'!$E$41&lt;&gt;"S2",'Work Log'!$A$41=""),"",'Work Log'!$A$41)</x:f>
      </x:c>
      <x:c r="I38" t="str">
        <x:f>IF(L38="","",TEXT(L38,"mm/dd/yy"))</x:f>
      </x:c>
      <x:c r="J38" s="11" t="str">
        <x:f>IF(OR(L38="",SUMIF('Backlog'!$B$6:$B$25,"S3",'Backlog'!$E$6:$E$25)=0,Burndown!$B$7="",Burndown!$C$7=""),"",MAX(0,SUMIF('Backlog'!$B$6:$B$25,"S3",'Backlog'!$E$6:$E$25)-SUMIFS('Work Log'!$D$6:$D$205,'Work Log'!$E$6:$E$205,"S3",'Work Log'!$A$6:$A$205,"&lt;="&amp;L38)))</x:f>
      </x:c>
      <x:c r="K38" s="11" t="str">
        <x:f>IF(OR(L38="",SUMIF('Backlog'!$B$6:$B$25,"S3",'Backlog'!$E$6:$E$25)=0,Burndown!$B$7="",Burndown!$C$7="",Burndown!$C$7&lt;=Burndown!$B$7),"",MAX(0,SUMIF('Backlog'!$B$6:$B$25,"S3",'Backlog'!$E$6:$E$25)*(Burndown!$C$7-L38)/(Burndown!$C$7-Burndown!$B$7)))</x:f>
      </x:c>
      <x:c r="L38" s="10" t="str">
        <x:f>IF(OR('Work Log'!$E$41&lt;&gt;"S3",'Work Log'!$A$41=""),"",'Work Log'!$A$41)</x:f>
      </x:c>
      <x:c r="M38" t="str">
        <x:f>IF(P38="","",TEXT(P38,"mm/dd/yy"))</x:f>
      </x:c>
      <x:c r="N38" s="11" t="str">
        <x:f>IF(OR(P38="",SUMIF('Backlog'!$B$6:$B$25,"S4",'Backlog'!$E$6:$E$25)=0,Burndown!$B$8="",Burndown!$C$8=""),"",MAX(0,SUMIF('Backlog'!$B$6:$B$25,"S4",'Backlog'!$E$6:$E$25)-SUMIFS('Work Log'!$D$6:$D$205,'Work Log'!$E$6:$E$205,"S4",'Work Log'!$A$6:$A$205,"&lt;="&amp;P38)))</x:f>
      </x:c>
      <x:c r="O38" s="11" t="str">
        <x:f>IF(OR(P38="",SUMIF('Backlog'!$B$6:$B$25,"S4",'Backlog'!$E$6:$E$25)=0,Burndown!$B$8="",Burndown!$C$8="",Burndown!$C$8&lt;=Burndown!$B$8),"",MAX(0,SUMIF('Backlog'!$B$6:$B$25,"S4",'Backlog'!$E$6:$E$25)*(Burndown!$C$8-P38)/(Burndown!$C$8-Burndown!$B$8)))</x:f>
      </x:c>
      <x:c r="P38" s="10" t="str">
        <x:f>IF(OR('Work Log'!$E$41&lt;&gt;"S4",'Work Log'!$A$41=""),"",'Work Log'!$A$41)</x:f>
      </x:c>
      <x:c r="Q38" t="str">
        <x:f>IF(T38="","",TEXT(T38,"mm/dd/yy"))</x:f>
      </x:c>
      <x:c r="R38" s="11" t="str">
        <x:f>IF(OR(T38="",SUMIF('Backlog'!$B$6:$B$25,"S5",'Backlog'!$E$6:$E$25)=0,Burndown!$B$9="",Burndown!$C$9=""),"",MAX(0,SUMIF('Backlog'!$B$6:$B$25,"S5",'Backlog'!$E$6:$E$25)-SUMIFS('Work Log'!$D$6:$D$205,'Work Log'!$E$6:$E$205,"S5",'Work Log'!$A$6:$A$205,"&lt;="&amp;T38)))</x:f>
      </x:c>
      <x:c r="S38" s="11" t="str">
        <x:f>IF(OR(T38="",SUMIF('Backlog'!$B$6:$B$25,"S5",'Backlog'!$E$6:$E$25)=0,Burndown!$B$9="",Burndown!$C$9="",Burndown!$C$9&lt;=Burndown!$B$9),"",MAX(0,SUMIF('Backlog'!$B$6:$B$25,"S5",'Backlog'!$E$6:$E$25)*(Burndown!$C$9-T38)/(Burndown!$C$9-Burndown!$B$9)))</x:f>
      </x:c>
      <x:c r="T38" s="10" t="str">
        <x:f>IF(OR('Work Log'!$E$41&lt;&gt;"S5",'Work Log'!$A$41=""),"",'Work Log'!$A$41)</x:f>
      </x:c>
    </x:row>
    <x:row r="39">
      <x:c r="A39" t="str">
        <x:f>IF(D39="","",TEXT(D39,"mm/dd/yy"))</x:f>
      </x:c>
      <x:c r="B39" s="11" t="str">
        <x:f>IF(OR(D39="",SUMIF('Backlog'!$B$6:$B$25,"S1",'Backlog'!$E$6:$E$25)=0,Burndown!$B$5="",Burndown!$C$5=""),"",MAX(0,SUMIF('Backlog'!$B$6:$B$25,"S1",'Backlog'!$E$6:$E$25)-SUMIFS('Work Log'!$D$6:$D$205,'Work Log'!$E$6:$E$205,"S1",'Work Log'!$A$6:$A$205,"&lt;="&amp;D39)))</x:f>
      </x:c>
      <x:c r="C39" s="11" t="str">
        <x:f>IF(OR(D39="",SUMIF('Backlog'!$B$6:$B$25,"S1",'Backlog'!$E$6:$E$25)=0,Burndown!$B$5="",Burndown!$C$5="",Burndown!$C$5&lt;=Burndown!$B$5),"",MAX(0,SUMIF('Backlog'!$B$6:$B$25,"S1",'Backlog'!$E$6:$E$25)*(Burndown!$C$5-D39)/(Burndown!$C$5-Burndown!$B$5)))</x:f>
      </x:c>
      <x:c r="D39" s="10" t="str">
        <x:f>IF(OR('Work Log'!$E$42&lt;&gt;"S1",'Work Log'!$A$42=""),"",'Work Log'!$A$42)</x:f>
      </x:c>
      <x:c r="E39" t="str">
        <x:f>IF(H39="","",TEXT(H39,"mm/dd/yy"))</x:f>
      </x:c>
      <x:c r="F39" s="11" t="str">
        <x:f>IF(OR(H39="",SUMIF('Backlog'!$B$6:$B$25,"S2",'Backlog'!$E$6:$E$25)=0,Burndown!$B$6="",Burndown!$C$6=""),"",MAX(0,SUMIF('Backlog'!$B$6:$B$25,"S2",'Backlog'!$E$6:$E$25)-SUMIFS('Work Log'!$D$6:$D$205,'Work Log'!$E$6:$E$205,"S2",'Work Log'!$A$6:$A$205,"&lt;="&amp;H39)))</x:f>
      </x:c>
      <x:c r="G39" s="11" t="str">
        <x:f>IF(OR(H39="",SUMIF('Backlog'!$B$6:$B$25,"S2",'Backlog'!$E$6:$E$25)=0,Burndown!$B$6="",Burndown!$C$6="",Burndown!$C$6&lt;=Burndown!$B$6),"",MAX(0,SUMIF('Backlog'!$B$6:$B$25,"S2",'Backlog'!$E$6:$E$25)*(Burndown!$C$6-H39)/(Burndown!$C$6-Burndown!$B$6)))</x:f>
      </x:c>
      <x:c r="H39" s="10" t="str">
        <x:f>IF(OR('Work Log'!$E$42&lt;&gt;"S2",'Work Log'!$A$42=""),"",'Work Log'!$A$42)</x:f>
      </x:c>
      <x:c r="I39" t="str">
        <x:f>IF(L39="","",TEXT(L39,"mm/dd/yy"))</x:f>
      </x:c>
      <x:c r="J39" s="11" t="str">
        <x:f>IF(OR(L39="",SUMIF('Backlog'!$B$6:$B$25,"S3",'Backlog'!$E$6:$E$25)=0,Burndown!$B$7="",Burndown!$C$7=""),"",MAX(0,SUMIF('Backlog'!$B$6:$B$25,"S3",'Backlog'!$E$6:$E$25)-SUMIFS('Work Log'!$D$6:$D$205,'Work Log'!$E$6:$E$205,"S3",'Work Log'!$A$6:$A$205,"&lt;="&amp;L39)))</x:f>
      </x:c>
      <x:c r="K39" s="11" t="str">
        <x:f>IF(OR(L39="",SUMIF('Backlog'!$B$6:$B$25,"S3",'Backlog'!$E$6:$E$25)=0,Burndown!$B$7="",Burndown!$C$7="",Burndown!$C$7&lt;=Burndown!$B$7),"",MAX(0,SUMIF('Backlog'!$B$6:$B$25,"S3",'Backlog'!$E$6:$E$25)*(Burndown!$C$7-L39)/(Burndown!$C$7-Burndown!$B$7)))</x:f>
      </x:c>
      <x:c r="L39" s="10" t="str">
        <x:f>IF(OR('Work Log'!$E$42&lt;&gt;"S3",'Work Log'!$A$42=""),"",'Work Log'!$A$42)</x:f>
      </x:c>
      <x:c r="M39" t="str">
        <x:f>IF(P39="","",TEXT(P39,"mm/dd/yy"))</x:f>
      </x:c>
      <x:c r="N39" s="11" t="str">
        <x:f>IF(OR(P39="",SUMIF('Backlog'!$B$6:$B$25,"S4",'Backlog'!$E$6:$E$25)=0,Burndown!$B$8="",Burndown!$C$8=""),"",MAX(0,SUMIF('Backlog'!$B$6:$B$25,"S4",'Backlog'!$E$6:$E$25)-SUMIFS('Work Log'!$D$6:$D$205,'Work Log'!$E$6:$E$205,"S4",'Work Log'!$A$6:$A$205,"&lt;="&amp;P39)))</x:f>
      </x:c>
      <x:c r="O39" s="11" t="str">
        <x:f>IF(OR(P39="",SUMIF('Backlog'!$B$6:$B$25,"S4",'Backlog'!$E$6:$E$25)=0,Burndown!$B$8="",Burndown!$C$8="",Burndown!$C$8&lt;=Burndown!$B$8),"",MAX(0,SUMIF('Backlog'!$B$6:$B$25,"S4",'Backlog'!$E$6:$E$25)*(Burndown!$C$8-P39)/(Burndown!$C$8-Burndown!$B$8)))</x:f>
      </x:c>
      <x:c r="P39" s="10" t="str">
        <x:f>IF(OR('Work Log'!$E$42&lt;&gt;"S4",'Work Log'!$A$42=""),"",'Work Log'!$A$42)</x:f>
      </x:c>
      <x:c r="Q39" t="str">
        <x:f>IF(T39="","",TEXT(T39,"mm/dd/yy"))</x:f>
      </x:c>
      <x:c r="R39" s="11" t="str">
        <x:f>IF(OR(T39="",SUMIF('Backlog'!$B$6:$B$25,"S5",'Backlog'!$E$6:$E$25)=0,Burndown!$B$9="",Burndown!$C$9=""),"",MAX(0,SUMIF('Backlog'!$B$6:$B$25,"S5",'Backlog'!$E$6:$E$25)-SUMIFS('Work Log'!$D$6:$D$205,'Work Log'!$E$6:$E$205,"S5",'Work Log'!$A$6:$A$205,"&lt;="&amp;T39)))</x:f>
      </x:c>
      <x:c r="S39" s="11" t="str">
        <x:f>IF(OR(T39="",SUMIF('Backlog'!$B$6:$B$25,"S5",'Backlog'!$E$6:$E$25)=0,Burndown!$B$9="",Burndown!$C$9="",Burndown!$C$9&lt;=Burndown!$B$9),"",MAX(0,SUMIF('Backlog'!$B$6:$B$25,"S5",'Backlog'!$E$6:$E$25)*(Burndown!$C$9-T39)/(Burndown!$C$9-Burndown!$B$9)))</x:f>
      </x:c>
      <x:c r="T39" s="10" t="str">
        <x:f>IF(OR('Work Log'!$E$42&lt;&gt;"S5",'Work Log'!$A$42=""),"",'Work Log'!$A$42)</x:f>
      </x:c>
    </x:row>
    <x:row r="40">
      <x:c r="A40" t="str">
        <x:f>IF(D40="","",TEXT(D40,"mm/dd/yy"))</x:f>
      </x:c>
      <x:c r="B40" s="11" t="str">
        <x:f>IF(OR(D40="",SUMIF('Backlog'!$B$6:$B$25,"S1",'Backlog'!$E$6:$E$25)=0,Burndown!$B$5="",Burndown!$C$5=""),"",MAX(0,SUMIF('Backlog'!$B$6:$B$25,"S1",'Backlog'!$E$6:$E$25)-SUMIFS('Work Log'!$D$6:$D$205,'Work Log'!$E$6:$E$205,"S1",'Work Log'!$A$6:$A$205,"&lt;="&amp;D40)))</x:f>
      </x:c>
      <x:c r="C40" s="11" t="str">
        <x:f>IF(OR(D40="",SUMIF('Backlog'!$B$6:$B$25,"S1",'Backlog'!$E$6:$E$25)=0,Burndown!$B$5="",Burndown!$C$5="",Burndown!$C$5&lt;=Burndown!$B$5),"",MAX(0,SUMIF('Backlog'!$B$6:$B$25,"S1",'Backlog'!$E$6:$E$25)*(Burndown!$C$5-D40)/(Burndown!$C$5-Burndown!$B$5)))</x:f>
      </x:c>
      <x:c r="D40" s="10" t="str">
        <x:f>IF(OR('Work Log'!$E$43&lt;&gt;"S1",'Work Log'!$A$43=""),"",'Work Log'!$A$43)</x:f>
      </x:c>
      <x:c r="E40" t="str">
        <x:f>IF(H40="","",TEXT(H40,"mm/dd/yy"))</x:f>
      </x:c>
      <x:c r="F40" s="11" t="str">
        <x:f>IF(OR(H40="",SUMIF('Backlog'!$B$6:$B$25,"S2",'Backlog'!$E$6:$E$25)=0,Burndown!$B$6="",Burndown!$C$6=""),"",MAX(0,SUMIF('Backlog'!$B$6:$B$25,"S2",'Backlog'!$E$6:$E$25)-SUMIFS('Work Log'!$D$6:$D$205,'Work Log'!$E$6:$E$205,"S2",'Work Log'!$A$6:$A$205,"&lt;="&amp;H40)))</x:f>
      </x:c>
      <x:c r="G40" s="11" t="str">
        <x:f>IF(OR(H40="",SUMIF('Backlog'!$B$6:$B$25,"S2",'Backlog'!$E$6:$E$25)=0,Burndown!$B$6="",Burndown!$C$6="",Burndown!$C$6&lt;=Burndown!$B$6),"",MAX(0,SUMIF('Backlog'!$B$6:$B$25,"S2",'Backlog'!$E$6:$E$25)*(Burndown!$C$6-H40)/(Burndown!$C$6-Burndown!$B$6)))</x:f>
      </x:c>
      <x:c r="H40" s="10" t="str">
        <x:f>IF(OR('Work Log'!$E$43&lt;&gt;"S2",'Work Log'!$A$43=""),"",'Work Log'!$A$43)</x:f>
      </x:c>
      <x:c r="I40" t="str">
        <x:f>IF(L40="","",TEXT(L40,"mm/dd/yy"))</x:f>
      </x:c>
      <x:c r="J40" s="11" t="str">
        <x:f>IF(OR(L40="",SUMIF('Backlog'!$B$6:$B$25,"S3",'Backlog'!$E$6:$E$25)=0,Burndown!$B$7="",Burndown!$C$7=""),"",MAX(0,SUMIF('Backlog'!$B$6:$B$25,"S3",'Backlog'!$E$6:$E$25)-SUMIFS('Work Log'!$D$6:$D$205,'Work Log'!$E$6:$E$205,"S3",'Work Log'!$A$6:$A$205,"&lt;="&amp;L40)))</x:f>
      </x:c>
      <x:c r="K40" s="11" t="str">
        <x:f>IF(OR(L40="",SUMIF('Backlog'!$B$6:$B$25,"S3",'Backlog'!$E$6:$E$25)=0,Burndown!$B$7="",Burndown!$C$7="",Burndown!$C$7&lt;=Burndown!$B$7),"",MAX(0,SUMIF('Backlog'!$B$6:$B$25,"S3",'Backlog'!$E$6:$E$25)*(Burndown!$C$7-L40)/(Burndown!$C$7-Burndown!$B$7)))</x:f>
      </x:c>
      <x:c r="L40" s="10" t="str">
        <x:f>IF(OR('Work Log'!$E$43&lt;&gt;"S3",'Work Log'!$A$43=""),"",'Work Log'!$A$43)</x:f>
      </x:c>
      <x:c r="M40" t="str">
        <x:f>IF(P40="","",TEXT(P40,"mm/dd/yy"))</x:f>
      </x:c>
      <x:c r="N40" s="11" t="str">
        <x:f>IF(OR(P40="",SUMIF('Backlog'!$B$6:$B$25,"S4",'Backlog'!$E$6:$E$25)=0,Burndown!$B$8="",Burndown!$C$8=""),"",MAX(0,SUMIF('Backlog'!$B$6:$B$25,"S4",'Backlog'!$E$6:$E$25)-SUMIFS('Work Log'!$D$6:$D$205,'Work Log'!$E$6:$E$205,"S4",'Work Log'!$A$6:$A$205,"&lt;="&amp;P40)))</x:f>
      </x:c>
      <x:c r="O40" s="11" t="str">
        <x:f>IF(OR(P40="",SUMIF('Backlog'!$B$6:$B$25,"S4",'Backlog'!$E$6:$E$25)=0,Burndown!$B$8="",Burndown!$C$8="",Burndown!$C$8&lt;=Burndown!$B$8),"",MAX(0,SUMIF('Backlog'!$B$6:$B$25,"S4",'Backlog'!$E$6:$E$25)*(Burndown!$C$8-P40)/(Burndown!$C$8-Burndown!$B$8)))</x:f>
      </x:c>
      <x:c r="P40" s="10" t="str">
        <x:f>IF(OR('Work Log'!$E$43&lt;&gt;"S4",'Work Log'!$A$43=""),"",'Work Log'!$A$43)</x:f>
      </x:c>
      <x:c r="Q40" t="str">
        <x:f>IF(T40="","",TEXT(T40,"mm/dd/yy"))</x:f>
      </x:c>
      <x:c r="R40" s="11" t="str">
        <x:f>IF(OR(T40="",SUMIF('Backlog'!$B$6:$B$25,"S5",'Backlog'!$E$6:$E$25)=0,Burndown!$B$9="",Burndown!$C$9=""),"",MAX(0,SUMIF('Backlog'!$B$6:$B$25,"S5",'Backlog'!$E$6:$E$25)-SUMIFS('Work Log'!$D$6:$D$205,'Work Log'!$E$6:$E$205,"S5",'Work Log'!$A$6:$A$205,"&lt;="&amp;T40)))</x:f>
      </x:c>
      <x:c r="S40" s="11" t="str">
        <x:f>IF(OR(T40="",SUMIF('Backlog'!$B$6:$B$25,"S5",'Backlog'!$E$6:$E$25)=0,Burndown!$B$9="",Burndown!$C$9="",Burndown!$C$9&lt;=Burndown!$B$9),"",MAX(0,SUMIF('Backlog'!$B$6:$B$25,"S5",'Backlog'!$E$6:$E$25)*(Burndown!$C$9-T40)/(Burndown!$C$9-Burndown!$B$9)))</x:f>
      </x:c>
      <x:c r="T40" s="10" t="str">
        <x:f>IF(OR('Work Log'!$E$43&lt;&gt;"S5",'Work Log'!$A$43=""),"",'Work Log'!$A$43)</x:f>
      </x:c>
    </x:row>
    <x:row r="41">
      <x:c r="A41" t="str">
        <x:f>IF(D41="","",TEXT(D41,"mm/dd/yy"))</x:f>
      </x:c>
      <x:c r="B41" s="11" t="str">
        <x:f>IF(OR(D41="",SUMIF('Backlog'!$B$6:$B$25,"S1",'Backlog'!$E$6:$E$25)=0,Burndown!$B$5="",Burndown!$C$5=""),"",MAX(0,SUMIF('Backlog'!$B$6:$B$25,"S1",'Backlog'!$E$6:$E$25)-SUMIFS('Work Log'!$D$6:$D$205,'Work Log'!$E$6:$E$205,"S1",'Work Log'!$A$6:$A$205,"&lt;="&amp;D41)))</x:f>
      </x:c>
      <x:c r="C41" s="11" t="str">
        <x:f>IF(OR(D41="",SUMIF('Backlog'!$B$6:$B$25,"S1",'Backlog'!$E$6:$E$25)=0,Burndown!$B$5="",Burndown!$C$5="",Burndown!$C$5&lt;=Burndown!$B$5),"",MAX(0,SUMIF('Backlog'!$B$6:$B$25,"S1",'Backlog'!$E$6:$E$25)*(Burndown!$C$5-D41)/(Burndown!$C$5-Burndown!$B$5)))</x:f>
      </x:c>
      <x:c r="D41" s="10" t="str">
        <x:f>IF(OR('Work Log'!$E$44&lt;&gt;"S1",'Work Log'!$A$44=""),"",'Work Log'!$A$44)</x:f>
      </x:c>
      <x:c r="E41" t="str">
        <x:f>IF(H41="","",TEXT(H41,"mm/dd/yy"))</x:f>
      </x:c>
      <x:c r="F41" s="11" t="str">
        <x:f>IF(OR(H41="",SUMIF('Backlog'!$B$6:$B$25,"S2",'Backlog'!$E$6:$E$25)=0,Burndown!$B$6="",Burndown!$C$6=""),"",MAX(0,SUMIF('Backlog'!$B$6:$B$25,"S2",'Backlog'!$E$6:$E$25)-SUMIFS('Work Log'!$D$6:$D$205,'Work Log'!$E$6:$E$205,"S2",'Work Log'!$A$6:$A$205,"&lt;="&amp;H41)))</x:f>
      </x:c>
      <x:c r="G41" s="11" t="str">
        <x:f>IF(OR(H41="",SUMIF('Backlog'!$B$6:$B$25,"S2",'Backlog'!$E$6:$E$25)=0,Burndown!$B$6="",Burndown!$C$6="",Burndown!$C$6&lt;=Burndown!$B$6),"",MAX(0,SUMIF('Backlog'!$B$6:$B$25,"S2",'Backlog'!$E$6:$E$25)*(Burndown!$C$6-H41)/(Burndown!$C$6-Burndown!$B$6)))</x:f>
      </x:c>
      <x:c r="H41" s="10" t="str">
        <x:f>IF(OR('Work Log'!$E$44&lt;&gt;"S2",'Work Log'!$A$44=""),"",'Work Log'!$A$44)</x:f>
      </x:c>
      <x:c r="I41" t="str">
        <x:f>IF(L41="","",TEXT(L41,"mm/dd/yy"))</x:f>
      </x:c>
      <x:c r="J41" s="11" t="str">
        <x:f>IF(OR(L41="",SUMIF('Backlog'!$B$6:$B$25,"S3",'Backlog'!$E$6:$E$25)=0,Burndown!$B$7="",Burndown!$C$7=""),"",MAX(0,SUMIF('Backlog'!$B$6:$B$25,"S3",'Backlog'!$E$6:$E$25)-SUMIFS('Work Log'!$D$6:$D$205,'Work Log'!$E$6:$E$205,"S3",'Work Log'!$A$6:$A$205,"&lt;="&amp;L41)))</x:f>
      </x:c>
      <x:c r="K41" s="11" t="str">
        <x:f>IF(OR(L41="",SUMIF('Backlog'!$B$6:$B$25,"S3",'Backlog'!$E$6:$E$25)=0,Burndown!$B$7="",Burndown!$C$7="",Burndown!$C$7&lt;=Burndown!$B$7),"",MAX(0,SUMIF('Backlog'!$B$6:$B$25,"S3",'Backlog'!$E$6:$E$25)*(Burndown!$C$7-L41)/(Burndown!$C$7-Burndown!$B$7)))</x:f>
      </x:c>
      <x:c r="L41" s="10" t="str">
        <x:f>IF(OR('Work Log'!$E$44&lt;&gt;"S3",'Work Log'!$A$44=""),"",'Work Log'!$A$44)</x:f>
      </x:c>
      <x:c r="M41" t="str">
        <x:f>IF(P41="","",TEXT(P41,"mm/dd/yy"))</x:f>
      </x:c>
      <x:c r="N41" s="11" t="str">
        <x:f>IF(OR(P41="",SUMIF('Backlog'!$B$6:$B$25,"S4",'Backlog'!$E$6:$E$25)=0,Burndown!$B$8="",Burndown!$C$8=""),"",MAX(0,SUMIF('Backlog'!$B$6:$B$25,"S4",'Backlog'!$E$6:$E$25)-SUMIFS('Work Log'!$D$6:$D$205,'Work Log'!$E$6:$E$205,"S4",'Work Log'!$A$6:$A$205,"&lt;="&amp;P41)))</x:f>
      </x:c>
      <x:c r="O41" s="11" t="str">
        <x:f>IF(OR(P41="",SUMIF('Backlog'!$B$6:$B$25,"S4",'Backlog'!$E$6:$E$25)=0,Burndown!$B$8="",Burndown!$C$8="",Burndown!$C$8&lt;=Burndown!$B$8),"",MAX(0,SUMIF('Backlog'!$B$6:$B$25,"S4",'Backlog'!$E$6:$E$25)*(Burndown!$C$8-P41)/(Burndown!$C$8-Burndown!$B$8)))</x:f>
      </x:c>
      <x:c r="P41" s="10" t="str">
        <x:f>IF(OR('Work Log'!$E$44&lt;&gt;"S4",'Work Log'!$A$44=""),"",'Work Log'!$A$44)</x:f>
      </x:c>
      <x:c r="Q41" t="str">
        <x:f>IF(T41="","",TEXT(T41,"mm/dd/yy"))</x:f>
      </x:c>
      <x:c r="R41" s="11" t="str">
        <x:f>IF(OR(T41="",SUMIF('Backlog'!$B$6:$B$25,"S5",'Backlog'!$E$6:$E$25)=0,Burndown!$B$9="",Burndown!$C$9=""),"",MAX(0,SUMIF('Backlog'!$B$6:$B$25,"S5",'Backlog'!$E$6:$E$25)-SUMIFS('Work Log'!$D$6:$D$205,'Work Log'!$E$6:$E$205,"S5",'Work Log'!$A$6:$A$205,"&lt;="&amp;T41)))</x:f>
      </x:c>
      <x:c r="S41" s="11" t="str">
        <x:f>IF(OR(T41="",SUMIF('Backlog'!$B$6:$B$25,"S5",'Backlog'!$E$6:$E$25)=0,Burndown!$B$9="",Burndown!$C$9="",Burndown!$C$9&lt;=Burndown!$B$9),"",MAX(0,SUMIF('Backlog'!$B$6:$B$25,"S5",'Backlog'!$E$6:$E$25)*(Burndown!$C$9-T41)/(Burndown!$C$9-Burndown!$B$9)))</x:f>
      </x:c>
      <x:c r="T41" s="10" t="str">
        <x:f>IF(OR('Work Log'!$E$44&lt;&gt;"S5",'Work Log'!$A$44=""),"",'Work Log'!$A$44)</x:f>
      </x:c>
    </x:row>
    <x:row r="42">
      <x:c r="A42" t="str">
        <x:f>IF(D42="","",TEXT(D42,"mm/dd/yy"))</x:f>
      </x:c>
      <x:c r="B42" s="11" t="str">
        <x:f>IF(OR(D42="",SUMIF('Backlog'!$B$6:$B$25,"S1",'Backlog'!$E$6:$E$25)=0,Burndown!$B$5="",Burndown!$C$5=""),"",MAX(0,SUMIF('Backlog'!$B$6:$B$25,"S1",'Backlog'!$E$6:$E$25)-SUMIFS('Work Log'!$D$6:$D$205,'Work Log'!$E$6:$E$205,"S1",'Work Log'!$A$6:$A$205,"&lt;="&amp;D42)))</x:f>
      </x:c>
      <x:c r="C42" s="11" t="str">
        <x:f>IF(OR(D42="",SUMIF('Backlog'!$B$6:$B$25,"S1",'Backlog'!$E$6:$E$25)=0,Burndown!$B$5="",Burndown!$C$5="",Burndown!$C$5&lt;=Burndown!$B$5),"",MAX(0,SUMIF('Backlog'!$B$6:$B$25,"S1",'Backlog'!$E$6:$E$25)*(Burndown!$C$5-D42)/(Burndown!$C$5-Burndown!$B$5)))</x:f>
      </x:c>
      <x:c r="D42" s="10" t="str">
        <x:f>IF(OR('Work Log'!$E$45&lt;&gt;"S1",'Work Log'!$A$45=""),"",'Work Log'!$A$45)</x:f>
      </x:c>
      <x:c r="E42" t="str">
        <x:f>IF(H42="","",TEXT(H42,"mm/dd/yy"))</x:f>
      </x:c>
      <x:c r="F42" s="11" t="str">
        <x:f>IF(OR(H42="",SUMIF('Backlog'!$B$6:$B$25,"S2",'Backlog'!$E$6:$E$25)=0,Burndown!$B$6="",Burndown!$C$6=""),"",MAX(0,SUMIF('Backlog'!$B$6:$B$25,"S2",'Backlog'!$E$6:$E$25)-SUMIFS('Work Log'!$D$6:$D$205,'Work Log'!$E$6:$E$205,"S2",'Work Log'!$A$6:$A$205,"&lt;="&amp;H42)))</x:f>
      </x:c>
      <x:c r="G42" s="11" t="str">
        <x:f>IF(OR(H42="",SUMIF('Backlog'!$B$6:$B$25,"S2",'Backlog'!$E$6:$E$25)=0,Burndown!$B$6="",Burndown!$C$6="",Burndown!$C$6&lt;=Burndown!$B$6),"",MAX(0,SUMIF('Backlog'!$B$6:$B$25,"S2",'Backlog'!$E$6:$E$25)*(Burndown!$C$6-H42)/(Burndown!$C$6-Burndown!$B$6)))</x:f>
      </x:c>
      <x:c r="H42" s="10" t="str">
        <x:f>IF(OR('Work Log'!$E$45&lt;&gt;"S2",'Work Log'!$A$45=""),"",'Work Log'!$A$45)</x:f>
      </x:c>
      <x:c r="I42" t="str">
        <x:f>IF(L42="","",TEXT(L42,"mm/dd/yy"))</x:f>
      </x:c>
      <x:c r="J42" s="11" t="str">
        <x:f>IF(OR(L42="",SUMIF('Backlog'!$B$6:$B$25,"S3",'Backlog'!$E$6:$E$25)=0,Burndown!$B$7="",Burndown!$C$7=""),"",MAX(0,SUMIF('Backlog'!$B$6:$B$25,"S3",'Backlog'!$E$6:$E$25)-SUMIFS('Work Log'!$D$6:$D$205,'Work Log'!$E$6:$E$205,"S3",'Work Log'!$A$6:$A$205,"&lt;="&amp;L42)))</x:f>
      </x:c>
      <x:c r="K42" s="11" t="str">
        <x:f>IF(OR(L42="",SUMIF('Backlog'!$B$6:$B$25,"S3",'Backlog'!$E$6:$E$25)=0,Burndown!$B$7="",Burndown!$C$7="",Burndown!$C$7&lt;=Burndown!$B$7),"",MAX(0,SUMIF('Backlog'!$B$6:$B$25,"S3",'Backlog'!$E$6:$E$25)*(Burndown!$C$7-L42)/(Burndown!$C$7-Burndown!$B$7)))</x:f>
      </x:c>
      <x:c r="L42" s="10" t="str">
        <x:f>IF(OR('Work Log'!$E$45&lt;&gt;"S3",'Work Log'!$A$45=""),"",'Work Log'!$A$45)</x:f>
      </x:c>
      <x:c r="M42" t="str">
        <x:f>IF(P42="","",TEXT(P42,"mm/dd/yy"))</x:f>
      </x:c>
      <x:c r="N42" s="11" t="str">
        <x:f>IF(OR(P42="",SUMIF('Backlog'!$B$6:$B$25,"S4",'Backlog'!$E$6:$E$25)=0,Burndown!$B$8="",Burndown!$C$8=""),"",MAX(0,SUMIF('Backlog'!$B$6:$B$25,"S4",'Backlog'!$E$6:$E$25)-SUMIFS('Work Log'!$D$6:$D$205,'Work Log'!$E$6:$E$205,"S4",'Work Log'!$A$6:$A$205,"&lt;="&amp;P42)))</x:f>
      </x:c>
      <x:c r="O42" s="11" t="str">
        <x:f>IF(OR(P42="",SUMIF('Backlog'!$B$6:$B$25,"S4",'Backlog'!$E$6:$E$25)=0,Burndown!$B$8="",Burndown!$C$8="",Burndown!$C$8&lt;=Burndown!$B$8),"",MAX(0,SUMIF('Backlog'!$B$6:$B$25,"S4",'Backlog'!$E$6:$E$25)*(Burndown!$C$8-P42)/(Burndown!$C$8-Burndown!$B$8)))</x:f>
      </x:c>
      <x:c r="P42" s="10" t="str">
        <x:f>IF(OR('Work Log'!$E$45&lt;&gt;"S4",'Work Log'!$A$45=""),"",'Work Log'!$A$45)</x:f>
      </x:c>
      <x:c r="Q42" t="str">
        <x:f>IF(T42="","",TEXT(T42,"mm/dd/yy"))</x:f>
      </x:c>
      <x:c r="R42" s="11" t="str">
        <x:f>IF(OR(T42="",SUMIF('Backlog'!$B$6:$B$25,"S5",'Backlog'!$E$6:$E$25)=0,Burndown!$B$9="",Burndown!$C$9=""),"",MAX(0,SUMIF('Backlog'!$B$6:$B$25,"S5",'Backlog'!$E$6:$E$25)-SUMIFS('Work Log'!$D$6:$D$205,'Work Log'!$E$6:$E$205,"S5",'Work Log'!$A$6:$A$205,"&lt;="&amp;T42)))</x:f>
      </x:c>
      <x:c r="S42" s="11" t="str">
        <x:f>IF(OR(T42="",SUMIF('Backlog'!$B$6:$B$25,"S5",'Backlog'!$E$6:$E$25)=0,Burndown!$B$9="",Burndown!$C$9="",Burndown!$C$9&lt;=Burndown!$B$9),"",MAX(0,SUMIF('Backlog'!$B$6:$B$25,"S5",'Backlog'!$E$6:$E$25)*(Burndown!$C$9-T42)/(Burndown!$C$9-Burndown!$B$9)))</x:f>
      </x:c>
      <x:c r="T42" s="10" t="str">
        <x:f>IF(OR('Work Log'!$E$45&lt;&gt;"S5",'Work Log'!$A$45=""),"",'Work Log'!$A$45)</x:f>
      </x:c>
    </x:row>
    <x:row r="43">
      <x:c r="A43" t="str">
        <x:f>IF(D43="","",TEXT(D43,"mm/dd/yy"))</x:f>
      </x:c>
      <x:c r="B43" s="11" t="str">
        <x:f>IF(OR(D43="",SUMIF('Backlog'!$B$6:$B$25,"S1",'Backlog'!$E$6:$E$25)=0,Burndown!$B$5="",Burndown!$C$5=""),"",MAX(0,SUMIF('Backlog'!$B$6:$B$25,"S1",'Backlog'!$E$6:$E$25)-SUMIFS('Work Log'!$D$6:$D$205,'Work Log'!$E$6:$E$205,"S1",'Work Log'!$A$6:$A$205,"&lt;="&amp;D43)))</x:f>
      </x:c>
      <x:c r="C43" s="11" t="str">
        <x:f>IF(OR(D43="",SUMIF('Backlog'!$B$6:$B$25,"S1",'Backlog'!$E$6:$E$25)=0,Burndown!$B$5="",Burndown!$C$5="",Burndown!$C$5&lt;=Burndown!$B$5),"",MAX(0,SUMIF('Backlog'!$B$6:$B$25,"S1",'Backlog'!$E$6:$E$25)*(Burndown!$C$5-D43)/(Burndown!$C$5-Burndown!$B$5)))</x:f>
      </x:c>
      <x:c r="D43" s="10" t="str">
        <x:f>IF(OR('Work Log'!$E$46&lt;&gt;"S1",'Work Log'!$A$46=""),"",'Work Log'!$A$46)</x:f>
      </x:c>
      <x:c r="E43" t="str">
        <x:f>IF(H43="","",TEXT(H43,"mm/dd/yy"))</x:f>
      </x:c>
      <x:c r="F43" s="11" t="str">
        <x:f>IF(OR(H43="",SUMIF('Backlog'!$B$6:$B$25,"S2",'Backlog'!$E$6:$E$25)=0,Burndown!$B$6="",Burndown!$C$6=""),"",MAX(0,SUMIF('Backlog'!$B$6:$B$25,"S2",'Backlog'!$E$6:$E$25)-SUMIFS('Work Log'!$D$6:$D$205,'Work Log'!$E$6:$E$205,"S2",'Work Log'!$A$6:$A$205,"&lt;="&amp;H43)))</x:f>
      </x:c>
      <x:c r="G43" s="11" t="str">
        <x:f>IF(OR(H43="",SUMIF('Backlog'!$B$6:$B$25,"S2",'Backlog'!$E$6:$E$25)=0,Burndown!$B$6="",Burndown!$C$6="",Burndown!$C$6&lt;=Burndown!$B$6),"",MAX(0,SUMIF('Backlog'!$B$6:$B$25,"S2",'Backlog'!$E$6:$E$25)*(Burndown!$C$6-H43)/(Burndown!$C$6-Burndown!$B$6)))</x:f>
      </x:c>
      <x:c r="H43" s="10" t="str">
        <x:f>IF(OR('Work Log'!$E$46&lt;&gt;"S2",'Work Log'!$A$46=""),"",'Work Log'!$A$46)</x:f>
      </x:c>
      <x:c r="I43" t="str">
        <x:f>IF(L43="","",TEXT(L43,"mm/dd/yy"))</x:f>
      </x:c>
      <x:c r="J43" s="11" t="str">
        <x:f>IF(OR(L43="",SUMIF('Backlog'!$B$6:$B$25,"S3",'Backlog'!$E$6:$E$25)=0,Burndown!$B$7="",Burndown!$C$7=""),"",MAX(0,SUMIF('Backlog'!$B$6:$B$25,"S3",'Backlog'!$E$6:$E$25)-SUMIFS('Work Log'!$D$6:$D$205,'Work Log'!$E$6:$E$205,"S3",'Work Log'!$A$6:$A$205,"&lt;="&amp;L43)))</x:f>
      </x:c>
      <x:c r="K43" s="11" t="str">
        <x:f>IF(OR(L43="",SUMIF('Backlog'!$B$6:$B$25,"S3",'Backlog'!$E$6:$E$25)=0,Burndown!$B$7="",Burndown!$C$7="",Burndown!$C$7&lt;=Burndown!$B$7),"",MAX(0,SUMIF('Backlog'!$B$6:$B$25,"S3",'Backlog'!$E$6:$E$25)*(Burndown!$C$7-L43)/(Burndown!$C$7-Burndown!$B$7)))</x:f>
      </x:c>
      <x:c r="L43" s="10" t="str">
        <x:f>IF(OR('Work Log'!$E$46&lt;&gt;"S3",'Work Log'!$A$46=""),"",'Work Log'!$A$46)</x:f>
      </x:c>
      <x:c r="M43" t="str">
        <x:f>IF(P43="","",TEXT(P43,"mm/dd/yy"))</x:f>
      </x:c>
      <x:c r="N43" s="11" t="str">
        <x:f>IF(OR(P43="",SUMIF('Backlog'!$B$6:$B$25,"S4",'Backlog'!$E$6:$E$25)=0,Burndown!$B$8="",Burndown!$C$8=""),"",MAX(0,SUMIF('Backlog'!$B$6:$B$25,"S4",'Backlog'!$E$6:$E$25)-SUMIFS('Work Log'!$D$6:$D$205,'Work Log'!$E$6:$E$205,"S4",'Work Log'!$A$6:$A$205,"&lt;="&amp;P43)))</x:f>
      </x:c>
      <x:c r="O43" s="11" t="str">
        <x:f>IF(OR(P43="",SUMIF('Backlog'!$B$6:$B$25,"S4",'Backlog'!$E$6:$E$25)=0,Burndown!$B$8="",Burndown!$C$8="",Burndown!$C$8&lt;=Burndown!$B$8),"",MAX(0,SUMIF('Backlog'!$B$6:$B$25,"S4",'Backlog'!$E$6:$E$25)*(Burndown!$C$8-P43)/(Burndown!$C$8-Burndown!$B$8)))</x:f>
      </x:c>
      <x:c r="P43" s="10" t="str">
        <x:f>IF(OR('Work Log'!$E$46&lt;&gt;"S4",'Work Log'!$A$46=""),"",'Work Log'!$A$46)</x:f>
      </x:c>
      <x:c r="Q43" t="str">
        <x:f>IF(T43="","",TEXT(T43,"mm/dd/yy"))</x:f>
      </x:c>
      <x:c r="R43" s="11" t="str">
        <x:f>IF(OR(T43="",SUMIF('Backlog'!$B$6:$B$25,"S5",'Backlog'!$E$6:$E$25)=0,Burndown!$B$9="",Burndown!$C$9=""),"",MAX(0,SUMIF('Backlog'!$B$6:$B$25,"S5",'Backlog'!$E$6:$E$25)-SUMIFS('Work Log'!$D$6:$D$205,'Work Log'!$E$6:$E$205,"S5",'Work Log'!$A$6:$A$205,"&lt;="&amp;T43)))</x:f>
      </x:c>
      <x:c r="S43" s="11" t="str">
        <x:f>IF(OR(T43="",SUMIF('Backlog'!$B$6:$B$25,"S5",'Backlog'!$E$6:$E$25)=0,Burndown!$B$9="",Burndown!$C$9="",Burndown!$C$9&lt;=Burndown!$B$9),"",MAX(0,SUMIF('Backlog'!$B$6:$B$25,"S5",'Backlog'!$E$6:$E$25)*(Burndown!$C$9-T43)/(Burndown!$C$9-Burndown!$B$9)))</x:f>
      </x:c>
      <x:c r="T43" s="10" t="str">
        <x:f>IF(OR('Work Log'!$E$46&lt;&gt;"S5",'Work Log'!$A$46=""),"",'Work Log'!$A$46)</x:f>
      </x:c>
    </x:row>
    <x:row r="44">
      <x:c r="A44" t="str">
        <x:f>IF(D44="","",TEXT(D44,"mm/dd/yy"))</x:f>
      </x:c>
      <x:c r="B44" s="11" t="str">
        <x:f>IF(OR(D44="",SUMIF('Backlog'!$B$6:$B$25,"S1",'Backlog'!$E$6:$E$25)=0,Burndown!$B$5="",Burndown!$C$5=""),"",MAX(0,SUMIF('Backlog'!$B$6:$B$25,"S1",'Backlog'!$E$6:$E$25)-SUMIFS('Work Log'!$D$6:$D$205,'Work Log'!$E$6:$E$205,"S1",'Work Log'!$A$6:$A$205,"&lt;="&amp;D44)))</x:f>
      </x:c>
      <x:c r="C44" s="11" t="str">
        <x:f>IF(OR(D44="",SUMIF('Backlog'!$B$6:$B$25,"S1",'Backlog'!$E$6:$E$25)=0,Burndown!$B$5="",Burndown!$C$5="",Burndown!$C$5&lt;=Burndown!$B$5),"",MAX(0,SUMIF('Backlog'!$B$6:$B$25,"S1",'Backlog'!$E$6:$E$25)*(Burndown!$C$5-D44)/(Burndown!$C$5-Burndown!$B$5)))</x:f>
      </x:c>
      <x:c r="D44" s="10" t="str">
        <x:f>IF(OR('Work Log'!$E$47&lt;&gt;"S1",'Work Log'!$A$47=""),"",'Work Log'!$A$47)</x:f>
      </x:c>
      <x:c r="E44" t="str">
        <x:f>IF(H44="","",TEXT(H44,"mm/dd/yy"))</x:f>
      </x:c>
      <x:c r="F44" s="11" t="str">
        <x:f>IF(OR(H44="",SUMIF('Backlog'!$B$6:$B$25,"S2",'Backlog'!$E$6:$E$25)=0,Burndown!$B$6="",Burndown!$C$6=""),"",MAX(0,SUMIF('Backlog'!$B$6:$B$25,"S2",'Backlog'!$E$6:$E$25)-SUMIFS('Work Log'!$D$6:$D$205,'Work Log'!$E$6:$E$205,"S2",'Work Log'!$A$6:$A$205,"&lt;="&amp;H44)))</x:f>
      </x:c>
      <x:c r="G44" s="11" t="str">
        <x:f>IF(OR(H44="",SUMIF('Backlog'!$B$6:$B$25,"S2",'Backlog'!$E$6:$E$25)=0,Burndown!$B$6="",Burndown!$C$6="",Burndown!$C$6&lt;=Burndown!$B$6),"",MAX(0,SUMIF('Backlog'!$B$6:$B$25,"S2",'Backlog'!$E$6:$E$25)*(Burndown!$C$6-H44)/(Burndown!$C$6-Burndown!$B$6)))</x:f>
      </x:c>
      <x:c r="H44" s="10" t="str">
        <x:f>IF(OR('Work Log'!$E$47&lt;&gt;"S2",'Work Log'!$A$47=""),"",'Work Log'!$A$47)</x:f>
      </x:c>
      <x:c r="I44" t="str">
        <x:f>IF(L44="","",TEXT(L44,"mm/dd/yy"))</x:f>
      </x:c>
      <x:c r="J44" s="11" t="str">
        <x:f>IF(OR(L44="",SUMIF('Backlog'!$B$6:$B$25,"S3",'Backlog'!$E$6:$E$25)=0,Burndown!$B$7="",Burndown!$C$7=""),"",MAX(0,SUMIF('Backlog'!$B$6:$B$25,"S3",'Backlog'!$E$6:$E$25)-SUMIFS('Work Log'!$D$6:$D$205,'Work Log'!$E$6:$E$205,"S3",'Work Log'!$A$6:$A$205,"&lt;="&amp;L44)))</x:f>
      </x:c>
      <x:c r="K44" s="11" t="str">
        <x:f>IF(OR(L44="",SUMIF('Backlog'!$B$6:$B$25,"S3",'Backlog'!$E$6:$E$25)=0,Burndown!$B$7="",Burndown!$C$7="",Burndown!$C$7&lt;=Burndown!$B$7),"",MAX(0,SUMIF('Backlog'!$B$6:$B$25,"S3",'Backlog'!$E$6:$E$25)*(Burndown!$C$7-L44)/(Burndown!$C$7-Burndown!$B$7)))</x:f>
      </x:c>
      <x:c r="L44" s="10" t="str">
        <x:f>IF(OR('Work Log'!$E$47&lt;&gt;"S3",'Work Log'!$A$47=""),"",'Work Log'!$A$47)</x:f>
      </x:c>
      <x:c r="M44" t="str">
        <x:f>IF(P44="","",TEXT(P44,"mm/dd/yy"))</x:f>
      </x:c>
      <x:c r="N44" s="11" t="str">
        <x:f>IF(OR(P44="",SUMIF('Backlog'!$B$6:$B$25,"S4",'Backlog'!$E$6:$E$25)=0,Burndown!$B$8="",Burndown!$C$8=""),"",MAX(0,SUMIF('Backlog'!$B$6:$B$25,"S4",'Backlog'!$E$6:$E$25)-SUMIFS('Work Log'!$D$6:$D$205,'Work Log'!$E$6:$E$205,"S4",'Work Log'!$A$6:$A$205,"&lt;="&amp;P44)))</x:f>
      </x:c>
      <x:c r="O44" s="11" t="str">
        <x:f>IF(OR(P44="",SUMIF('Backlog'!$B$6:$B$25,"S4",'Backlog'!$E$6:$E$25)=0,Burndown!$B$8="",Burndown!$C$8="",Burndown!$C$8&lt;=Burndown!$B$8),"",MAX(0,SUMIF('Backlog'!$B$6:$B$25,"S4",'Backlog'!$E$6:$E$25)*(Burndown!$C$8-P44)/(Burndown!$C$8-Burndown!$B$8)))</x:f>
      </x:c>
      <x:c r="P44" s="10" t="str">
        <x:f>IF(OR('Work Log'!$E$47&lt;&gt;"S4",'Work Log'!$A$47=""),"",'Work Log'!$A$47)</x:f>
      </x:c>
      <x:c r="Q44" t="str">
        <x:f>IF(T44="","",TEXT(T44,"mm/dd/yy"))</x:f>
      </x:c>
      <x:c r="R44" s="11" t="str">
        <x:f>IF(OR(T44="",SUMIF('Backlog'!$B$6:$B$25,"S5",'Backlog'!$E$6:$E$25)=0,Burndown!$B$9="",Burndown!$C$9=""),"",MAX(0,SUMIF('Backlog'!$B$6:$B$25,"S5",'Backlog'!$E$6:$E$25)-SUMIFS('Work Log'!$D$6:$D$205,'Work Log'!$E$6:$E$205,"S5",'Work Log'!$A$6:$A$205,"&lt;="&amp;T44)))</x:f>
      </x:c>
      <x:c r="S44" s="11" t="str">
        <x:f>IF(OR(T44="",SUMIF('Backlog'!$B$6:$B$25,"S5",'Backlog'!$E$6:$E$25)=0,Burndown!$B$9="",Burndown!$C$9="",Burndown!$C$9&lt;=Burndown!$B$9),"",MAX(0,SUMIF('Backlog'!$B$6:$B$25,"S5",'Backlog'!$E$6:$E$25)*(Burndown!$C$9-T44)/(Burndown!$C$9-Burndown!$B$9)))</x:f>
      </x:c>
      <x:c r="T44" s="10" t="str">
        <x:f>IF(OR('Work Log'!$E$47&lt;&gt;"S5",'Work Log'!$A$47=""),"",'Work Log'!$A$47)</x:f>
      </x:c>
    </x:row>
    <x:row r="45">
      <x:c r="A45" t="str">
        <x:f>IF(D45="","",TEXT(D45,"mm/dd/yy"))</x:f>
      </x:c>
      <x:c r="B45" s="11" t="str">
        <x:f>IF(OR(D45="",SUMIF('Backlog'!$B$6:$B$25,"S1",'Backlog'!$E$6:$E$25)=0,Burndown!$B$5="",Burndown!$C$5=""),"",MAX(0,SUMIF('Backlog'!$B$6:$B$25,"S1",'Backlog'!$E$6:$E$25)-SUMIFS('Work Log'!$D$6:$D$205,'Work Log'!$E$6:$E$205,"S1",'Work Log'!$A$6:$A$205,"&lt;="&amp;D45)))</x:f>
      </x:c>
      <x:c r="C45" s="11" t="str">
        <x:f>IF(OR(D45="",SUMIF('Backlog'!$B$6:$B$25,"S1",'Backlog'!$E$6:$E$25)=0,Burndown!$B$5="",Burndown!$C$5="",Burndown!$C$5&lt;=Burndown!$B$5),"",MAX(0,SUMIF('Backlog'!$B$6:$B$25,"S1",'Backlog'!$E$6:$E$25)*(Burndown!$C$5-D45)/(Burndown!$C$5-Burndown!$B$5)))</x:f>
      </x:c>
      <x:c r="D45" s="10" t="str">
        <x:f>IF(OR('Work Log'!$E$48&lt;&gt;"S1",'Work Log'!$A$48=""),"",'Work Log'!$A$48)</x:f>
      </x:c>
      <x:c r="E45" t="str">
        <x:f>IF(H45="","",TEXT(H45,"mm/dd/yy"))</x:f>
      </x:c>
      <x:c r="F45" s="11" t="str">
        <x:f>IF(OR(H45="",SUMIF('Backlog'!$B$6:$B$25,"S2",'Backlog'!$E$6:$E$25)=0,Burndown!$B$6="",Burndown!$C$6=""),"",MAX(0,SUMIF('Backlog'!$B$6:$B$25,"S2",'Backlog'!$E$6:$E$25)-SUMIFS('Work Log'!$D$6:$D$205,'Work Log'!$E$6:$E$205,"S2",'Work Log'!$A$6:$A$205,"&lt;="&amp;H45)))</x:f>
      </x:c>
      <x:c r="G45" s="11" t="str">
        <x:f>IF(OR(H45="",SUMIF('Backlog'!$B$6:$B$25,"S2",'Backlog'!$E$6:$E$25)=0,Burndown!$B$6="",Burndown!$C$6="",Burndown!$C$6&lt;=Burndown!$B$6),"",MAX(0,SUMIF('Backlog'!$B$6:$B$25,"S2",'Backlog'!$E$6:$E$25)*(Burndown!$C$6-H45)/(Burndown!$C$6-Burndown!$B$6)))</x:f>
      </x:c>
      <x:c r="H45" s="10" t="str">
        <x:f>IF(OR('Work Log'!$E$48&lt;&gt;"S2",'Work Log'!$A$48=""),"",'Work Log'!$A$48)</x:f>
      </x:c>
      <x:c r="I45" t="str">
        <x:f>IF(L45="","",TEXT(L45,"mm/dd/yy"))</x:f>
      </x:c>
      <x:c r="J45" s="11" t="str">
        <x:f>IF(OR(L45="",SUMIF('Backlog'!$B$6:$B$25,"S3",'Backlog'!$E$6:$E$25)=0,Burndown!$B$7="",Burndown!$C$7=""),"",MAX(0,SUMIF('Backlog'!$B$6:$B$25,"S3",'Backlog'!$E$6:$E$25)-SUMIFS('Work Log'!$D$6:$D$205,'Work Log'!$E$6:$E$205,"S3",'Work Log'!$A$6:$A$205,"&lt;="&amp;L45)))</x:f>
      </x:c>
      <x:c r="K45" s="11" t="str">
        <x:f>IF(OR(L45="",SUMIF('Backlog'!$B$6:$B$25,"S3",'Backlog'!$E$6:$E$25)=0,Burndown!$B$7="",Burndown!$C$7="",Burndown!$C$7&lt;=Burndown!$B$7),"",MAX(0,SUMIF('Backlog'!$B$6:$B$25,"S3",'Backlog'!$E$6:$E$25)*(Burndown!$C$7-L45)/(Burndown!$C$7-Burndown!$B$7)))</x:f>
      </x:c>
      <x:c r="L45" s="10" t="str">
        <x:f>IF(OR('Work Log'!$E$48&lt;&gt;"S3",'Work Log'!$A$48=""),"",'Work Log'!$A$48)</x:f>
      </x:c>
      <x:c r="M45" t="str">
        <x:f>IF(P45="","",TEXT(P45,"mm/dd/yy"))</x:f>
      </x:c>
      <x:c r="N45" s="11" t="str">
        <x:f>IF(OR(P45="",SUMIF('Backlog'!$B$6:$B$25,"S4",'Backlog'!$E$6:$E$25)=0,Burndown!$B$8="",Burndown!$C$8=""),"",MAX(0,SUMIF('Backlog'!$B$6:$B$25,"S4",'Backlog'!$E$6:$E$25)-SUMIFS('Work Log'!$D$6:$D$205,'Work Log'!$E$6:$E$205,"S4",'Work Log'!$A$6:$A$205,"&lt;="&amp;P45)))</x:f>
      </x:c>
      <x:c r="O45" s="11" t="str">
        <x:f>IF(OR(P45="",SUMIF('Backlog'!$B$6:$B$25,"S4",'Backlog'!$E$6:$E$25)=0,Burndown!$B$8="",Burndown!$C$8="",Burndown!$C$8&lt;=Burndown!$B$8),"",MAX(0,SUMIF('Backlog'!$B$6:$B$25,"S4",'Backlog'!$E$6:$E$25)*(Burndown!$C$8-P45)/(Burndown!$C$8-Burndown!$B$8)))</x:f>
      </x:c>
      <x:c r="P45" s="10" t="str">
        <x:f>IF(OR('Work Log'!$E$48&lt;&gt;"S4",'Work Log'!$A$48=""),"",'Work Log'!$A$48)</x:f>
      </x:c>
      <x:c r="Q45" t="str">
        <x:f>IF(T45="","",TEXT(T45,"mm/dd/yy"))</x:f>
      </x:c>
      <x:c r="R45" s="11" t="str">
        <x:f>IF(OR(T45="",SUMIF('Backlog'!$B$6:$B$25,"S5",'Backlog'!$E$6:$E$25)=0,Burndown!$B$9="",Burndown!$C$9=""),"",MAX(0,SUMIF('Backlog'!$B$6:$B$25,"S5",'Backlog'!$E$6:$E$25)-SUMIFS('Work Log'!$D$6:$D$205,'Work Log'!$E$6:$E$205,"S5",'Work Log'!$A$6:$A$205,"&lt;="&amp;T45)))</x:f>
      </x:c>
      <x:c r="S45" s="11" t="str">
        <x:f>IF(OR(T45="",SUMIF('Backlog'!$B$6:$B$25,"S5",'Backlog'!$E$6:$E$25)=0,Burndown!$B$9="",Burndown!$C$9="",Burndown!$C$9&lt;=Burndown!$B$9),"",MAX(0,SUMIF('Backlog'!$B$6:$B$25,"S5",'Backlog'!$E$6:$E$25)*(Burndown!$C$9-T45)/(Burndown!$C$9-Burndown!$B$9)))</x:f>
      </x:c>
      <x:c r="T45" s="10" t="str">
        <x:f>IF(OR('Work Log'!$E$48&lt;&gt;"S5",'Work Log'!$A$48=""),"",'Work Log'!$A$48)</x:f>
      </x:c>
    </x:row>
    <x:row r="46">
      <x:c r="A46" t="str">
        <x:f>IF(D46="","",TEXT(D46,"mm/dd/yy"))</x:f>
      </x:c>
      <x:c r="B46" s="11" t="str">
        <x:f>IF(OR(D46="",SUMIF('Backlog'!$B$6:$B$25,"S1",'Backlog'!$E$6:$E$25)=0,Burndown!$B$5="",Burndown!$C$5=""),"",MAX(0,SUMIF('Backlog'!$B$6:$B$25,"S1",'Backlog'!$E$6:$E$25)-SUMIFS('Work Log'!$D$6:$D$205,'Work Log'!$E$6:$E$205,"S1",'Work Log'!$A$6:$A$205,"&lt;="&amp;D46)))</x:f>
      </x:c>
      <x:c r="C46" s="11" t="str">
        <x:f>IF(OR(D46="",SUMIF('Backlog'!$B$6:$B$25,"S1",'Backlog'!$E$6:$E$25)=0,Burndown!$B$5="",Burndown!$C$5="",Burndown!$C$5&lt;=Burndown!$B$5),"",MAX(0,SUMIF('Backlog'!$B$6:$B$25,"S1",'Backlog'!$E$6:$E$25)*(Burndown!$C$5-D46)/(Burndown!$C$5-Burndown!$B$5)))</x:f>
      </x:c>
      <x:c r="D46" s="10" t="str">
        <x:f>IF(OR('Work Log'!$E$49&lt;&gt;"S1",'Work Log'!$A$49=""),"",'Work Log'!$A$49)</x:f>
      </x:c>
      <x:c r="E46" t="str">
        <x:f>IF(H46="","",TEXT(H46,"mm/dd/yy"))</x:f>
      </x:c>
      <x:c r="F46" s="11" t="str">
        <x:f>IF(OR(H46="",SUMIF('Backlog'!$B$6:$B$25,"S2",'Backlog'!$E$6:$E$25)=0,Burndown!$B$6="",Burndown!$C$6=""),"",MAX(0,SUMIF('Backlog'!$B$6:$B$25,"S2",'Backlog'!$E$6:$E$25)-SUMIFS('Work Log'!$D$6:$D$205,'Work Log'!$E$6:$E$205,"S2",'Work Log'!$A$6:$A$205,"&lt;="&amp;H46)))</x:f>
      </x:c>
      <x:c r="G46" s="11" t="str">
        <x:f>IF(OR(H46="",SUMIF('Backlog'!$B$6:$B$25,"S2",'Backlog'!$E$6:$E$25)=0,Burndown!$B$6="",Burndown!$C$6="",Burndown!$C$6&lt;=Burndown!$B$6),"",MAX(0,SUMIF('Backlog'!$B$6:$B$25,"S2",'Backlog'!$E$6:$E$25)*(Burndown!$C$6-H46)/(Burndown!$C$6-Burndown!$B$6)))</x:f>
      </x:c>
      <x:c r="H46" s="10" t="str">
        <x:f>IF(OR('Work Log'!$E$49&lt;&gt;"S2",'Work Log'!$A$49=""),"",'Work Log'!$A$49)</x:f>
      </x:c>
      <x:c r="I46" t="str">
        <x:f>IF(L46="","",TEXT(L46,"mm/dd/yy"))</x:f>
      </x:c>
      <x:c r="J46" s="11" t="str">
        <x:f>IF(OR(L46="",SUMIF('Backlog'!$B$6:$B$25,"S3",'Backlog'!$E$6:$E$25)=0,Burndown!$B$7="",Burndown!$C$7=""),"",MAX(0,SUMIF('Backlog'!$B$6:$B$25,"S3",'Backlog'!$E$6:$E$25)-SUMIFS('Work Log'!$D$6:$D$205,'Work Log'!$E$6:$E$205,"S3",'Work Log'!$A$6:$A$205,"&lt;="&amp;L46)))</x:f>
      </x:c>
      <x:c r="K46" s="11" t="str">
        <x:f>IF(OR(L46="",SUMIF('Backlog'!$B$6:$B$25,"S3",'Backlog'!$E$6:$E$25)=0,Burndown!$B$7="",Burndown!$C$7="",Burndown!$C$7&lt;=Burndown!$B$7),"",MAX(0,SUMIF('Backlog'!$B$6:$B$25,"S3",'Backlog'!$E$6:$E$25)*(Burndown!$C$7-L46)/(Burndown!$C$7-Burndown!$B$7)))</x:f>
      </x:c>
      <x:c r="L46" s="10" t="str">
        <x:f>IF(OR('Work Log'!$E$49&lt;&gt;"S3",'Work Log'!$A$49=""),"",'Work Log'!$A$49)</x:f>
      </x:c>
      <x:c r="M46" t="str">
        <x:f>IF(P46="","",TEXT(P46,"mm/dd/yy"))</x:f>
      </x:c>
      <x:c r="N46" s="11" t="str">
        <x:f>IF(OR(P46="",SUMIF('Backlog'!$B$6:$B$25,"S4",'Backlog'!$E$6:$E$25)=0,Burndown!$B$8="",Burndown!$C$8=""),"",MAX(0,SUMIF('Backlog'!$B$6:$B$25,"S4",'Backlog'!$E$6:$E$25)-SUMIFS('Work Log'!$D$6:$D$205,'Work Log'!$E$6:$E$205,"S4",'Work Log'!$A$6:$A$205,"&lt;="&amp;P46)))</x:f>
      </x:c>
      <x:c r="O46" s="11" t="str">
        <x:f>IF(OR(P46="",SUMIF('Backlog'!$B$6:$B$25,"S4",'Backlog'!$E$6:$E$25)=0,Burndown!$B$8="",Burndown!$C$8="",Burndown!$C$8&lt;=Burndown!$B$8),"",MAX(0,SUMIF('Backlog'!$B$6:$B$25,"S4",'Backlog'!$E$6:$E$25)*(Burndown!$C$8-P46)/(Burndown!$C$8-Burndown!$B$8)))</x:f>
      </x:c>
      <x:c r="P46" s="10" t="str">
        <x:f>IF(OR('Work Log'!$E$49&lt;&gt;"S4",'Work Log'!$A$49=""),"",'Work Log'!$A$49)</x:f>
      </x:c>
      <x:c r="Q46" t="str">
        <x:f>IF(T46="","",TEXT(T46,"mm/dd/yy"))</x:f>
      </x:c>
      <x:c r="R46" s="11" t="str">
        <x:f>IF(OR(T46="",SUMIF('Backlog'!$B$6:$B$25,"S5",'Backlog'!$E$6:$E$25)=0,Burndown!$B$9="",Burndown!$C$9=""),"",MAX(0,SUMIF('Backlog'!$B$6:$B$25,"S5",'Backlog'!$E$6:$E$25)-SUMIFS('Work Log'!$D$6:$D$205,'Work Log'!$E$6:$E$205,"S5",'Work Log'!$A$6:$A$205,"&lt;="&amp;T46)))</x:f>
      </x:c>
      <x:c r="S46" s="11" t="str">
        <x:f>IF(OR(T46="",SUMIF('Backlog'!$B$6:$B$25,"S5",'Backlog'!$E$6:$E$25)=0,Burndown!$B$9="",Burndown!$C$9="",Burndown!$C$9&lt;=Burndown!$B$9),"",MAX(0,SUMIF('Backlog'!$B$6:$B$25,"S5",'Backlog'!$E$6:$E$25)*(Burndown!$C$9-T46)/(Burndown!$C$9-Burndown!$B$9)))</x:f>
      </x:c>
      <x:c r="T46" s="10" t="str">
        <x:f>IF(OR('Work Log'!$E$49&lt;&gt;"S5",'Work Log'!$A$49=""),"",'Work Log'!$A$49)</x:f>
      </x:c>
    </x:row>
    <x:row r="47">
      <x:c r="A47" t="str">
        <x:f>IF(D47="","",TEXT(D47,"mm/dd/yy"))</x:f>
      </x:c>
      <x:c r="B47" s="11" t="str">
        <x:f>IF(OR(D47="",SUMIF('Backlog'!$B$6:$B$25,"S1",'Backlog'!$E$6:$E$25)=0,Burndown!$B$5="",Burndown!$C$5=""),"",MAX(0,SUMIF('Backlog'!$B$6:$B$25,"S1",'Backlog'!$E$6:$E$25)-SUMIFS('Work Log'!$D$6:$D$205,'Work Log'!$E$6:$E$205,"S1",'Work Log'!$A$6:$A$205,"&lt;="&amp;D47)))</x:f>
      </x:c>
      <x:c r="C47" s="11" t="str">
        <x:f>IF(OR(D47="",SUMIF('Backlog'!$B$6:$B$25,"S1",'Backlog'!$E$6:$E$25)=0,Burndown!$B$5="",Burndown!$C$5="",Burndown!$C$5&lt;=Burndown!$B$5),"",MAX(0,SUMIF('Backlog'!$B$6:$B$25,"S1",'Backlog'!$E$6:$E$25)*(Burndown!$C$5-D47)/(Burndown!$C$5-Burndown!$B$5)))</x:f>
      </x:c>
      <x:c r="D47" s="10" t="str">
        <x:f>IF(OR('Work Log'!$E$50&lt;&gt;"S1",'Work Log'!$A$50=""),"",'Work Log'!$A$50)</x:f>
      </x:c>
      <x:c r="E47" t="str">
        <x:f>IF(H47="","",TEXT(H47,"mm/dd/yy"))</x:f>
      </x:c>
      <x:c r="F47" s="11" t="str">
        <x:f>IF(OR(H47="",SUMIF('Backlog'!$B$6:$B$25,"S2",'Backlog'!$E$6:$E$25)=0,Burndown!$B$6="",Burndown!$C$6=""),"",MAX(0,SUMIF('Backlog'!$B$6:$B$25,"S2",'Backlog'!$E$6:$E$25)-SUMIFS('Work Log'!$D$6:$D$205,'Work Log'!$E$6:$E$205,"S2",'Work Log'!$A$6:$A$205,"&lt;="&amp;H47)))</x:f>
      </x:c>
      <x:c r="G47" s="11" t="str">
        <x:f>IF(OR(H47="",SUMIF('Backlog'!$B$6:$B$25,"S2",'Backlog'!$E$6:$E$25)=0,Burndown!$B$6="",Burndown!$C$6="",Burndown!$C$6&lt;=Burndown!$B$6),"",MAX(0,SUMIF('Backlog'!$B$6:$B$25,"S2",'Backlog'!$E$6:$E$25)*(Burndown!$C$6-H47)/(Burndown!$C$6-Burndown!$B$6)))</x:f>
      </x:c>
      <x:c r="H47" s="10" t="str">
        <x:f>IF(OR('Work Log'!$E$50&lt;&gt;"S2",'Work Log'!$A$50=""),"",'Work Log'!$A$50)</x:f>
      </x:c>
      <x:c r="I47" t="str">
        <x:f>IF(L47="","",TEXT(L47,"mm/dd/yy"))</x:f>
      </x:c>
      <x:c r="J47" s="11" t="str">
        <x:f>IF(OR(L47="",SUMIF('Backlog'!$B$6:$B$25,"S3",'Backlog'!$E$6:$E$25)=0,Burndown!$B$7="",Burndown!$C$7=""),"",MAX(0,SUMIF('Backlog'!$B$6:$B$25,"S3",'Backlog'!$E$6:$E$25)-SUMIFS('Work Log'!$D$6:$D$205,'Work Log'!$E$6:$E$205,"S3",'Work Log'!$A$6:$A$205,"&lt;="&amp;L47)))</x:f>
      </x:c>
      <x:c r="K47" s="11" t="str">
        <x:f>IF(OR(L47="",SUMIF('Backlog'!$B$6:$B$25,"S3",'Backlog'!$E$6:$E$25)=0,Burndown!$B$7="",Burndown!$C$7="",Burndown!$C$7&lt;=Burndown!$B$7),"",MAX(0,SUMIF('Backlog'!$B$6:$B$25,"S3",'Backlog'!$E$6:$E$25)*(Burndown!$C$7-L47)/(Burndown!$C$7-Burndown!$B$7)))</x:f>
      </x:c>
      <x:c r="L47" s="10" t="str">
        <x:f>IF(OR('Work Log'!$E$50&lt;&gt;"S3",'Work Log'!$A$50=""),"",'Work Log'!$A$50)</x:f>
      </x:c>
      <x:c r="M47" t="str">
        <x:f>IF(P47="","",TEXT(P47,"mm/dd/yy"))</x:f>
      </x:c>
      <x:c r="N47" s="11" t="str">
        <x:f>IF(OR(P47="",SUMIF('Backlog'!$B$6:$B$25,"S4",'Backlog'!$E$6:$E$25)=0,Burndown!$B$8="",Burndown!$C$8=""),"",MAX(0,SUMIF('Backlog'!$B$6:$B$25,"S4",'Backlog'!$E$6:$E$25)-SUMIFS('Work Log'!$D$6:$D$205,'Work Log'!$E$6:$E$205,"S4",'Work Log'!$A$6:$A$205,"&lt;="&amp;P47)))</x:f>
      </x:c>
      <x:c r="O47" s="11" t="str">
        <x:f>IF(OR(P47="",SUMIF('Backlog'!$B$6:$B$25,"S4",'Backlog'!$E$6:$E$25)=0,Burndown!$B$8="",Burndown!$C$8="",Burndown!$C$8&lt;=Burndown!$B$8),"",MAX(0,SUMIF('Backlog'!$B$6:$B$25,"S4",'Backlog'!$E$6:$E$25)*(Burndown!$C$8-P47)/(Burndown!$C$8-Burndown!$B$8)))</x:f>
      </x:c>
      <x:c r="P47" s="10" t="str">
        <x:f>IF(OR('Work Log'!$E$50&lt;&gt;"S4",'Work Log'!$A$50=""),"",'Work Log'!$A$50)</x:f>
      </x:c>
      <x:c r="Q47" t="str">
        <x:f>IF(T47="","",TEXT(T47,"mm/dd/yy"))</x:f>
      </x:c>
      <x:c r="R47" s="11" t="str">
        <x:f>IF(OR(T47="",SUMIF('Backlog'!$B$6:$B$25,"S5",'Backlog'!$E$6:$E$25)=0,Burndown!$B$9="",Burndown!$C$9=""),"",MAX(0,SUMIF('Backlog'!$B$6:$B$25,"S5",'Backlog'!$E$6:$E$25)-SUMIFS('Work Log'!$D$6:$D$205,'Work Log'!$E$6:$E$205,"S5",'Work Log'!$A$6:$A$205,"&lt;="&amp;T47)))</x:f>
      </x:c>
      <x:c r="S47" s="11" t="str">
        <x:f>IF(OR(T47="",SUMIF('Backlog'!$B$6:$B$25,"S5",'Backlog'!$E$6:$E$25)=0,Burndown!$B$9="",Burndown!$C$9="",Burndown!$C$9&lt;=Burndown!$B$9),"",MAX(0,SUMIF('Backlog'!$B$6:$B$25,"S5",'Backlog'!$E$6:$E$25)*(Burndown!$C$9-T47)/(Burndown!$C$9-Burndown!$B$9)))</x:f>
      </x:c>
      <x:c r="T47" s="10" t="str">
        <x:f>IF(OR('Work Log'!$E$50&lt;&gt;"S5",'Work Log'!$A$50=""),"",'Work Log'!$A$50)</x:f>
      </x:c>
    </x:row>
    <x:row r="48">
      <x:c r="A48" t="str">
        <x:f>IF(D48="","",TEXT(D48,"mm/dd/yy"))</x:f>
      </x:c>
      <x:c r="B48" s="11" t="str">
        <x:f>IF(OR(D48="",SUMIF('Backlog'!$B$6:$B$25,"S1",'Backlog'!$E$6:$E$25)=0,Burndown!$B$5="",Burndown!$C$5=""),"",MAX(0,SUMIF('Backlog'!$B$6:$B$25,"S1",'Backlog'!$E$6:$E$25)-SUMIFS('Work Log'!$D$6:$D$205,'Work Log'!$E$6:$E$205,"S1",'Work Log'!$A$6:$A$205,"&lt;="&amp;D48)))</x:f>
      </x:c>
      <x:c r="C48" s="11" t="str">
        <x:f>IF(OR(D48="",SUMIF('Backlog'!$B$6:$B$25,"S1",'Backlog'!$E$6:$E$25)=0,Burndown!$B$5="",Burndown!$C$5="",Burndown!$C$5&lt;=Burndown!$B$5),"",MAX(0,SUMIF('Backlog'!$B$6:$B$25,"S1",'Backlog'!$E$6:$E$25)*(Burndown!$C$5-D48)/(Burndown!$C$5-Burndown!$B$5)))</x:f>
      </x:c>
      <x:c r="D48" s="10" t="str">
        <x:f>IF(OR('Work Log'!$E$51&lt;&gt;"S1",'Work Log'!$A$51=""),"",'Work Log'!$A$51)</x:f>
      </x:c>
      <x:c r="E48" t="str">
        <x:f>IF(H48="","",TEXT(H48,"mm/dd/yy"))</x:f>
      </x:c>
      <x:c r="F48" s="11" t="str">
        <x:f>IF(OR(H48="",SUMIF('Backlog'!$B$6:$B$25,"S2",'Backlog'!$E$6:$E$25)=0,Burndown!$B$6="",Burndown!$C$6=""),"",MAX(0,SUMIF('Backlog'!$B$6:$B$25,"S2",'Backlog'!$E$6:$E$25)-SUMIFS('Work Log'!$D$6:$D$205,'Work Log'!$E$6:$E$205,"S2",'Work Log'!$A$6:$A$205,"&lt;="&amp;H48)))</x:f>
      </x:c>
      <x:c r="G48" s="11" t="str">
        <x:f>IF(OR(H48="",SUMIF('Backlog'!$B$6:$B$25,"S2",'Backlog'!$E$6:$E$25)=0,Burndown!$B$6="",Burndown!$C$6="",Burndown!$C$6&lt;=Burndown!$B$6),"",MAX(0,SUMIF('Backlog'!$B$6:$B$25,"S2",'Backlog'!$E$6:$E$25)*(Burndown!$C$6-H48)/(Burndown!$C$6-Burndown!$B$6)))</x:f>
      </x:c>
      <x:c r="H48" s="10" t="str">
        <x:f>IF(OR('Work Log'!$E$51&lt;&gt;"S2",'Work Log'!$A$51=""),"",'Work Log'!$A$51)</x:f>
      </x:c>
      <x:c r="I48" t="str">
        <x:f>IF(L48="","",TEXT(L48,"mm/dd/yy"))</x:f>
      </x:c>
      <x:c r="J48" s="11" t="str">
        <x:f>IF(OR(L48="",SUMIF('Backlog'!$B$6:$B$25,"S3",'Backlog'!$E$6:$E$25)=0,Burndown!$B$7="",Burndown!$C$7=""),"",MAX(0,SUMIF('Backlog'!$B$6:$B$25,"S3",'Backlog'!$E$6:$E$25)-SUMIFS('Work Log'!$D$6:$D$205,'Work Log'!$E$6:$E$205,"S3",'Work Log'!$A$6:$A$205,"&lt;="&amp;L48)))</x:f>
      </x:c>
      <x:c r="K48" s="11" t="str">
        <x:f>IF(OR(L48="",SUMIF('Backlog'!$B$6:$B$25,"S3",'Backlog'!$E$6:$E$25)=0,Burndown!$B$7="",Burndown!$C$7="",Burndown!$C$7&lt;=Burndown!$B$7),"",MAX(0,SUMIF('Backlog'!$B$6:$B$25,"S3",'Backlog'!$E$6:$E$25)*(Burndown!$C$7-L48)/(Burndown!$C$7-Burndown!$B$7)))</x:f>
      </x:c>
      <x:c r="L48" s="10" t="str">
        <x:f>IF(OR('Work Log'!$E$51&lt;&gt;"S3",'Work Log'!$A$51=""),"",'Work Log'!$A$51)</x:f>
      </x:c>
      <x:c r="M48" t="str">
        <x:f>IF(P48="","",TEXT(P48,"mm/dd/yy"))</x:f>
      </x:c>
      <x:c r="N48" s="11" t="str">
        <x:f>IF(OR(P48="",SUMIF('Backlog'!$B$6:$B$25,"S4",'Backlog'!$E$6:$E$25)=0,Burndown!$B$8="",Burndown!$C$8=""),"",MAX(0,SUMIF('Backlog'!$B$6:$B$25,"S4",'Backlog'!$E$6:$E$25)-SUMIFS('Work Log'!$D$6:$D$205,'Work Log'!$E$6:$E$205,"S4",'Work Log'!$A$6:$A$205,"&lt;="&amp;P48)))</x:f>
      </x:c>
      <x:c r="O48" s="11" t="str">
        <x:f>IF(OR(P48="",SUMIF('Backlog'!$B$6:$B$25,"S4",'Backlog'!$E$6:$E$25)=0,Burndown!$B$8="",Burndown!$C$8="",Burndown!$C$8&lt;=Burndown!$B$8),"",MAX(0,SUMIF('Backlog'!$B$6:$B$25,"S4",'Backlog'!$E$6:$E$25)*(Burndown!$C$8-P48)/(Burndown!$C$8-Burndown!$B$8)))</x:f>
      </x:c>
      <x:c r="P48" s="10" t="str">
        <x:f>IF(OR('Work Log'!$E$51&lt;&gt;"S4",'Work Log'!$A$51=""),"",'Work Log'!$A$51)</x:f>
      </x:c>
      <x:c r="Q48" t="str">
        <x:f>IF(T48="","",TEXT(T48,"mm/dd/yy"))</x:f>
      </x:c>
      <x:c r="R48" s="11" t="str">
        <x:f>IF(OR(T48="",SUMIF('Backlog'!$B$6:$B$25,"S5",'Backlog'!$E$6:$E$25)=0,Burndown!$B$9="",Burndown!$C$9=""),"",MAX(0,SUMIF('Backlog'!$B$6:$B$25,"S5",'Backlog'!$E$6:$E$25)-SUMIFS('Work Log'!$D$6:$D$205,'Work Log'!$E$6:$E$205,"S5",'Work Log'!$A$6:$A$205,"&lt;="&amp;T48)))</x:f>
      </x:c>
      <x:c r="S48" s="11" t="str">
        <x:f>IF(OR(T48="",SUMIF('Backlog'!$B$6:$B$25,"S5",'Backlog'!$E$6:$E$25)=0,Burndown!$B$9="",Burndown!$C$9="",Burndown!$C$9&lt;=Burndown!$B$9),"",MAX(0,SUMIF('Backlog'!$B$6:$B$25,"S5",'Backlog'!$E$6:$E$25)*(Burndown!$C$9-T48)/(Burndown!$C$9-Burndown!$B$9)))</x:f>
      </x:c>
      <x:c r="T48" s="10" t="str">
        <x:f>IF(OR('Work Log'!$E$51&lt;&gt;"S5",'Work Log'!$A$51=""),"",'Work Log'!$A$51)</x:f>
      </x:c>
    </x:row>
    <x:row r="49">
      <x:c r="A49" t="str">
        <x:f>IF(D49="","",TEXT(D49,"mm/dd/yy"))</x:f>
      </x:c>
      <x:c r="B49" s="11" t="str">
        <x:f>IF(OR(D49="",SUMIF('Backlog'!$B$6:$B$25,"S1",'Backlog'!$E$6:$E$25)=0,Burndown!$B$5="",Burndown!$C$5=""),"",MAX(0,SUMIF('Backlog'!$B$6:$B$25,"S1",'Backlog'!$E$6:$E$25)-SUMIFS('Work Log'!$D$6:$D$205,'Work Log'!$E$6:$E$205,"S1",'Work Log'!$A$6:$A$205,"&lt;="&amp;D49)))</x:f>
      </x:c>
      <x:c r="C49" s="11" t="str">
        <x:f>IF(OR(D49="",SUMIF('Backlog'!$B$6:$B$25,"S1",'Backlog'!$E$6:$E$25)=0,Burndown!$B$5="",Burndown!$C$5="",Burndown!$C$5&lt;=Burndown!$B$5),"",MAX(0,SUMIF('Backlog'!$B$6:$B$25,"S1",'Backlog'!$E$6:$E$25)*(Burndown!$C$5-D49)/(Burndown!$C$5-Burndown!$B$5)))</x:f>
      </x:c>
      <x:c r="D49" s="10" t="str">
        <x:f>IF(OR('Work Log'!$E$52&lt;&gt;"S1",'Work Log'!$A$52=""),"",'Work Log'!$A$52)</x:f>
      </x:c>
      <x:c r="E49" t="str">
        <x:f>IF(H49="","",TEXT(H49,"mm/dd/yy"))</x:f>
      </x:c>
      <x:c r="F49" s="11" t="str">
        <x:f>IF(OR(H49="",SUMIF('Backlog'!$B$6:$B$25,"S2",'Backlog'!$E$6:$E$25)=0,Burndown!$B$6="",Burndown!$C$6=""),"",MAX(0,SUMIF('Backlog'!$B$6:$B$25,"S2",'Backlog'!$E$6:$E$25)-SUMIFS('Work Log'!$D$6:$D$205,'Work Log'!$E$6:$E$205,"S2",'Work Log'!$A$6:$A$205,"&lt;="&amp;H49)))</x:f>
      </x:c>
      <x:c r="G49" s="11" t="str">
        <x:f>IF(OR(H49="",SUMIF('Backlog'!$B$6:$B$25,"S2",'Backlog'!$E$6:$E$25)=0,Burndown!$B$6="",Burndown!$C$6="",Burndown!$C$6&lt;=Burndown!$B$6),"",MAX(0,SUMIF('Backlog'!$B$6:$B$25,"S2",'Backlog'!$E$6:$E$25)*(Burndown!$C$6-H49)/(Burndown!$C$6-Burndown!$B$6)))</x:f>
      </x:c>
      <x:c r="H49" s="10" t="str">
        <x:f>IF(OR('Work Log'!$E$52&lt;&gt;"S2",'Work Log'!$A$52=""),"",'Work Log'!$A$52)</x:f>
      </x:c>
      <x:c r="I49" t="str">
        <x:f>IF(L49="","",TEXT(L49,"mm/dd/yy"))</x:f>
      </x:c>
      <x:c r="J49" s="11" t="str">
        <x:f>IF(OR(L49="",SUMIF('Backlog'!$B$6:$B$25,"S3",'Backlog'!$E$6:$E$25)=0,Burndown!$B$7="",Burndown!$C$7=""),"",MAX(0,SUMIF('Backlog'!$B$6:$B$25,"S3",'Backlog'!$E$6:$E$25)-SUMIFS('Work Log'!$D$6:$D$205,'Work Log'!$E$6:$E$205,"S3",'Work Log'!$A$6:$A$205,"&lt;="&amp;L49)))</x:f>
      </x:c>
      <x:c r="K49" s="11" t="str">
        <x:f>IF(OR(L49="",SUMIF('Backlog'!$B$6:$B$25,"S3",'Backlog'!$E$6:$E$25)=0,Burndown!$B$7="",Burndown!$C$7="",Burndown!$C$7&lt;=Burndown!$B$7),"",MAX(0,SUMIF('Backlog'!$B$6:$B$25,"S3",'Backlog'!$E$6:$E$25)*(Burndown!$C$7-L49)/(Burndown!$C$7-Burndown!$B$7)))</x:f>
      </x:c>
      <x:c r="L49" s="10" t="str">
        <x:f>IF(OR('Work Log'!$E$52&lt;&gt;"S3",'Work Log'!$A$52=""),"",'Work Log'!$A$52)</x:f>
      </x:c>
      <x:c r="M49" t="str">
        <x:f>IF(P49="","",TEXT(P49,"mm/dd/yy"))</x:f>
      </x:c>
      <x:c r="N49" s="11" t="str">
        <x:f>IF(OR(P49="",SUMIF('Backlog'!$B$6:$B$25,"S4",'Backlog'!$E$6:$E$25)=0,Burndown!$B$8="",Burndown!$C$8=""),"",MAX(0,SUMIF('Backlog'!$B$6:$B$25,"S4",'Backlog'!$E$6:$E$25)-SUMIFS('Work Log'!$D$6:$D$205,'Work Log'!$E$6:$E$205,"S4",'Work Log'!$A$6:$A$205,"&lt;="&amp;P49)))</x:f>
      </x:c>
      <x:c r="O49" s="11" t="str">
        <x:f>IF(OR(P49="",SUMIF('Backlog'!$B$6:$B$25,"S4",'Backlog'!$E$6:$E$25)=0,Burndown!$B$8="",Burndown!$C$8="",Burndown!$C$8&lt;=Burndown!$B$8),"",MAX(0,SUMIF('Backlog'!$B$6:$B$25,"S4",'Backlog'!$E$6:$E$25)*(Burndown!$C$8-P49)/(Burndown!$C$8-Burndown!$B$8)))</x:f>
      </x:c>
      <x:c r="P49" s="10" t="str">
        <x:f>IF(OR('Work Log'!$E$52&lt;&gt;"S4",'Work Log'!$A$52=""),"",'Work Log'!$A$52)</x:f>
      </x:c>
      <x:c r="Q49" t="str">
        <x:f>IF(T49="","",TEXT(T49,"mm/dd/yy"))</x:f>
      </x:c>
      <x:c r="R49" s="11" t="str">
        <x:f>IF(OR(T49="",SUMIF('Backlog'!$B$6:$B$25,"S5",'Backlog'!$E$6:$E$25)=0,Burndown!$B$9="",Burndown!$C$9=""),"",MAX(0,SUMIF('Backlog'!$B$6:$B$25,"S5",'Backlog'!$E$6:$E$25)-SUMIFS('Work Log'!$D$6:$D$205,'Work Log'!$E$6:$E$205,"S5",'Work Log'!$A$6:$A$205,"&lt;="&amp;T49)))</x:f>
      </x:c>
      <x:c r="S49" s="11" t="str">
        <x:f>IF(OR(T49="",SUMIF('Backlog'!$B$6:$B$25,"S5",'Backlog'!$E$6:$E$25)=0,Burndown!$B$9="",Burndown!$C$9="",Burndown!$C$9&lt;=Burndown!$B$9),"",MAX(0,SUMIF('Backlog'!$B$6:$B$25,"S5",'Backlog'!$E$6:$E$25)*(Burndown!$C$9-T49)/(Burndown!$C$9-Burndown!$B$9)))</x:f>
      </x:c>
      <x:c r="T49" s="10" t="str">
        <x:f>IF(OR('Work Log'!$E$52&lt;&gt;"S5",'Work Log'!$A$52=""),"",'Work Log'!$A$52)</x:f>
      </x:c>
    </x:row>
    <x:row r="50">
      <x:c r="A50" t="str">
        <x:f>IF(D50="","",TEXT(D50,"mm/dd/yy"))</x:f>
      </x:c>
      <x:c r="B50" s="11" t="str">
        <x:f>IF(OR(D50="",SUMIF('Backlog'!$B$6:$B$25,"S1",'Backlog'!$E$6:$E$25)=0,Burndown!$B$5="",Burndown!$C$5=""),"",MAX(0,SUMIF('Backlog'!$B$6:$B$25,"S1",'Backlog'!$E$6:$E$25)-SUMIFS('Work Log'!$D$6:$D$205,'Work Log'!$E$6:$E$205,"S1",'Work Log'!$A$6:$A$205,"&lt;="&amp;D50)))</x:f>
      </x:c>
      <x:c r="C50" s="11" t="str">
        <x:f>IF(OR(D50="",SUMIF('Backlog'!$B$6:$B$25,"S1",'Backlog'!$E$6:$E$25)=0,Burndown!$B$5="",Burndown!$C$5="",Burndown!$C$5&lt;=Burndown!$B$5),"",MAX(0,SUMIF('Backlog'!$B$6:$B$25,"S1",'Backlog'!$E$6:$E$25)*(Burndown!$C$5-D50)/(Burndown!$C$5-Burndown!$B$5)))</x:f>
      </x:c>
      <x:c r="D50" s="10" t="str">
        <x:f>IF(OR('Work Log'!$E$53&lt;&gt;"S1",'Work Log'!$A$53=""),"",'Work Log'!$A$53)</x:f>
      </x:c>
      <x:c r="E50" t="str">
        <x:f>IF(H50="","",TEXT(H50,"mm/dd/yy"))</x:f>
      </x:c>
      <x:c r="F50" s="11" t="str">
        <x:f>IF(OR(H50="",SUMIF('Backlog'!$B$6:$B$25,"S2",'Backlog'!$E$6:$E$25)=0,Burndown!$B$6="",Burndown!$C$6=""),"",MAX(0,SUMIF('Backlog'!$B$6:$B$25,"S2",'Backlog'!$E$6:$E$25)-SUMIFS('Work Log'!$D$6:$D$205,'Work Log'!$E$6:$E$205,"S2",'Work Log'!$A$6:$A$205,"&lt;="&amp;H50)))</x:f>
      </x:c>
      <x:c r="G50" s="11" t="str">
        <x:f>IF(OR(H50="",SUMIF('Backlog'!$B$6:$B$25,"S2",'Backlog'!$E$6:$E$25)=0,Burndown!$B$6="",Burndown!$C$6="",Burndown!$C$6&lt;=Burndown!$B$6),"",MAX(0,SUMIF('Backlog'!$B$6:$B$25,"S2",'Backlog'!$E$6:$E$25)*(Burndown!$C$6-H50)/(Burndown!$C$6-Burndown!$B$6)))</x:f>
      </x:c>
      <x:c r="H50" s="10" t="str">
        <x:f>IF(OR('Work Log'!$E$53&lt;&gt;"S2",'Work Log'!$A$53=""),"",'Work Log'!$A$53)</x:f>
      </x:c>
      <x:c r="I50" t="str">
        <x:f>IF(L50="","",TEXT(L50,"mm/dd/yy"))</x:f>
      </x:c>
      <x:c r="J50" s="11" t="str">
        <x:f>IF(OR(L50="",SUMIF('Backlog'!$B$6:$B$25,"S3",'Backlog'!$E$6:$E$25)=0,Burndown!$B$7="",Burndown!$C$7=""),"",MAX(0,SUMIF('Backlog'!$B$6:$B$25,"S3",'Backlog'!$E$6:$E$25)-SUMIFS('Work Log'!$D$6:$D$205,'Work Log'!$E$6:$E$205,"S3",'Work Log'!$A$6:$A$205,"&lt;="&amp;L50)))</x:f>
      </x:c>
      <x:c r="K50" s="11" t="str">
        <x:f>IF(OR(L50="",SUMIF('Backlog'!$B$6:$B$25,"S3",'Backlog'!$E$6:$E$25)=0,Burndown!$B$7="",Burndown!$C$7="",Burndown!$C$7&lt;=Burndown!$B$7),"",MAX(0,SUMIF('Backlog'!$B$6:$B$25,"S3",'Backlog'!$E$6:$E$25)*(Burndown!$C$7-L50)/(Burndown!$C$7-Burndown!$B$7)))</x:f>
      </x:c>
      <x:c r="L50" s="10" t="str">
        <x:f>IF(OR('Work Log'!$E$53&lt;&gt;"S3",'Work Log'!$A$53=""),"",'Work Log'!$A$53)</x:f>
      </x:c>
      <x:c r="M50" t="str">
        <x:f>IF(P50="","",TEXT(P50,"mm/dd/yy"))</x:f>
      </x:c>
      <x:c r="N50" s="11" t="str">
        <x:f>IF(OR(P50="",SUMIF('Backlog'!$B$6:$B$25,"S4",'Backlog'!$E$6:$E$25)=0,Burndown!$B$8="",Burndown!$C$8=""),"",MAX(0,SUMIF('Backlog'!$B$6:$B$25,"S4",'Backlog'!$E$6:$E$25)-SUMIFS('Work Log'!$D$6:$D$205,'Work Log'!$E$6:$E$205,"S4",'Work Log'!$A$6:$A$205,"&lt;="&amp;P50)))</x:f>
      </x:c>
      <x:c r="O50" s="11" t="str">
        <x:f>IF(OR(P50="",SUMIF('Backlog'!$B$6:$B$25,"S4",'Backlog'!$E$6:$E$25)=0,Burndown!$B$8="",Burndown!$C$8="",Burndown!$C$8&lt;=Burndown!$B$8),"",MAX(0,SUMIF('Backlog'!$B$6:$B$25,"S4",'Backlog'!$E$6:$E$25)*(Burndown!$C$8-P50)/(Burndown!$C$8-Burndown!$B$8)))</x:f>
      </x:c>
      <x:c r="P50" s="10" t="str">
        <x:f>IF(OR('Work Log'!$E$53&lt;&gt;"S4",'Work Log'!$A$53=""),"",'Work Log'!$A$53)</x:f>
      </x:c>
      <x:c r="Q50" t="str">
        <x:f>IF(T50="","",TEXT(T50,"mm/dd/yy"))</x:f>
      </x:c>
      <x:c r="R50" s="11" t="str">
        <x:f>IF(OR(T50="",SUMIF('Backlog'!$B$6:$B$25,"S5",'Backlog'!$E$6:$E$25)=0,Burndown!$B$9="",Burndown!$C$9=""),"",MAX(0,SUMIF('Backlog'!$B$6:$B$25,"S5",'Backlog'!$E$6:$E$25)-SUMIFS('Work Log'!$D$6:$D$205,'Work Log'!$E$6:$E$205,"S5",'Work Log'!$A$6:$A$205,"&lt;="&amp;T50)))</x:f>
      </x:c>
      <x:c r="S50" s="11" t="str">
        <x:f>IF(OR(T50="",SUMIF('Backlog'!$B$6:$B$25,"S5",'Backlog'!$E$6:$E$25)=0,Burndown!$B$9="",Burndown!$C$9="",Burndown!$C$9&lt;=Burndown!$B$9),"",MAX(0,SUMIF('Backlog'!$B$6:$B$25,"S5",'Backlog'!$E$6:$E$25)*(Burndown!$C$9-T50)/(Burndown!$C$9-Burndown!$B$9)))</x:f>
      </x:c>
      <x:c r="T50" s="10" t="str">
        <x:f>IF(OR('Work Log'!$E$53&lt;&gt;"S5",'Work Log'!$A$53=""),"",'Work Log'!$A$53)</x:f>
      </x:c>
    </x:row>
    <x:row r="51">
      <x:c r="A51" t="str">
        <x:f>IF(D51="","",TEXT(D51,"mm/dd/yy"))</x:f>
      </x:c>
      <x:c r="B51" s="11" t="str">
        <x:f>IF(OR(D51="",SUMIF('Backlog'!$B$6:$B$25,"S1",'Backlog'!$E$6:$E$25)=0,Burndown!$B$5="",Burndown!$C$5=""),"",MAX(0,SUMIF('Backlog'!$B$6:$B$25,"S1",'Backlog'!$E$6:$E$25)-SUMIFS('Work Log'!$D$6:$D$205,'Work Log'!$E$6:$E$205,"S1",'Work Log'!$A$6:$A$205,"&lt;="&amp;D51)))</x:f>
      </x:c>
      <x:c r="C51" s="11" t="str">
        <x:f>IF(OR(D51="",SUMIF('Backlog'!$B$6:$B$25,"S1",'Backlog'!$E$6:$E$25)=0,Burndown!$B$5="",Burndown!$C$5="",Burndown!$C$5&lt;=Burndown!$B$5),"",MAX(0,SUMIF('Backlog'!$B$6:$B$25,"S1",'Backlog'!$E$6:$E$25)*(Burndown!$C$5-D51)/(Burndown!$C$5-Burndown!$B$5)))</x:f>
      </x:c>
      <x:c r="D51" s="10" t="str">
        <x:f>IF(OR('Work Log'!$E$54&lt;&gt;"S1",'Work Log'!$A$54=""),"",'Work Log'!$A$54)</x:f>
      </x:c>
      <x:c r="E51" t="str">
        <x:f>IF(H51="","",TEXT(H51,"mm/dd/yy"))</x:f>
      </x:c>
      <x:c r="F51" s="11" t="str">
        <x:f>IF(OR(H51="",SUMIF('Backlog'!$B$6:$B$25,"S2",'Backlog'!$E$6:$E$25)=0,Burndown!$B$6="",Burndown!$C$6=""),"",MAX(0,SUMIF('Backlog'!$B$6:$B$25,"S2",'Backlog'!$E$6:$E$25)-SUMIFS('Work Log'!$D$6:$D$205,'Work Log'!$E$6:$E$205,"S2",'Work Log'!$A$6:$A$205,"&lt;="&amp;H51)))</x:f>
      </x:c>
      <x:c r="G51" s="11" t="str">
        <x:f>IF(OR(H51="",SUMIF('Backlog'!$B$6:$B$25,"S2",'Backlog'!$E$6:$E$25)=0,Burndown!$B$6="",Burndown!$C$6="",Burndown!$C$6&lt;=Burndown!$B$6),"",MAX(0,SUMIF('Backlog'!$B$6:$B$25,"S2",'Backlog'!$E$6:$E$25)*(Burndown!$C$6-H51)/(Burndown!$C$6-Burndown!$B$6)))</x:f>
      </x:c>
      <x:c r="H51" s="10" t="str">
        <x:f>IF(OR('Work Log'!$E$54&lt;&gt;"S2",'Work Log'!$A$54=""),"",'Work Log'!$A$54)</x:f>
      </x:c>
      <x:c r="I51" t="str">
        <x:f>IF(L51="","",TEXT(L51,"mm/dd/yy"))</x:f>
      </x:c>
      <x:c r="J51" s="11" t="str">
        <x:f>IF(OR(L51="",SUMIF('Backlog'!$B$6:$B$25,"S3",'Backlog'!$E$6:$E$25)=0,Burndown!$B$7="",Burndown!$C$7=""),"",MAX(0,SUMIF('Backlog'!$B$6:$B$25,"S3",'Backlog'!$E$6:$E$25)-SUMIFS('Work Log'!$D$6:$D$205,'Work Log'!$E$6:$E$205,"S3",'Work Log'!$A$6:$A$205,"&lt;="&amp;L51)))</x:f>
      </x:c>
      <x:c r="K51" s="11" t="str">
        <x:f>IF(OR(L51="",SUMIF('Backlog'!$B$6:$B$25,"S3",'Backlog'!$E$6:$E$25)=0,Burndown!$B$7="",Burndown!$C$7="",Burndown!$C$7&lt;=Burndown!$B$7),"",MAX(0,SUMIF('Backlog'!$B$6:$B$25,"S3",'Backlog'!$E$6:$E$25)*(Burndown!$C$7-L51)/(Burndown!$C$7-Burndown!$B$7)))</x:f>
      </x:c>
      <x:c r="L51" s="10" t="str">
        <x:f>IF(OR('Work Log'!$E$54&lt;&gt;"S3",'Work Log'!$A$54=""),"",'Work Log'!$A$54)</x:f>
      </x:c>
      <x:c r="M51" t="str">
        <x:f>IF(P51="","",TEXT(P51,"mm/dd/yy"))</x:f>
      </x:c>
      <x:c r="N51" s="11" t="str">
        <x:f>IF(OR(P51="",SUMIF('Backlog'!$B$6:$B$25,"S4",'Backlog'!$E$6:$E$25)=0,Burndown!$B$8="",Burndown!$C$8=""),"",MAX(0,SUMIF('Backlog'!$B$6:$B$25,"S4",'Backlog'!$E$6:$E$25)-SUMIFS('Work Log'!$D$6:$D$205,'Work Log'!$E$6:$E$205,"S4",'Work Log'!$A$6:$A$205,"&lt;="&amp;P51)))</x:f>
      </x:c>
      <x:c r="O51" s="11" t="str">
        <x:f>IF(OR(P51="",SUMIF('Backlog'!$B$6:$B$25,"S4",'Backlog'!$E$6:$E$25)=0,Burndown!$B$8="",Burndown!$C$8="",Burndown!$C$8&lt;=Burndown!$B$8),"",MAX(0,SUMIF('Backlog'!$B$6:$B$25,"S4",'Backlog'!$E$6:$E$25)*(Burndown!$C$8-P51)/(Burndown!$C$8-Burndown!$B$8)))</x:f>
      </x:c>
      <x:c r="P51" s="10" t="str">
        <x:f>IF(OR('Work Log'!$E$54&lt;&gt;"S4",'Work Log'!$A$54=""),"",'Work Log'!$A$54)</x:f>
      </x:c>
      <x:c r="Q51" t="str">
        <x:f>IF(T51="","",TEXT(T51,"mm/dd/yy"))</x:f>
      </x:c>
      <x:c r="R51" s="11" t="str">
        <x:f>IF(OR(T51="",SUMIF('Backlog'!$B$6:$B$25,"S5",'Backlog'!$E$6:$E$25)=0,Burndown!$B$9="",Burndown!$C$9=""),"",MAX(0,SUMIF('Backlog'!$B$6:$B$25,"S5",'Backlog'!$E$6:$E$25)-SUMIFS('Work Log'!$D$6:$D$205,'Work Log'!$E$6:$E$205,"S5",'Work Log'!$A$6:$A$205,"&lt;="&amp;T51)))</x:f>
      </x:c>
      <x:c r="S51" s="11" t="str">
        <x:f>IF(OR(T51="",SUMIF('Backlog'!$B$6:$B$25,"S5",'Backlog'!$E$6:$E$25)=0,Burndown!$B$9="",Burndown!$C$9="",Burndown!$C$9&lt;=Burndown!$B$9),"",MAX(0,SUMIF('Backlog'!$B$6:$B$25,"S5",'Backlog'!$E$6:$E$25)*(Burndown!$C$9-T51)/(Burndown!$C$9-Burndown!$B$9)))</x:f>
      </x:c>
      <x:c r="T51" s="10" t="str">
        <x:f>IF(OR('Work Log'!$E$54&lt;&gt;"S5",'Work Log'!$A$54=""),"",'Work Log'!$A$54)</x:f>
      </x:c>
    </x:row>
    <x:row r="52">
      <x:c r="A52" t="str">
        <x:f>IF(D52="","",TEXT(D52,"mm/dd/yy"))</x:f>
      </x:c>
      <x:c r="B52" s="11" t="str">
        <x:f>IF(OR(D52="",SUMIF('Backlog'!$B$6:$B$25,"S1",'Backlog'!$E$6:$E$25)=0,Burndown!$B$5="",Burndown!$C$5=""),"",MAX(0,SUMIF('Backlog'!$B$6:$B$25,"S1",'Backlog'!$E$6:$E$25)-SUMIFS('Work Log'!$D$6:$D$205,'Work Log'!$E$6:$E$205,"S1",'Work Log'!$A$6:$A$205,"&lt;="&amp;D52)))</x:f>
      </x:c>
      <x:c r="C52" s="11" t="str">
        <x:f>IF(OR(D52="",SUMIF('Backlog'!$B$6:$B$25,"S1",'Backlog'!$E$6:$E$25)=0,Burndown!$B$5="",Burndown!$C$5="",Burndown!$C$5&lt;=Burndown!$B$5),"",MAX(0,SUMIF('Backlog'!$B$6:$B$25,"S1",'Backlog'!$E$6:$E$25)*(Burndown!$C$5-D52)/(Burndown!$C$5-Burndown!$B$5)))</x:f>
      </x:c>
      <x:c r="D52" s="10" t="str">
        <x:f>IF(OR('Work Log'!$E$55&lt;&gt;"S1",'Work Log'!$A$55=""),"",'Work Log'!$A$55)</x:f>
      </x:c>
      <x:c r="E52" t="str">
        <x:f>IF(H52="","",TEXT(H52,"mm/dd/yy"))</x:f>
      </x:c>
      <x:c r="F52" s="11" t="str">
        <x:f>IF(OR(H52="",SUMIF('Backlog'!$B$6:$B$25,"S2",'Backlog'!$E$6:$E$25)=0,Burndown!$B$6="",Burndown!$C$6=""),"",MAX(0,SUMIF('Backlog'!$B$6:$B$25,"S2",'Backlog'!$E$6:$E$25)-SUMIFS('Work Log'!$D$6:$D$205,'Work Log'!$E$6:$E$205,"S2",'Work Log'!$A$6:$A$205,"&lt;="&amp;H52)))</x:f>
      </x:c>
      <x:c r="G52" s="11" t="str">
        <x:f>IF(OR(H52="",SUMIF('Backlog'!$B$6:$B$25,"S2",'Backlog'!$E$6:$E$25)=0,Burndown!$B$6="",Burndown!$C$6="",Burndown!$C$6&lt;=Burndown!$B$6),"",MAX(0,SUMIF('Backlog'!$B$6:$B$25,"S2",'Backlog'!$E$6:$E$25)*(Burndown!$C$6-H52)/(Burndown!$C$6-Burndown!$B$6)))</x:f>
      </x:c>
      <x:c r="H52" s="10" t="str">
        <x:f>IF(OR('Work Log'!$E$55&lt;&gt;"S2",'Work Log'!$A$55=""),"",'Work Log'!$A$55)</x:f>
      </x:c>
      <x:c r="I52" t="str">
        <x:f>IF(L52="","",TEXT(L52,"mm/dd/yy"))</x:f>
      </x:c>
      <x:c r="J52" s="11" t="str">
        <x:f>IF(OR(L52="",SUMIF('Backlog'!$B$6:$B$25,"S3",'Backlog'!$E$6:$E$25)=0,Burndown!$B$7="",Burndown!$C$7=""),"",MAX(0,SUMIF('Backlog'!$B$6:$B$25,"S3",'Backlog'!$E$6:$E$25)-SUMIFS('Work Log'!$D$6:$D$205,'Work Log'!$E$6:$E$205,"S3",'Work Log'!$A$6:$A$205,"&lt;="&amp;L52)))</x:f>
      </x:c>
      <x:c r="K52" s="11" t="str">
        <x:f>IF(OR(L52="",SUMIF('Backlog'!$B$6:$B$25,"S3",'Backlog'!$E$6:$E$25)=0,Burndown!$B$7="",Burndown!$C$7="",Burndown!$C$7&lt;=Burndown!$B$7),"",MAX(0,SUMIF('Backlog'!$B$6:$B$25,"S3",'Backlog'!$E$6:$E$25)*(Burndown!$C$7-L52)/(Burndown!$C$7-Burndown!$B$7)))</x:f>
      </x:c>
      <x:c r="L52" s="10" t="str">
        <x:f>IF(OR('Work Log'!$E$55&lt;&gt;"S3",'Work Log'!$A$55=""),"",'Work Log'!$A$55)</x:f>
      </x:c>
      <x:c r="M52" t="str">
        <x:f>IF(P52="","",TEXT(P52,"mm/dd/yy"))</x:f>
      </x:c>
      <x:c r="N52" s="11" t="str">
        <x:f>IF(OR(P52="",SUMIF('Backlog'!$B$6:$B$25,"S4",'Backlog'!$E$6:$E$25)=0,Burndown!$B$8="",Burndown!$C$8=""),"",MAX(0,SUMIF('Backlog'!$B$6:$B$25,"S4",'Backlog'!$E$6:$E$25)-SUMIFS('Work Log'!$D$6:$D$205,'Work Log'!$E$6:$E$205,"S4",'Work Log'!$A$6:$A$205,"&lt;="&amp;P52)))</x:f>
      </x:c>
      <x:c r="O52" s="11" t="str">
        <x:f>IF(OR(P52="",SUMIF('Backlog'!$B$6:$B$25,"S4",'Backlog'!$E$6:$E$25)=0,Burndown!$B$8="",Burndown!$C$8="",Burndown!$C$8&lt;=Burndown!$B$8),"",MAX(0,SUMIF('Backlog'!$B$6:$B$25,"S4",'Backlog'!$E$6:$E$25)*(Burndown!$C$8-P52)/(Burndown!$C$8-Burndown!$B$8)))</x:f>
      </x:c>
      <x:c r="P52" s="10" t="str">
        <x:f>IF(OR('Work Log'!$E$55&lt;&gt;"S4",'Work Log'!$A$55=""),"",'Work Log'!$A$55)</x:f>
      </x:c>
      <x:c r="Q52" t="str">
        <x:f>IF(T52="","",TEXT(T52,"mm/dd/yy"))</x:f>
      </x:c>
      <x:c r="R52" s="11" t="str">
        <x:f>IF(OR(T52="",SUMIF('Backlog'!$B$6:$B$25,"S5",'Backlog'!$E$6:$E$25)=0,Burndown!$B$9="",Burndown!$C$9=""),"",MAX(0,SUMIF('Backlog'!$B$6:$B$25,"S5",'Backlog'!$E$6:$E$25)-SUMIFS('Work Log'!$D$6:$D$205,'Work Log'!$E$6:$E$205,"S5",'Work Log'!$A$6:$A$205,"&lt;="&amp;T52)))</x:f>
      </x:c>
      <x:c r="S52" s="11" t="str">
        <x:f>IF(OR(T52="",SUMIF('Backlog'!$B$6:$B$25,"S5",'Backlog'!$E$6:$E$25)=0,Burndown!$B$9="",Burndown!$C$9="",Burndown!$C$9&lt;=Burndown!$B$9),"",MAX(0,SUMIF('Backlog'!$B$6:$B$25,"S5",'Backlog'!$E$6:$E$25)*(Burndown!$C$9-T52)/(Burndown!$C$9-Burndown!$B$9)))</x:f>
      </x:c>
      <x:c r="T52" s="10" t="str">
        <x:f>IF(OR('Work Log'!$E$55&lt;&gt;"S5",'Work Log'!$A$55=""),"",'Work Log'!$A$55)</x:f>
      </x:c>
    </x:row>
    <x:row r="53">
      <x:c r="A53" t="str">
        <x:f>IF(D53="","",TEXT(D53,"mm/dd/yy"))</x:f>
      </x:c>
      <x:c r="B53" s="11" t="str">
        <x:f>IF(OR(D53="",SUMIF('Backlog'!$B$6:$B$25,"S1",'Backlog'!$E$6:$E$25)=0,Burndown!$B$5="",Burndown!$C$5=""),"",MAX(0,SUMIF('Backlog'!$B$6:$B$25,"S1",'Backlog'!$E$6:$E$25)-SUMIFS('Work Log'!$D$6:$D$205,'Work Log'!$E$6:$E$205,"S1",'Work Log'!$A$6:$A$205,"&lt;="&amp;D53)))</x:f>
      </x:c>
      <x:c r="C53" s="11" t="str">
        <x:f>IF(OR(D53="",SUMIF('Backlog'!$B$6:$B$25,"S1",'Backlog'!$E$6:$E$25)=0,Burndown!$B$5="",Burndown!$C$5="",Burndown!$C$5&lt;=Burndown!$B$5),"",MAX(0,SUMIF('Backlog'!$B$6:$B$25,"S1",'Backlog'!$E$6:$E$25)*(Burndown!$C$5-D53)/(Burndown!$C$5-Burndown!$B$5)))</x:f>
      </x:c>
      <x:c r="D53" s="10" t="str">
        <x:f>IF(OR('Work Log'!$E$56&lt;&gt;"S1",'Work Log'!$A$56=""),"",'Work Log'!$A$56)</x:f>
      </x:c>
      <x:c r="E53" t="str">
        <x:f>IF(H53="","",TEXT(H53,"mm/dd/yy"))</x:f>
      </x:c>
      <x:c r="F53" s="11" t="str">
        <x:f>IF(OR(H53="",SUMIF('Backlog'!$B$6:$B$25,"S2",'Backlog'!$E$6:$E$25)=0,Burndown!$B$6="",Burndown!$C$6=""),"",MAX(0,SUMIF('Backlog'!$B$6:$B$25,"S2",'Backlog'!$E$6:$E$25)-SUMIFS('Work Log'!$D$6:$D$205,'Work Log'!$E$6:$E$205,"S2",'Work Log'!$A$6:$A$205,"&lt;="&amp;H53)))</x:f>
      </x:c>
      <x:c r="G53" s="11" t="str">
        <x:f>IF(OR(H53="",SUMIF('Backlog'!$B$6:$B$25,"S2",'Backlog'!$E$6:$E$25)=0,Burndown!$B$6="",Burndown!$C$6="",Burndown!$C$6&lt;=Burndown!$B$6),"",MAX(0,SUMIF('Backlog'!$B$6:$B$25,"S2",'Backlog'!$E$6:$E$25)*(Burndown!$C$6-H53)/(Burndown!$C$6-Burndown!$B$6)))</x:f>
      </x:c>
      <x:c r="H53" s="10" t="str">
        <x:f>IF(OR('Work Log'!$E$56&lt;&gt;"S2",'Work Log'!$A$56=""),"",'Work Log'!$A$56)</x:f>
      </x:c>
      <x:c r="I53" t="str">
        <x:f>IF(L53="","",TEXT(L53,"mm/dd/yy"))</x:f>
      </x:c>
      <x:c r="J53" s="11" t="str">
        <x:f>IF(OR(L53="",SUMIF('Backlog'!$B$6:$B$25,"S3",'Backlog'!$E$6:$E$25)=0,Burndown!$B$7="",Burndown!$C$7=""),"",MAX(0,SUMIF('Backlog'!$B$6:$B$25,"S3",'Backlog'!$E$6:$E$25)-SUMIFS('Work Log'!$D$6:$D$205,'Work Log'!$E$6:$E$205,"S3",'Work Log'!$A$6:$A$205,"&lt;="&amp;L53)))</x:f>
      </x:c>
      <x:c r="K53" s="11" t="str">
        <x:f>IF(OR(L53="",SUMIF('Backlog'!$B$6:$B$25,"S3",'Backlog'!$E$6:$E$25)=0,Burndown!$B$7="",Burndown!$C$7="",Burndown!$C$7&lt;=Burndown!$B$7),"",MAX(0,SUMIF('Backlog'!$B$6:$B$25,"S3",'Backlog'!$E$6:$E$25)*(Burndown!$C$7-L53)/(Burndown!$C$7-Burndown!$B$7)))</x:f>
      </x:c>
      <x:c r="L53" s="10" t="str">
        <x:f>IF(OR('Work Log'!$E$56&lt;&gt;"S3",'Work Log'!$A$56=""),"",'Work Log'!$A$56)</x:f>
      </x:c>
      <x:c r="M53" t="str">
        <x:f>IF(P53="","",TEXT(P53,"mm/dd/yy"))</x:f>
      </x:c>
      <x:c r="N53" s="11" t="str">
        <x:f>IF(OR(P53="",SUMIF('Backlog'!$B$6:$B$25,"S4",'Backlog'!$E$6:$E$25)=0,Burndown!$B$8="",Burndown!$C$8=""),"",MAX(0,SUMIF('Backlog'!$B$6:$B$25,"S4",'Backlog'!$E$6:$E$25)-SUMIFS('Work Log'!$D$6:$D$205,'Work Log'!$E$6:$E$205,"S4",'Work Log'!$A$6:$A$205,"&lt;="&amp;P53)))</x:f>
      </x:c>
      <x:c r="O53" s="11" t="str">
        <x:f>IF(OR(P53="",SUMIF('Backlog'!$B$6:$B$25,"S4",'Backlog'!$E$6:$E$25)=0,Burndown!$B$8="",Burndown!$C$8="",Burndown!$C$8&lt;=Burndown!$B$8),"",MAX(0,SUMIF('Backlog'!$B$6:$B$25,"S4",'Backlog'!$E$6:$E$25)*(Burndown!$C$8-P53)/(Burndown!$C$8-Burndown!$B$8)))</x:f>
      </x:c>
      <x:c r="P53" s="10" t="str">
        <x:f>IF(OR('Work Log'!$E$56&lt;&gt;"S4",'Work Log'!$A$56=""),"",'Work Log'!$A$56)</x:f>
      </x:c>
      <x:c r="Q53" t="str">
        <x:f>IF(T53="","",TEXT(T53,"mm/dd/yy"))</x:f>
      </x:c>
      <x:c r="R53" s="11" t="str">
        <x:f>IF(OR(T53="",SUMIF('Backlog'!$B$6:$B$25,"S5",'Backlog'!$E$6:$E$25)=0,Burndown!$B$9="",Burndown!$C$9=""),"",MAX(0,SUMIF('Backlog'!$B$6:$B$25,"S5",'Backlog'!$E$6:$E$25)-SUMIFS('Work Log'!$D$6:$D$205,'Work Log'!$E$6:$E$205,"S5",'Work Log'!$A$6:$A$205,"&lt;="&amp;T53)))</x:f>
      </x:c>
      <x:c r="S53" s="11" t="str">
        <x:f>IF(OR(T53="",SUMIF('Backlog'!$B$6:$B$25,"S5",'Backlog'!$E$6:$E$25)=0,Burndown!$B$9="",Burndown!$C$9="",Burndown!$C$9&lt;=Burndown!$B$9),"",MAX(0,SUMIF('Backlog'!$B$6:$B$25,"S5",'Backlog'!$E$6:$E$25)*(Burndown!$C$9-T53)/(Burndown!$C$9-Burndown!$B$9)))</x:f>
      </x:c>
      <x:c r="T53" s="10" t="str">
        <x:f>IF(OR('Work Log'!$E$56&lt;&gt;"S5",'Work Log'!$A$56=""),"",'Work Log'!$A$56)</x:f>
      </x:c>
    </x:row>
    <x:row r="54">
      <x:c r="A54" t="str">
        <x:f>IF(D54="","",TEXT(D54,"mm/dd/yy"))</x:f>
      </x:c>
      <x:c r="B54" s="11" t="str">
        <x:f>IF(OR(D54="",SUMIF('Backlog'!$B$6:$B$25,"S1",'Backlog'!$E$6:$E$25)=0,Burndown!$B$5="",Burndown!$C$5=""),"",MAX(0,SUMIF('Backlog'!$B$6:$B$25,"S1",'Backlog'!$E$6:$E$25)-SUMIFS('Work Log'!$D$6:$D$205,'Work Log'!$E$6:$E$205,"S1",'Work Log'!$A$6:$A$205,"&lt;="&amp;D54)))</x:f>
      </x:c>
      <x:c r="C54" s="11" t="str">
        <x:f>IF(OR(D54="",SUMIF('Backlog'!$B$6:$B$25,"S1",'Backlog'!$E$6:$E$25)=0,Burndown!$B$5="",Burndown!$C$5="",Burndown!$C$5&lt;=Burndown!$B$5),"",MAX(0,SUMIF('Backlog'!$B$6:$B$25,"S1",'Backlog'!$E$6:$E$25)*(Burndown!$C$5-D54)/(Burndown!$C$5-Burndown!$B$5)))</x:f>
      </x:c>
      <x:c r="D54" s="10" t="str">
        <x:f>IF(OR('Work Log'!$E$57&lt;&gt;"S1",'Work Log'!$A$57=""),"",'Work Log'!$A$57)</x:f>
      </x:c>
      <x:c r="E54" t="str">
        <x:f>IF(H54="","",TEXT(H54,"mm/dd/yy"))</x:f>
      </x:c>
      <x:c r="F54" s="11" t="str">
        <x:f>IF(OR(H54="",SUMIF('Backlog'!$B$6:$B$25,"S2",'Backlog'!$E$6:$E$25)=0,Burndown!$B$6="",Burndown!$C$6=""),"",MAX(0,SUMIF('Backlog'!$B$6:$B$25,"S2",'Backlog'!$E$6:$E$25)-SUMIFS('Work Log'!$D$6:$D$205,'Work Log'!$E$6:$E$205,"S2",'Work Log'!$A$6:$A$205,"&lt;="&amp;H54)))</x:f>
      </x:c>
      <x:c r="G54" s="11" t="str">
        <x:f>IF(OR(H54="",SUMIF('Backlog'!$B$6:$B$25,"S2",'Backlog'!$E$6:$E$25)=0,Burndown!$B$6="",Burndown!$C$6="",Burndown!$C$6&lt;=Burndown!$B$6),"",MAX(0,SUMIF('Backlog'!$B$6:$B$25,"S2",'Backlog'!$E$6:$E$25)*(Burndown!$C$6-H54)/(Burndown!$C$6-Burndown!$B$6)))</x:f>
      </x:c>
      <x:c r="H54" s="10" t="str">
        <x:f>IF(OR('Work Log'!$E$57&lt;&gt;"S2",'Work Log'!$A$57=""),"",'Work Log'!$A$57)</x:f>
      </x:c>
      <x:c r="I54" t="str">
        <x:f>IF(L54="","",TEXT(L54,"mm/dd/yy"))</x:f>
      </x:c>
      <x:c r="J54" s="11" t="str">
        <x:f>IF(OR(L54="",SUMIF('Backlog'!$B$6:$B$25,"S3",'Backlog'!$E$6:$E$25)=0,Burndown!$B$7="",Burndown!$C$7=""),"",MAX(0,SUMIF('Backlog'!$B$6:$B$25,"S3",'Backlog'!$E$6:$E$25)-SUMIFS('Work Log'!$D$6:$D$205,'Work Log'!$E$6:$E$205,"S3",'Work Log'!$A$6:$A$205,"&lt;="&amp;L54)))</x:f>
      </x:c>
      <x:c r="K54" s="11" t="str">
        <x:f>IF(OR(L54="",SUMIF('Backlog'!$B$6:$B$25,"S3",'Backlog'!$E$6:$E$25)=0,Burndown!$B$7="",Burndown!$C$7="",Burndown!$C$7&lt;=Burndown!$B$7),"",MAX(0,SUMIF('Backlog'!$B$6:$B$25,"S3",'Backlog'!$E$6:$E$25)*(Burndown!$C$7-L54)/(Burndown!$C$7-Burndown!$B$7)))</x:f>
      </x:c>
      <x:c r="L54" s="10" t="str">
        <x:f>IF(OR('Work Log'!$E$57&lt;&gt;"S3",'Work Log'!$A$57=""),"",'Work Log'!$A$57)</x:f>
      </x:c>
      <x:c r="M54" t="str">
        <x:f>IF(P54="","",TEXT(P54,"mm/dd/yy"))</x:f>
      </x:c>
      <x:c r="N54" s="11" t="str">
        <x:f>IF(OR(P54="",SUMIF('Backlog'!$B$6:$B$25,"S4",'Backlog'!$E$6:$E$25)=0,Burndown!$B$8="",Burndown!$C$8=""),"",MAX(0,SUMIF('Backlog'!$B$6:$B$25,"S4",'Backlog'!$E$6:$E$25)-SUMIFS('Work Log'!$D$6:$D$205,'Work Log'!$E$6:$E$205,"S4",'Work Log'!$A$6:$A$205,"&lt;="&amp;P54)))</x:f>
      </x:c>
      <x:c r="O54" s="11" t="str">
        <x:f>IF(OR(P54="",SUMIF('Backlog'!$B$6:$B$25,"S4",'Backlog'!$E$6:$E$25)=0,Burndown!$B$8="",Burndown!$C$8="",Burndown!$C$8&lt;=Burndown!$B$8),"",MAX(0,SUMIF('Backlog'!$B$6:$B$25,"S4",'Backlog'!$E$6:$E$25)*(Burndown!$C$8-P54)/(Burndown!$C$8-Burndown!$B$8)))</x:f>
      </x:c>
      <x:c r="P54" s="10" t="str">
        <x:f>IF(OR('Work Log'!$E$57&lt;&gt;"S4",'Work Log'!$A$57=""),"",'Work Log'!$A$57)</x:f>
      </x:c>
      <x:c r="Q54" t="str">
        <x:f>IF(T54="","",TEXT(T54,"mm/dd/yy"))</x:f>
      </x:c>
      <x:c r="R54" s="11" t="str">
        <x:f>IF(OR(T54="",SUMIF('Backlog'!$B$6:$B$25,"S5",'Backlog'!$E$6:$E$25)=0,Burndown!$B$9="",Burndown!$C$9=""),"",MAX(0,SUMIF('Backlog'!$B$6:$B$25,"S5",'Backlog'!$E$6:$E$25)-SUMIFS('Work Log'!$D$6:$D$205,'Work Log'!$E$6:$E$205,"S5",'Work Log'!$A$6:$A$205,"&lt;="&amp;T54)))</x:f>
      </x:c>
      <x:c r="S54" s="11" t="str">
        <x:f>IF(OR(T54="",SUMIF('Backlog'!$B$6:$B$25,"S5",'Backlog'!$E$6:$E$25)=0,Burndown!$B$9="",Burndown!$C$9="",Burndown!$C$9&lt;=Burndown!$B$9),"",MAX(0,SUMIF('Backlog'!$B$6:$B$25,"S5",'Backlog'!$E$6:$E$25)*(Burndown!$C$9-T54)/(Burndown!$C$9-Burndown!$B$9)))</x:f>
      </x:c>
      <x:c r="T54" s="10" t="str">
        <x:f>IF(OR('Work Log'!$E$57&lt;&gt;"S5",'Work Log'!$A$57=""),"",'Work Log'!$A$57)</x:f>
      </x:c>
    </x:row>
    <x:row r="55">
      <x:c r="A55" t="str">
        <x:f>IF(D55="","",TEXT(D55,"mm/dd/yy"))</x:f>
      </x:c>
      <x:c r="B55" s="11" t="str">
        <x:f>IF(OR(D55="",SUMIF('Backlog'!$B$6:$B$25,"S1",'Backlog'!$E$6:$E$25)=0,Burndown!$B$5="",Burndown!$C$5=""),"",MAX(0,SUMIF('Backlog'!$B$6:$B$25,"S1",'Backlog'!$E$6:$E$25)-SUMIFS('Work Log'!$D$6:$D$205,'Work Log'!$E$6:$E$205,"S1",'Work Log'!$A$6:$A$205,"&lt;="&amp;D55)))</x:f>
      </x:c>
      <x:c r="C55" s="11" t="str">
        <x:f>IF(OR(D55="",SUMIF('Backlog'!$B$6:$B$25,"S1",'Backlog'!$E$6:$E$25)=0,Burndown!$B$5="",Burndown!$C$5="",Burndown!$C$5&lt;=Burndown!$B$5),"",MAX(0,SUMIF('Backlog'!$B$6:$B$25,"S1",'Backlog'!$E$6:$E$25)*(Burndown!$C$5-D55)/(Burndown!$C$5-Burndown!$B$5)))</x:f>
      </x:c>
      <x:c r="D55" s="10" t="str">
        <x:f>IF(OR('Work Log'!$E$58&lt;&gt;"S1",'Work Log'!$A$58=""),"",'Work Log'!$A$58)</x:f>
      </x:c>
      <x:c r="E55" t="str">
        <x:f>IF(H55="","",TEXT(H55,"mm/dd/yy"))</x:f>
      </x:c>
      <x:c r="F55" s="11" t="str">
        <x:f>IF(OR(H55="",SUMIF('Backlog'!$B$6:$B$25,"S2",'Backlog'!$E$6:$E$25)=0,Burndown!$B$6="",Burndown!$C$6=""),"",MAX(0,SUMIF('Backlog'!$B$6:$B$25,"S2",'Backlog'!$E$6:$E$25)-SUMIFS('Work Log'!$D$6:$D$205,'Work Log'!$E$6:$E$205,"S2",'Work Log'!$A$6:$A$205,"&lt;="&amp;H55)))</x:f>
      </x:c>
      <x:c r="G55" s="11" t="str">
        <x:f>IF(OR(H55="",SUMIF('Backlog'!$B$6:$B$25,"S2",'Backlog'!$E$6:$E$25)=0,Burndown!$B$6="",Burndown!$C$6="",Burndown!$C$6&lt;=Burndown!$B$6),"",MAX(0,SUMIF('Backlog'!$B$6:$B$25,"S2",'Backlog'!$E$6:$E$25)*(Burndown!$C$6-H55)/(Burndown!$C$6-Burndown!$B$6)))</x:f>
      </x:c>
      <x:c r="H55" s="10" t="str">
        <x:f>IF(OR('Work Log'!$E$58&lt;&gt;"S2",'Work Log'!$A$58=""),"",'Work Log'!$A$58)</x:f>
      </x:c>
      <x:c r="I55" t="str">
        <x:f>IF(L55="","",TEXT(L55,"mm/dd/yy"))</x:f>
      </x:c>
      <x:c r="J55" s="11" t="str">
        <x:f>IF(OR(L55="",SUMIF('Backlog'!$B$6:$B$25,"S3",'Backlog'!$E$6:$E$25)=0,Burndown!$B$7="",Burndown!$C$7=""),"",MAX(0,SUMIF('Backlog'!$B$6:$B$25,"S3",'Backlog'!$E$6:$E$25)-SUMIFS('Work Log'!$D$6:$D$205,'Work Log'!$E$6:$E$205,"S3",'Work Log'!$A$6:$A$205,"&lt;="&amp;L55)))</x:f>
      </x:c>
      <x:c r="K55" s="11" t="str">
        <x:f>IF(OR(L55="",SUMIF('Backlog'!$B$6:$B$25,"S3",'Backlog'!$E$6:$E$25)=0,Burndown!$B$7="",Burndown!$C$7="",Burndown!$C$7&lt;=Burndown!$B$7),"",MAX(0,SUMIF('Backlog'!$B$6:$B$25,"S3",'Backlog'!$E$6:$E$25)*(Burndown!$C$7-L55)/(Burndown!$C$7-Burndown!$B$7)))</x:f>
      </x:c>
      <x:c r="L55" s="10" t="str">
        <x:f>IF(OR('Work Log'!$E$58&lt;&gt;"S3",'Work Log'!$A$58=""),"",'Work Log'!$A$58)</x:f>
      </x:c>
      <x:c r="M55" t="str">
        <x:f>IF(P55="","",TEXT(P55,"mm/dd/yy"))</x:f>
      </x:c>
      <x:c r="N55" s="11" t="str">
        <x:f>IF(OR(P55="",SUMIF('Backlog'!$B$6:$B$25,"S4",'Backlog'!$E$6:$E$25)=0,Burndown!$B$8="",Burndown!$C$8=""),"",MAX(0,SUMIF('Backlog'!$B$6:$B$25,"S4",'Backlog'!$E$6:$E$25)-SUMIFS('Work Log'!$D$6:$D$205,'Work Log'!$E$6:$E$205,"S4",'Work Log'!$A$6:$A$205,"&lt;="&amp;P55)))</x:f>
      </x:c>
      <x:c r="O55" s="11" t="str">
        <x:f>IF(OR(P55="",SUMIF('Backlog'!$B$6:$B$25,"S4",'Backlog'!$E$6:$E$25)=0,Burndown!$B$8="",Burndown!$C$8="",Burndown!$C$8&lt;=Burndown!$B$8),"",MAX(0,SUMIF('Backlog'!$B$6:$B$25,"S4",'Backlog'!$E$6:$E$25)*(Burndown!$C$8-P55)/(Burndown!$C$8-Burndown!$B$8)))</x:f>
      </x:c>
      <x:c r="P55" s="10" t="str">
        <x:f>IF(OR('Work Log'!$E$58&lt;&gt;"S4",'Work Log'!$A$58=""),"",'Work Log'!$A$58)</x:f>
      </x:c>
      <x:c r="Q55" t="str">
        <x:f>IF(T55="","",TEXT(T55,"mm/dd/yy"))</x:f>
      </x:c>
      <x:c r="R55" s="11" t="str">
        <x:f>IF(OR(T55="",SUMIF('Backlog'!$B$6:$B$25,"S5",'Backlog'!$E$6:$E$25)=0,Burndown!$B$9="",Burndown!$C$9=""),"",MAX(0,SUMIF('Backlog'!$B$6:$B$25,"S5",'Backlog'!$E$6:$E$25)-SUMIFS('Work Log'!$D$6:$D$205,'Work Log'!$E$6:$E$205,"S5",'Work Log'!$A$6:$A$205,"&lt;="&amp;T55)))</x:f>
      </x:c>
      <x:c r="S55" s="11" t="str">
        <x:f>IF(OR(T55="",SUMIF('Backlog'!$B$6:$B$25,"S5",'Backlog'!$E$6:$E$25)=0,Burndown!$B$9="",Burndown!$C$9="",Burndown!$C$9&lt;=Burndown!$B$9),"",MAX(0,SUMIF('Backlog'!$B$6:$B$25,"S5",'Backlog'!$E$6:$E$25)*(Burndown!$C$9-T55)/(Burndown!$C$9-Burndown!$B$9)))</x:f>
      </x:c>
      <x:c r="T55" s="10" t="str">
        <x:f>IF(OR('Work Log'!$E$58&lt;&gt;"S5",'Work Log'!$A$58=""),"",'Work Log'!$A$58)</x:f>
      </x:c>
    </x:row>
    <x:row r="56">
      <x:c r="A56" t="str">
        <x:f>IF(D56="","",TEXT(D56,"mm/dd/yy"))</x:f>
      </x:c>
      <x:c r="B56" s="11" t="str">
        <x:f>IF(OR(D56="",SUMIF('Backlog'!$B$6:$B$25,"S1",'Backlog'!$E$6:$E$25)=0,Burndown!$B$5="",Burndown!$C$5=""),"",MAX(0,SUMIF('Backlog'!$B$6:$B$25,"S1",'Backlog'!$E$6:$E$25)-SUMIFS('Work Log'!$D$6:$D$205,'Work Log'!$E$6:$E$205,"S1",'Work Log'!$A$6:$A$205,"&lt;="&amp;D56)))</x:f>
      </x:c>
      <x:c r="C56" s="11" t="str">
        <x:f>IF(OR(D56="",SUMIF('Backlog'!$B$6:$B$25,"S1",'Backlog'!$E$6:$E$25)=0,Burndown!$B$5="",Burndown!$C$5="",Burndown!$C$5&lt;=Burndown!$B$5),"",MAX(0,SUMIF('Backlog'!$B$6:$B$25,"S1",'Backlog'!$E$6:$E$25)*(Burndown!$C$5-D56)/(Burndown!$C$5-Burndown!$B$5)))</x:f>
      </x:c>
      <x:c r="D56" s="10" t="str">
        <x:f>IF(OR('Work Log'!$E$59&lt;&gt;"S1",'Work Log'!$A$59=""),"",'Work Log'!$A$59)</x:f>
      </x:c>
      <x:c r="E56" t="str">
        <x:f>IF(H56="","",TEXT(H56,"mm/dd/yy"))</x:f>
      </x:c>
      <x:c r="F56" s="11" t="str">
        <x:f>IF(OR(H56="",SUMIF('Backlog'!$B$6:$B$25,"S2",'Backlog'!$E$6:$E$25)=0,Burndown!$B$6="",Burndown!$C$6=""),"",MAX(0,SUMIF('Backlog'!$B$6:$B$25,"S2",'Backlog'!$E$6:$E$25)-SUMIFS('Work Log'!$D$6:$D$205,'Work Log'!$E$6:$E$205,"S2",'Work Log'!$A$6:$A$205,"&lt;="&amp;H56)))</x:f>
      </x:c>
      <x:c r="G56" s="11" t="str">
        <x:f>IF(OR(H56="",SUMIF('Backlog'!$B$6:$B$25,"S2",'Backlog'!$E$6:$E$25)=0,Burndown!$B$6="",Burndown!$C$6="",Burndown!$C$6&lt;=Burndown!$B$6),"",MAX(0,SUMIF('Backlog'!$B$6:$B$25,"S2",'Backlog'!$E$6:$E$25)*(Burndown!$C$6-H56)/(Burndown!$C$6-Burndown!$B$6)))</x:f>
      </x:c>
      <x:c r="H56" s="10" t="str">
        <x:f>IF(OR('Work Log'!$E$59&lt;&gt;"S2",'Work Log'!$A$59=""),"",'Work Log'!$A$59)</x:f>
      </x:c>
      <x:c r="I56" t="str">
        <x:f>IF(L56="","",TEXT(L56,"mm/dd/yy"))</x:f>
      </x:c>
      <x:c r="J56" s="11" t="str">
        <x:f>IF(OR(L56="",SUMIF('Backlog'!$B$6:$B$25,"S3",'Backlog'!$E$6:$E$25)=0,Burndown!$B$7="",Burndown!$C$7=""),"",MAX(0,SUMIF('Backlog'!$B$6:$B$25,"S3",'Backlog'!$E$6:$E$25)-SUMIFS('Work Log'!$D$6:$D$205,'Work Log'!$E$6:$E$205,"S3",'Work Log'!$A$6:$A$205,"&lt;="&amp;L56)))</x:f>
      </x:c>
      <x:c r="K56" s="11" t="str">
        <x:f>IF(OR(L56="",SUMIF('Backlog'!$B$6:$B$25,"S3",'Backlog'!$E$6:$E$25)=0,Burndown!$B$7="",Burndown!$C$7="",Burndown!$C$7&lt;=Burndown!$B$7),"",MAX(0,SUMIF('Backlog'!$B$6:$B$25,"S3",'Backlog'!$E$6:$E$25)*(Burndown!$C$7-L56)/(Burndown!$C$7-Burndown!$B$7)))</x:f>
      </x:c>
      <x:c r="L56" s="10" t="str">
        <x:f>IF(OR('Work Log'!$E$59&lt;&gt;"S3",'Work Log'!$A$59=""),"",'Work Log'!$A$59)</x:f>
      </x:c>
      <x:c r="M56" t="str">
        <x:f>IF(P56="","",TEXT(P56,"mm/dd/yy"))</x:f>
      </x:c>
      <x:c r="N56" s="11" t="str">
        <x:f>IF(OR(P56="",SUMIF('Backlog'!$B$6:$B$25,"S4",'Backlog'!$E$6:$E$25)=0,Burndown!$B$8="",Burndown!$C$8=""),"",MAX(0,SUMIF('Backlog'!$B$6:$B$25,"S4",'Backlog'!$E$6:$E$25)-SUMIFS('Work Log'!$D$6:$D$205,'Work Log'!$E$6:$E$205,"S4",'Work Log'!$A$6:$A$205,"&lt;="&amp;P56)))</x:f>
      </x:c>
      <x:c r="O56" s="11" t="str">
        <x:f>IF(OR(P56="",SUMIF('Backlog'!$B$6:$B$25,"S4",'Backlog'!$E$6:$E$25)=0,Burndown!$B$8="",Burndown!$C$8="",Burndown!$C$8&lt;=Burndown!$B$8),"",MAX(0,SUMIF('Backlog'!$B$6:$B$25,"S4",'Backlog'!$E$6:$E$25)*(Burndown!$C$8-P56)/(Burndown!$C$8-Burndown!$B$8)))</x:f>
      </x:c>
      <x:c r="P56" s="10" t="str">
        <x:f>IF(OR('Work Log'!$E$59&lt;&gt;"S4",'Work Log'!$A$59=""),"",'Work Log'!$A$59)</x:f>
      </x:c>
      <x:c r="Q56" t="str">
        <x:f>IF(T56="","",TEXT(T56,"mm/dd/yy"))</x:f>
      </x:c>
      <x:c r="R56" s="11" t="str">
        <x:f>IF(OR(T56="",SUMIF('Backlog'!$B$6:$B$25,"S5",'Backlog'!$E$6:$E$25)=0,Burndown!$B$9="",Burndown!$C$9=""),"",MAX(0,SUMIF('Backlog'!$B$6:$B$25,"S5",'Backlog'!$E$6:$E$25)-SUMIFS('Work Log'!$D$6:$D$205,'Work Log'!$E$6:$E$205,"S5",'Work Log'!$A$6:$A$205,"&lt;="&amp;T56)))</x:f>
      </x:c>
      <x:c r="S56" s="11" t="str">
        <x:f>IF(OR(T56="",SUMIF('Backlog'!$B$6:$B$25,"S5",'Backlog'!$E$6:$E$25)=0,Burndown!$B$9="",Burndown!$C$9="",Burndown!$C$9&lt;=Burndown!$B$9),"",MAX(0,SUMIF('Backlog'!$B$6:$B$25,"S5",'Backlog'!$E$6:$E$25)*(Burndown!$C$9-T56)/(Burndown!$C$9-Burndown!$B$9)))</x:f>
      </x:c>
      <x:c r="T56" s="10" t="str">
        <x:f>IF(OR('Work Log'!$E$59&lt;&gt;"S5",'Work Log'!$A$59=""),"",'Work Log'!$A$59)</x:f>
      </x:c>
    </x:row>
    <x:row r="57">
      <x:c r="A57" t="str">
        <x:f>IF(D57="","",TEXT(D57,"mm/dd/yy"))</x:f>
      </x:c>
      <x:c r="B57" s="11" t="str">
        <x:f>IF(OR(D57="",SUMIF('Backlog'!$B$6:$B$25,"S1",'Backlog'!$E$6:$E$25)=0,Burndown!$B$5="",Burndown!$C$5=""),"",MAX(0,SUMIF('Backlog'!$B$6:$B$25,"S1",'Backlog'!$E$6:$E$25)-SUMIFS('Work Log'!$D$6:$D$205,'Work Log'!$E$6:$E$205,"S1",'Work Log'!$A$6:$A$205,"&lt;="&amp;D57)))</x:f>
      </x:c>
      <x:c r="C57" s="11" t="str">
        <x:f>IF(OR(D57="",SUMIF('Backlog'!$B$6:$B$25,"S1",'Backlog'!$E$6:$E$25)=0,Burndown!$B$5="",Burndown!$C$5="",Burndown!$C$5&lt;=Burndown!$B$5),"",MAX(0,SUMIF('Backlog'!$B$6:$B$25,"S1",'Backlog'!$E$6:$E$25)*(Burndown!$C$5-D57)/(Burndown!$C$5-Burndown!$B$5)))</x:f>
      </x:c>
      <x:c r="D57" s="10" t="str">
        <x:f>IF(OR('Work Log'!$E$60&lt;&gt;"S1",'Work Log'!$A$60=""),"",'Work Log'!$A$60)</x:f>
      </x:c>
      <x:c r="E57" t="str">
        <x:f>IF(H57="","",TEXT(H57,"mm/dd/yy"))</x:f>
      </x:c>
      <x:c r="F57" s="11" t="str">
        <x:f>IF(OR(H57="",SUMIF('Backlog'!$B$6:$B$25,"S2",'Backlog'!$E$6:$E$25)=0,Burndown!$B$6="",Burndown!$C$6=""),"",MAX(0,SUMIF('Backlog'!$B$6:$B$25,"S2",'Backlog'!$E$6:$E$25)-SUMIFS('Work Log'!$D$6:$D$205,'Work Log'!$E$6:$E$205,"S2",'Work Log'!$A$6:$A$205,"&lt;="&amp;H57)))</x:f>
      </x:c>
      <x:c r="G57" s="11" t="str">
        <x:f>IF(OR(H57="",SUMIF('Backlog'!$B$6:$B$25,"S2",'Backlog'!$E$6:$E$25)=0,Burndown!$B$6="",Burndown!$C$6="",Burndown!$C$6&lt;=Burndown!$B$6),"",MAX(0,SUMIF('Backlog'!$B$6:$B$25,"S2",'Backlog'!$E$6:$E$25)*(Burndown!$C$6-H57)/(Burndown!$C$6-Burndown!$B$6)))</x:f>
      </x:c>
      <x:c r="H57" s="10" t="str">
        <x:f>IF(OR('Work Log'!$E$60&lt;&gt;"S2",'Work Log'!$A$60=""),"",'Work Log'!$A$60)</x:f>
      </x:c>
      <x:c r="I57" t="str">
        <x:f>IF(L57="","",TEXT(L57,"mm/dd/yy"))</x:f>
      </x:c>
      <x:c r="J57" s="11" t="str">
        <x:f>IF(OR(L57="",SUMIF('Backlog'!$B$6:$B$25,"S3",'Backlog'!$E$6:$E$25)=0,Burndown!$B$7="",Burndown!$C$7=""),"",MAX(0,SUMIF('Backlog'!$B$6:$B$25,"S3",'Backlog'!$E$6:$E$25)-SUMIFS('Work Log'!$D$6:$D$205,'Work Log'!$E$6:$E$205,"S3",'Work Log'!$A$6:$A$205,"&lt;="&amp;L57)))</x:f>
      </x:c>
      <x:c r="K57" s="11" t="str">
        <x:f>IF(OR(L57="",SUMIF('Backlog'!$B$6:$B$25,"S3",'Backlog'!$E$6:$E$25)=0,Burndown!$B$7="",Burndown!$C$7="",Burndown!$C$7&lt;=Burndown!$B$7),"",MAX(0,SUMIF('Backlog'!$B$6:$B$25,"S3",'Backlog'!$E$6:$E$25)*(Burndown!$C$7-L57)/(Burndown!$C$7-Burndown!$B$7)))</x:f>
      </x:c>
      <x:c r="L57" s="10" t="str">
        <x:f>IF(OR('Work Log'!$E$60&lt;&gt;"S3",'Work Log'!$A$60=""),"",'Work Log'!$A$60)</x:f>
      </x:c>
      <x:c r="M57" t="str">
        <x:f>IF(P57="","",TEXT(P57,"mm/dd/yy"))</x:f>
      </x:c>
      <x:c r="N57" s="11" t="str">
        <x:f>IF(OR(P57="",SUMIF('Backlog'!$B$6:$B$25,"S4",'Backlog'!$E$6:$E$25)=0,Burndown!$B$8="",Burndown!$C$8=""),"",MAX(0,SUMIF('Backlog'!$B$6:$B$25,"S4",'Backlog'!$E$6:$E$25)-SUMIFS('Work Log'!$D$6:$D$205,'Work Log'!$E$6:$E$205,"S4",'Work Log'!$A$6:$A$205,"&lt;="&amp;P57)))</x:f>
      </x:c>
      <x:c r="O57" s="11" t="str">
        <x:f>IF(OR(P57="",SUMIF('Backlog'!$B$6:$B$25,"S4",'Backlog'!$E$6:$E$25)=0,Burndown!$B$8="",Burndown!$C$8="",Burndown!$C$8&lt;=Burndown!$B$8),"",MAX(0,SUMIF('Backlog'!$B$6:$B$25,"S4",'Backlog'!$E$6:$E$25)*(Burndown!$C$8-P57)/(Burndown!$C$8-Burndown!$B$8)))</x:f>
      </x:c>
      <x:c r="P57" s="10" t="str">
        <x:f>IF(OR('Work Log'!$E$60&lt;&gt;"S4",'Work Log'!$A$60=""),"",'Work Log'!$A$60)</x:f>
      </x:c>
      <x:c r="Q57" t="str">
        <x:f>IF(T57="","",TEXT(T57,"mm/dd/yy"))</x:f>
      </x:c>
      <x:c r="R57" s="11" t="str">
        <x:f>IF(OR(T57="",SUMIF('Backlog'!$B$6:$B$25,"S5",'Backlog'!$E$6:$E$25)=0,Burndown!$B$9="",Burndown!$C$9=""),"",MAX(0,SUMIF('Backlog'!$B$6:$B$25,"S5",'Backlog'!$E$6:$E$25)-SUMIFS('Work Log'!$D$6:$D$205,'Work Log'!$E$6:$E$205,"S5",'Work Log'!$A$6:$A$205,"&lt;="&amp;T57)))</x:f>
      </x:c>
      <x:c r="S57" s="11" t="str">
        <x:f>IF(OR(T57="",SUMIF('Backlog'!$B$6:$B$25,"S5",'Backlog'!$E$6:$E$25)=0,Burndown!$B$9="",Burndown!$C$9="",Burndown!$C$9&lt;=Burndown!$B$9),"",MAX(0,SUMIF('Backlog'!$B$6:$B$25,"S5",'Backlog'!$E$6:$E$25)*(Burndown!$C$9-T57)/(Burndown!$C$9-Burndown!$B$9)))</x:f>
      </x:c>
      <x:c r="T57" s="10" t="str">
        <x:f>IF(OR('Work Log'!$E$60&lt;&gt;"S5",'Work Log'!$A$60=""),"",'Work Log'!$A$60)</x:f>
      </x:c>
    </x:row>
    <x:row r="58">
      <x:c r="A58" t="str">
        <x:f>IF(D58="","",TEXT(D58,"mm/dd/yy"))</x:f>
      </x:c>
      <x:c r="B58" s="11" t="str">
        <x:f>IF(OR(D58="",SUMIF('Backlog'!$B$6:$B$25,"S1",'Backlog'!$E$6:$E$25)=0,Burndown!$B$5="",Burndown!$C$5=""),"",MAX(0,SUMIF('Backlog'!$B$6:$B$25,"S1",'Backlog'!$E$6:$E$25)-SUMIFS('Work Log'!$D$6:$D$205,'Work Log'!$E$6:$E$205,"S1",'Work Log'!$A$6:$A$205,"&lt;="&amp;D58)))</x:f>
      </x:c>
      <x:c r="C58" s="11" t="str">
        <x:f>IF(OR(D58="",SUMIF('Backlog'!$B$6:$B$25,"S1",'Backlog'!$E$6:$E$25)=0,Burndown!$B$5="",Burndown!$C$5="",Burndown!$C$5&lt;=Burndown!$B$5),"",MAX(0,SUMIF('Backlog'!$B$6:$B$25,"S1",'Backlog'!$E$6:$E$25)*(Burndown!$C$5-D58)/(Burndown!$C$5-Burndown!$B$5)))</x:f>
      </x:c>
      <x:c r="D58" s="10" t="str">
        <x:f>IF(OR('Work Log'!$E$61&lt;&gt;"S1",'Work Log'!$A$61=""),"",'Work Log'!$A$61)</x:f>
      </x:c>
      <x:c r="E58" t="str">
        <x:f>IF(H58="","",TEXT(H58,"mm/dd/yy"))</x:f>
      </x:c>
      <x:c r="F58" s="11" t="str">
        <x:f>IF(OR(H58="",SUMIF('Backlog'!$B$6:$B$25,"S2",'Backlog'!$E$6:$E$25)=0,Burndown!$B$6="",Burndown!$C$6=""),"",MAX(0,SUMIF('Backlog'!$B$6:$B$25,"S2",'Backlog'!$E$6:$E$25)-SUMIFS('Work Log'!$D$6:$D$205,'Work Log'!$E$6:$E$205,"S2",'Work Log'!$A$6:$A$205,"&lt;="&amp;H58)))</x:f>
      </x:c>
      <x:c r="G58" s="11" t="str">
        <x:f>IF(OR(H58="",SUMIF('Backlog'!$B$6:$B$25,"S2",'Backlog'!$E$6:$E$25)=0,Burndown!$B$6="",Burndown!$C$6="",Burndown!$C$6&lt;=Burndown!$B$6),"",MAX(0,SUMIF('Backlog'!$B$6:$B$25,"S2",'Backlog'!$E$6:$E$25)*(Burndown!$C$6-H58)/(Burndown!$C$6-Burndown!$B$6)))</x:f>
      </x:c>
      <x:c r="H58" s="10" t="str">
        <x:f>IF(OR('Work Log'!$E$61&lt;&gt;"S2",'Work Log'!$A$61=""),"",'Work Log'!$A$61)</x:f>
      </x:c>
      <x:c r="I58" t="str">
        <x:f>IF(L58="","",TEXT(L58,"mm/dd/yy"))</x:f>
      </x:c>
      <x:c r="J58" s="11" t="str">
        <x:f>IF(OR(L58="",SUMIF('Backlog'!$B$6:$B$25,"S3",'Backlog'!$E$6:$E$25)=0,Burndown!$B$7="",Burndown!$C$7=""),"",MAX(0,SUMIF('Backlog'!$B$6:$B$25,"S3",'Backlog'!$E$6:$E$25)-SUMIFS('Work Log'!$D$6:$D$205,'Work Log'!$E$6:$E$205,"S3",'Work Log'!$A$6:$A$205,"&lt;="&amp;L58)))</x:f>
      </x:c>
      <x:c r="K58" s="11" t="str">
        <x:f>IF(OR(L58="",SUMIF('Backlog'!$B$6:$B$25,"S3",'Backlog'!$E$6:$E$25)=0,Burndown!$B$7="",Burndown!$C$7="",Burndown!$C$7&lt;=Burndown!$B$7),"",MAX(0,SUMIF('Backlog'!$B$6:$B$25,"S3",'Backlog'!$E$6:$E$25)*(Burndown!$C$7-L58)/(Burndown!$C$7-Burndown!$B$7)))</x:f>
      </x:c>
      <x:c r="L58" s="10" t="str">
        <x:f>IF(OR('Work Log'!$E$61&lt;&gt;"S3",'Work Log'!$A$61=""),"",'Work Log'!$A$61)</x:f>
      </x:c>
      <x:c r="M58" t="str">
        <x:f>IF(P58="","",TEXT(P58,"mm/dd/yy"))</x:f>
      </x:c>
      <x:c r="N58" s="11" t="str">
        <x:f>IF(OR(P58="",SUMIF('Backlog'!$B$6:$B$25,"S4",'Backlog'!$E$6:$E$25)=0,Burndown!$B$8="",Burndown!$C$8=""),"",MAX(0,SUMIF('Backlog'!$B$6:$B$25,"S4",'Backlog'!$E$6:$E$25)-SUMIFS('Work Log'!$D$6:$D$205,'Work Log'!$E$6:$E$205,"S4",'Work Log'!$A$6:$A$205,"&lt;="&amp;P58)))</x:f>
      </x:c>
      <x:c r="O58" s="11" t="str">
        <x:f>IF(OR(P58="",SUMIF('Backlog'!$B$6:$B$25,"S4",'Backlog'!$E$6:$E$25)=0,Burndown!$B$8="",Burndown!$C$8="",Burndown!$C$8&lt;=Burndown!$B$8),"",MAX(0,SUMIF('Backlog'!$B$6:$B$25,"S4",'Backlog'!$E$6:$E$25)*(Burndown!$C$8-P58)/(Burndown!$C$8-Burndown!$B$8)))</x:f>
      </x:c>
      <x:c r="P58" s="10" t="str">
        <x:f>IF(OR('Work Log'!$E$61&lt;&gt;"S4",'Work Log'!$A$61=""),"",'Work Log'!$A$61)</x:f>
      </x:c>
      <x:c r="Q58" t="str">
        <x:f>IF(T58="","",TEXT(T58,"mm/dd/yy"))</x:f>
      </x:c>
      <x:c r="R58" s="11" t="str">
        <x:f>IF(OR(T58="",SUMIF('Backlog'!$B$6:$B$25,"S5",'Backlog'!$E$6:$E$25)=0,Burndown!$B$9="",Burndown!$C$9=""),"",MAX(0,SUMIF('Backlog'!$B$6:$B$25,"S5",'Backlog'!$E$6:$E$25)-SUMIFS('Work Log'!$D$6:$D$205,'Work Log'!$E$6:$E$205,"S5",'Work Log'!$A$6:$A$205,"&lt;="&amp;T58)))</x:f>
      </x:c>
      <x:c r="S58" s="11" t="str">
        <x:f>IF(OR(T58="",SUMIF('Backlog'!$B$6:$B$25,"S5",'Backlog'!$E$6:$E$25)=0,Burndown!$B$9="",Burndown!$C$9="",Burndown!$C$9&lt;=Burndown!$B$9),"",MAX(0,SUMIF('Backlog'!$B$6:$B$25,"S5",'Backlog'!$E$6:$E$25)*(Burndown!$C$9-T58)/(Burndown!$C$9-Burndown!$B$9)))</x:f>
      </x:c>
      <x:c r="T58" s="10" t="str">
        <x:f>IF(OR('Work Log'!$E$61&lt;&gt;"S5",'Work Log'!$A$61=""),"",'Work Log'!$A$61)</x:f>
      </x:c>
    </x:row>
    <x:row r="59">
      <x:c r="A59" t="str">
        <x:f>IF(D59="","",TEXT(D59,"mm/dd/yy"))</x:f>
      </x:c>
      <x:c r="B59" s="11" t="str">
        <x:f>IF(OR(D59="",SUMIF('Backlog'!$B$6:$B$25,"S1",'Backlog'!$E$6:$E$25)=0,Burndown!$B$5="",Burndown!$C$5=""),"",MAX(0,SUMIF('Backlog'!$B$6:$B$25,"S1",'Backlog'!$E$6:$E$25)-SUMIFS('Work Log'!$D$6:$D$205,'Work Log'!$E$6:$E$205,"S1",'Work Log'!$A$6:$A$205,"&lt;="&amp;D59)))</x:f>
      </x:c>
      <x:c r="C59" s="11" t="str">
        <x:f>IF(OR(D59="",SUMIF('Backlog'!$B$6:$B$25,"S1",'Backlog'!$E$6:$E$25)=0,Burndown!$B$5="",Burndown!$C$5="",Burndown!$C$5&lt;=Burndown!$B$5),"",MAX(0,SUMIF('Backlog'!$B$6:$B$25,"S1",'Backlog'!$E$6:$E$25)*(Burndown!$C$5-D59)/(Burndown!$C$5-Burndown!$B$5)))</x:f>
      </x:c>
      <x:c r="D59" s="10" t="str">
        <x:f>IF(OR('Work Log'!$E$62&lt;&gt;"S1",'Work Log'!$A$62=""),"",'Work Log'!$A$62)</x:f>
      </x:c>
      <x:c r="E59" t="str">
        <x:f>IF(H59="","",TEXT(H59,"mm/dd/yy"))</x:f>
      </x:c>
      <x:c r="F59" s="11" t="str">
        <x:f>IF(OR(H59="",SUMIF('Backlog'!$B$6:$B$25,"S2",'Backlog'!$E$6:$E$25)=0,Burndown!$B$6="",Burndown!$C$6=""),"",MAX(0,SUMIF('Backlog'!$B$6:$B$25,"S2",'Backlog'!$E$6:$E$25)-SUMIFS('Work Log'!$D$6:$D$205,'Work Log'!$E$6:$E$205,"S2",'Work Log'!$A$6:$A$205,"&lt;="&amp;H59)))</x:f>
      </x:c>
      <x:c r="G59" s="11" t="str">
        <x:f>IF(OR(H59="",SUMIF('Backlog'!$B$6:$B$25,"S2",'Backlog'!$E$6:$E$25)=0,Burndown!$B$6="",Burndown!$C$6="",Burndown!$C$6&lt;=Burndown!$B$6),"",MAX(0,SUMIF('Backlog'!$B$6:$B$25,"S2",'Backlog'!$E$6:$E$25)*(Burndown!$C$6-H59)/(Burndown!$C$6-Burndown!$B$6)))</x:f>
      </x:c>
      <x:c r="H59" s="10" t="str">
        <x:f>IF(OR('Work Log'!$E$62&lt;&gt;"S2",'Work Log'!$A$62=""),"",'Work Log'!$A$62)</x:f>
      </x:c>
      <x:c r="I59" t="str">
        <x:f>IF(L59="","",TEXT(L59,"mm/dd/yy"))</x:f>
      </x:c>
      <x:c r="J59" s="11" t="str">
        <x:f>IF(OR(L59="",SUMIF('Backlog'!$B$6:$B$25,"S3",'Backlog'!$E$6:$E$25)=0,Burndown!$B$7="",Burndown!$C$7=""),"",MAX(0,SUMIF('Backlog'!$B$6:$B$25,"S3",'Backlog'!$E$6:$E$25)-SUMIFS('Work Log'!$D$6:$D$205,'Work Log'!$E$6:$E$205,"S3",'Work Log'!$A$6:$A$205,"&lt;="&amp;L59)))</x:f>
      </x:c>
      <x:c r="K59" s="11" t="str">
        <x:f>IF(OR(L59="",SUMIF('Backlog'!$B$6:$B$25,"S3",'Backlog'!$E$6:$E$25)=0,Burndown!$B$7="",Burndown!$C$7="",Burndown!$C$7&lt;=Burndown!$B$7),"",MAX(0,SUMIF('Backlog'!$B$6:$B$25,"S3",'Backlog'!$E$6:$E$25)*(Burndown!$C$7-L59)/(Burndown!$C$7-Burndown!$B$7)))</x:f>
      </x:c>
      <x:c r="L59" s="10" t="str">
        <x:f>IF(OR('Work Log'!$E$62&lt;&gt;"S3",'Work Log'!$A$62=""),"",'Work Log'!$A$62)</x:f>
      </x:c>
      <x:c r="M59" t="str">
        <x:f>IF(P59="","",TEXT(P59,"mm/dd/yy"))</x:f>
      </x:c>
      <x:c r="N59" s="11" t="str">
        <x:f>IF(OR(P59="",SUMIF('Backlog'!$B$6:$B$25,"S4",'Backlog'!$E$6:$E$25)=0,Burndown!$B$8="",Burndown!$C$8=""),"",MAX(0,SUMIF('Backlog'!$B$6:$B$25,"S4",'Backlog'!$E$6:$E$25)-SUMIFS('Work Log'!$D$6:$D$205,'Work Log'!$E$6:$E$205,"S4",'Work Log'!$A$6:$A$205,"&lt;="&amp;P59)))</x:f>
      </x:c>
      <x:c r="O59" s="11" t="str">
        <x:f>IF(OR(P59="",SUMIF('Backlog'!$B$6:$B$25,"S4",'Backlog'!$E$6:$E$25)=0,Burndown!$B$8="",Burndown!$C$8="",Burndown!$C$8&lt;=Burndown!$B$8),"",MAX(0,SUMIF('Backlog'!$B$6:$B$25,"S4",'Backlog'!$E$6:$E$25)*(Burndown!$C$8-P59)/(Burndown!$C$8-Burndown!$B$8)))</x:f>
      </x:c>
      <x:c r="P59" s="10" t="str">
        <x:f>IF(OR('Work Log'!$E$62&lt;&gt;"S4",'Work Log'!$A$62=""),"",'Work Log'!$A$62)</x:f>
      </x:c>
      <x:c r="Q59" t="str">
        <x:f>IF(T59="","",TEXT(T59,"mm/dd/yy"))</x:f>
      </x:c>
      <x:c r="R59" s="11" t="str">
        <x:f>IF(OR(T59="",SUMIF('Backlog'!$B$6:$B$25,"S5",'Backlog'!$E$6:$E$25)=0,Burndown!$B$9="",Burndown!$C$9=""),"",MAX(0,SUMIF('Backlog'!$B$6:$B$25,"S5",'Backlog'!$E$6:$E$25)-SUMIFS('Work Log'!$D$6:$D$205,'Work Log'!$E$6:$E$205,"S5",'Work Log'!$A$6:$A$205,"&lt;="&amp;T59)))</x:f>
      </x:c>
      <x:c r="S59" s="11" t="str">
        <x:f>IF(OR(T59="",SUMIF('Backlog'!$B$6:$B$25,"S5",'Backlog'!$E$6:$E$25)=0,Burndown!$B$9="",Burndown!$C$9="",Burndown!$C$9&lt;=Burndown!$B$9),"",MAX(0,SUMIF('Backlog'!$B$6:$B$25,"S5",'Backlog'!$E$6:$E$25)*(Burndown!$C$9-T59)/(Burndown!$C$9-Burndown!$B$9)))</x:f>
      </x:c>
      <x:c r="T59" s="10" t="str">
        <x:f>IF(OR('Work Log'!$E$62&lt;&gt;"S5",'Work Log'!$A$62=""),"",'Work Log'!$A$62)</x:f>
      </x:c>
    </x:row>
    <x:row r="60">
      <x:c r="A60" t="str">
        <x:f>IF(D60="","",TEXT(D60,"mm/dd/yy"))</x:f>
      </x:c>
      <x:c r="B60" s="11" t="str">
        <x:f>IF(OR(D60="",SUMIF('Backlog'!$B$6:$B$25,"S1",'Backlog'!$E$6:$E$25)=0,Burndown!$B$5="",Burndown!$C$5=""),"",MAX(0,SUMIF('Backlog'!$B$6:$B$25,"S1",'Backlog'!$E$6:$E$25)-SUMIFS('Work Log'!$D$6:$D$205,'Work Log'!$E$6:$E$205,"S1",'Work Log'!$A$6:$A$205,"&lt;="&amp;D60)))</x:f>
      </x:c>
      <x:c r="C60" s="11" t="str">
        <x:f>IF(OR(D60="",SUMIF('Backlog'!$B$6:$B$25,"S1",'Backlog'!$E$6:$E$25)=0,Burndown!$B$5="",Burndown!$C$5="",Burndown!$C$5&lt;=Burndown!$B$5),"",MAX(0,SUMIF('Backlog'!$B$6:$B$25,"S1",'Backlog'!$E$6:$E$25)*(Burndown!$C$5-D60)/(Burndown!$C$5-Burndown!$B$5)))</x:f>
      </x:c>
      <x:c r="D60" s="10" t="str">
        <x:f>IF(OR('Work Log'!$E$63&lt;&gt;"S1",'Work Log'!$A$63=""),"",'Work Log'!$A$63)</x:f>
      </x:c>
      <x:c r="E60" t="str">
        <x:f>IF(H60="","",TEXT(H60,"mm/dd/yy"))</x:f>
      </x:c>
      <x:c r="F60" s="11" t="str">
        <x:f>IF(OR(H60="",SUMIF('Backlog'!$B$6:$B$25,"S2",'Backlog'!$E$6:$E$25)=0,Burndown!$B$6="",Burndown!$C$6=""),"",MAX(0,SUMIF('Backlog'!$B$6:$B$25,"S2",'Backlog'!$E$6:$E$25)-SUMIFS('Work Log'!$D$6:$D$205,'Work Log'!$E$6:$E$205,"S2",'Work Log'!$A$6:$A$205,"&lt;="&amp;H60)))</x:f>
      </x:c>
      <x:c r="G60" s="11" t="str">
        <x:f>IF(OR(H60="",SUMIF('Backlog'!$B$6:$B$25,"S2",'Backlog'!$E$6:$E$25)=0,Burndown!$B$6="",Burndown!$C$6="",Burndown!$C$6&lt;=Burndown!$B$6),"",MAX(0,SUMIF('Backlog'!$B$6:$B$25,"S2",'Backlog'!$E$6:$E$25)*(Burndown!$C$6-H60)/(Burndown!$C$6-Burndown!$B$6)))</x:f>
      </x:c>
      <x:c r="H60" s="10" t="str">
        <x:f>IF(OR('Work Log'!$E$63&lt;&gt;"S2",'Work Log'!$A$63=""),"",'Work Log'!$A$63)</x:f>
      </x:c>
      <x:c r="I60" t="str">
        <x:f>IF(L60="","",TEXT(L60,"mm/dd/yy"))</x:f>
      </x:c>
      <x:c r="J60" s="11" t="str">
        <x:f>IF(OR(L60="",SUMIF('Backlog'!$B$6:$B$25,"S3",'Backlog'!$E$6:$E$25)=0,Burndown!$B$7="",Burndown!$C$7=""),"",MAX(0,SUMIF('Backlog'!$B$6:$B$25,"S3",'Backlog'!$E$6:$E$25)-SUMIFS('Work Log'!$D$6:$D$205,'Work Log'!$E$6:$E$205,"S3",'Work Log'!$A$6:$A$205,"&lt;="&amp;L60)))</x:f>
      </x:c>
      <x:c r="K60" s="11" t="str">
        <x:f>IF(OR(L60="",SUMIF('Backlog'!$B$6:$B$25,"S3",'Backlog'!$E$6:$E$25)=0,Burndown!$B$7="",Burndown!$C$7="",Burndown!$C$7&lt;=Burndown!$B$7),"",MAX(0,SUMIF('Backlog'!$B$6:$B$25,"S3",'Backlog'!$E$6:$E$25)*(Burndown!$C$7-L60)/(Burndown!$C$7-Burndown!$B$7)))</x:f>
      </x:c>
      <x:c r="L60" s="10" t="str">
        <x:f>IF(OR('Work Log'!$E$63&lt;&gt;"S3",'Work Log'!$A$63=""),"",'Work Log'!$A$63)</x:f>
      </x:c>
      <x:c r="M60" t="str">
        <x:f>IF(P60="","",TEXT(P60,"mm/dd/yy"))</x:f>
      </x:c>
      <x:c r="N60" s="11" t="str">
        <x:f>IF(OR(P60="",SUMIF('Backlog'!$B$6:$B$25,"S4",'Backlog'!$E$6:$E$25)=0,Burndown!$B$8="",Burndown!$C$8=""),"",MAX(0,SUMIF('Backlog'!$B$6:$B$25,"S4",'Backlog'!$E$6:$E$25)-SUMIFS('Work Log'!$D$6:$D$205,'Work Log'!$E$6:$E$205,"S4",'Work Log'!$A$6:$A$205,"&lt;="&amp;P60)))</x:f>
      </x:c>
      <x:c r="O60" s="11" t="str">
        <x:f>IF(OR(P60="",SUMIF('Backlog'!$B$6:$B$25,"S4",'Backlog'!$E$6:$E$25)=0,Burndown!$B$8="",Burndown!$C$8="",Burndown!$C$8&lt;=Burndown!$B$8),"",MAX(0,SUMIF('Backlog'!$B$6:$B$25,"S4",'Backlog'!$E$6:$E$25)*(Burndown!$C$8-P60)/(Burndown!$C$8-Burndown!$B$8)))</x:f>
      </x:c>
      <x:c r="P60" s="10" t="str">
        <x:f>IF(OR('Work Log'!$E$63&lt;&gt;"S4",'Work Log'!$A$63=""),"",'Work Log'!$A$63)</x:f>
      </x:c>
      <x:c r="Q60" t="str">
        <x:f>IF(T60="","",TEXT(T60,"mm/dd/yy"))</x:f>
      </x:c>
      <x:c r="R60" s="11" t="str">
        <x:f>IF(OR(T60="",SUMIF('Backlog'!$B$6:$B$25,"S5",'Backlog'!$E$6:$E$25)=0,Burndown!$B$9="",Burndown!$C$9=""),"",MAX(0,SUMIF('Backlog'!$B$6:$B$25,"S5",'Backlog'!$E$6:$E$25)-SUMIFS('Work Log'!$D$6:$D$205,'Work Log'!$E$6:$E$205,"S5",'Work Log'!$A$6:$A$205,"&lt;="&amp;T60)))</x:f>
      </x:c>
      <x:c r="S60" s="11" t="str">
        <x:f>IF(OR(T60="",SUMIF('Backlog'!$B$6:$B$25,"S5",'Backlog'!$E$6:$E$25)=0,Burndown!$B$9="",Burndown!$C$9="",Burndown!$C$9&lt;=Burndown!$B$9),"",MAX(0,SUMIF('Backlog'!$B$6:$B$25,"S5",'Backlog'!$E$6:$E$25)*(Burndown!$C$9-T60)/(Burndown!$C$9-Burndown!$B$9)))</x:f>
      </x:c>
      <x:c r="T60" s="10" t="str">
        <x:f>IF(OR('Work Log'!$E$63&lt;&gt;"S5",'Work Log'!$A$63=""),"",'Work Log'!$A$63)</x:f>
      </x:c>
    </x:row>
    <x:row r="61">
      <x:c r="A61" t="str">
        <x:f>IF(D61="","",TEXT(D61,"mm/dd/yy"))</x:f>
      </x:c>
      <x:c r="B61" s="11" t="str">
        <x:f>IF(OR(D61="",SUMIF('Backlog'!$B$6:$B$25,"S1",'Backlog'!$E$6:$E$25)=0,Burndown!$B$5="",Burndown!$C$5=""),"",MAX(0,SUMIF('Backlog'!$B$6:$B$25,"S1",'Backlog'!$E$6:$E$25)-SUMIFS('Work Log'!$D$6:$D$205,'Work Log'!$E$6:$E$205,"S1",'Work Log'!$A$6:$A$205,"&lt;="&amp;D61)))</x:f>
      </x:c>
      <x:c r="C61" s="11" t="str">
        <x:f>IF(OR(D61="",SUMIF('Backlog'!$B$6:$B$25,"S1",'Backlog'!$E$6:$E$25)=0,Burndown!$B$5="",Burndown!$C$5="",Burndown!$C$5&lt;=Burndown!$B$5),"",MAX(0,SUMIF('Backlog'!$B$6:$B$25,"S1",'Backlog'!$E$6:$E$25)*(Burndown!$C$5-D61)/(Burndown!$C$5-Burndown!$B$5)))</x:f>
      </x:c>
      <x:c r="D61" s="10" t="str">
        <x:f>IF(OR('Work Log'!$E$64&lt;&gt;"S1",'Work Log'!$A$64=""),"",'Work Log'!$A$64)</x:f>
      </x:c>
      <x:c r="E61" t="str">
        <x:f>IF(H61="","",TEXT(H61,"mm/dd/yy"))</x:f>
      </x:c>
      <x:c r="F61" s="11" t="str">
        <x:f>IF(OR(H61="",SUMIF('Backlog'!$B$6:$B$25,"S2",'Backlog'!$E$6:$E$25)=0,Burndown!$B$6="",Burndown!$C$6=""),"",MAX(0,SUMIF('Backlog'!$B$6:$B$25,"S2",'Backlog'!$E$6:$E$25)-SUMIFS('Work Log'!$D$6:$D$205,'Work Log'!$E$6:$E$205,"S2",'Work Log'!$A$6:$A$205,"&lt;="&amp;H61)))</x:f>
      </x:c>
      <x:c r="G61" s="11" t="str">
        <x:f>IF(OR(H61="",SUMIF('Backlog'!$B$6:$B$25,"S2",'Backlog'!$E$6:$E$25)=0,Burndown!$B$6="",Burndown!$C$6="",Burndown!$C$6&lt;=Burndown!$B$6),"",MAX(0,SUMIF('Backlog'!$B$6:$B$25,"S2",'Backlog'!$E$6:$E$25)*(Burndown!$C$6-H61)/(Burndown!$C$6-Burndown!$B$6)))</x:f>
      </x:c>
      <x:c r="H61" s="10" t="str">
        <x:f>IF(OR('Work Log'!$E$64&lt;&gt;"S2",'Work Log'!$A$64=""),"",'Work Log'!$A$64)</x:f>
      </x:c>
      <x:c r="I61" t="str">
        <x:f>IF(L61="","",TEXT(L61,"mm/dd/yy"))</x:f>
      </x:c>
      <x:c r="J61" s="11" t="str">
        <x:f>IF(OR(L61="",SUMIF('Backlog'!$B$6:$B$25,"S3",'Backlog'!$E$6:$E$25)=0,Burndown!$B$7="",Burndown!$C$7=""),"",MAX(0,SUMIF('Backlog'!$B$6:$B$25,"S3",'Backlog'!$E$6:$E$25)-SUMIFS('Work Log'!$D$6:$D$205,'Work Log'!$E$6:$E$205,"S3",'Work Log'!$A$6:$A$205,"&lt;="&amp;L61)))</x:f>
      </x:c>
      <x:c r="K61" s="11" t="str">
        <x:f>IF(OR(L61="",SUMIF('Backlog'!$B$6:$B$25,"S3",'Backlog'!$E$6:$E$25)=0,Burndown!$B$7="",Burndown!$C$7="",Burndown!$C$7&lt;=Burndown!$B$7),"",MAX(0,SUMIF('Backlog'!$B$6:$B$25,"S3",'Backlog'!$E$6:$E$25)*(Burndown!$C$7-L61)/(Burndown!$C$7-Burndown!$B$7)))</x:f>
      </x:c>
      <x:c r="L61" s="10" t="str">
        <x:f>IF(OR('Work Log'!$E$64&lt;&gt;"S3",'Work Log'!$A$64=""),"",'Work Log'!$A$64)</x:f>
      </x:c>
      <x:c r="M61" t="str">
        <x:f>IF(P61="","",TEXT(P61,"mm/dd/yy"))</x:f>
      </x:c>
      <x:c r="N61" s="11" t="str">
        <x:f>IF(OR(P61="",SUMIF('Backlog'!$B$6:$B$25,"S4",'Backlog'!$E$6:$E$25)=0,Burndown!$B$8="",Burndown!$C$8=""),"",MAX(0,SUMIF('Backlog'!$B$6:$B$25,"S4",'Backlog'!$E$6:$E$25)-SUMIFS('Work Log'!$D$6:$D$205,'Work Log'!$E$6:$E$205,"S4",'Work Log'!$A$6:$A$205,"&lt;="&amp;P61)))</x:f>
      </x:c>
      <x:c r="O61" s="11" t="str">
        <x:f>IF(OR(P61="",SUMIF('Backlog'!$B$6:$B$25,"S4",'Backlog'!$E$6:$E$25)=0,Burndown!$B$8="",Burndown!$C$8="",Burndown!$C$8&lt;=Burndown!$B$8),"",MAX(0,SUMIF('Backlog'!$B$6:$B$25,"S4",'Backlog'!$E$6:$E$25)*(Burndown!$C$8-P61)/(Burndown!$C$8-Burndown!$B$8)))</x:f>
      </x:c>
      <x:c r="P61" s="10" t="str">
        <x:f>IF(OR('Work Log'!$E$64&lt;&gt;"S4",'Work Log'!$A$64=""),"",'Work Log'!$A$64)</x:f>
      </x:c>
      <x:c r="Q61" t="str">
        <x:f>IF(T61="","",TEXT(T61,"mm/dd/yy"))</x:f>
      </x:c>
      <x:c r="R61" s="11" t="str">
        <x:f>IF(OR(T61="",SUMIF('Backlog'!$B$6:$B$25,"S5",'Backlog'!$E$6:$E$25)=0,Burndown!$B$9="",Burndown!$C$9=""),"",MAX(0,SUMIF('Backlog'!$B$6:$B$25,"S5",'Backlog'!$E$6:$E$25)-SUMIFS('Work Log'!$D$6:$D$205,'Work Log'!$E$6:$E$205,"S5",'Work Log'!$A$6:$A$205,"&lt;="&amp;T61)))</x:f>
      </x:c>
      <x:c r="S61" s="11" t="str">
        <x:f>IF(OR(T61="",SUMIF('Backlog'!$B$6:$B$25,"S5",'Backlog'!$E$6:$E$25)=0,Burndown!$B$9="",Burndown!$C$9="",Burndown!$C$9&lt;=Burndown!$B$9),"",MAX(0,SUMIF('Backlog'!$B$6:$B$25,"S5",'Backlog'!$E$6:$E$25)*(Burndown!$C$9-T61)/(Burndown!$C$9-Burndown!$B$9)))</x:f>
      </x:c>
      <x:c r="T61" s="10" t="str">
        <x:f>IF(OR('Work Log'!$E$64&lt;&gt;"S5",'Work Log'!$A$64=""),"",'Work Log'!$A$64)</x:f>
      </x:c>
    </x:row>
    <x:row r="62">
      <x:c r="A62" t="str">
        <x:f>IF(D62="","",TEXT(D62,"mm/dd/yy"))</x:f>
      </x:c>
      <x:c r="B62" s="11" t="str">
        <x:f>IF(OR(D62="",SUMIF('Backlog'!$B$6:$B$25,"S1",'Backlog'!$E$6:$E$25)=0,Burndown!$B$5="",Burndown!$C$5=""),"",MAX(0,SUMIF('Backlog'!$B$6:$B$25,"S1",'Backlog'!$E$6:$E$25)-SUMIFS('Work Log'!$D$6:$D$205,'Work Log'!$E$6:$E$205,"S1",'Work Log'!$A$6:$A$205,"&lt;="&amp;D62)))</x:f>
      </x:c>
      <x:c r="C62" s="11" t="str">
        <x:f>IF(OR(D62="",SUMIF('Backlog'!$B$6:$B$25,"S1",'Backlog'!$E$6:$E$25)=0,Burndown!$B$5="",Burndown!$C$5="",Burndown!$C$5&lt;=Burndown!$B$5),"",MAX(0,SUMIF('Backlog'!$B$6:$B$25,"S1",'Backlog'!$E$6:$E$25)*(Burndown!$C$5-D62)/(Burndown!$C$5-Burndown!$B$5)))</x:f>
      </x:c>
      <x:c r="D62" s="10" t="str">
        <x:f>IF(OR('Work Log'!$E$65&lt;&gt;"S1",'Work Log'!$A$65=""),"",'Work Log'!$A$65)</x:f>
      </x:c>
      <x:c r="E62" t="str">
        <x:f>IF(H62="","",TEXT(H62,"mm/dd/yy"))</x:f>
      </x:c>
      <x:c r="F62" s="11" t="str">
        <x:f>IF(OR(H62="",SUMIF('Backlog'!$B$6:$B$25,"S2",'Backlog'!$E$6:$E$25)=0,Burndown!$B$6="",Burndown!$C$6=""),"",MAX(0,SUMIF('Backlog'!$B$6:$B$25,"S2",'Backlog'!$E$6:$E$25)-SUMIFS('Work Log'!$D$6:$D$205,'Work Log'!$E$6:$E$205,"S2",'Work Log'!$A$6:$A$205,"&lt;="&amp;H62)))</x:f>
      </x:c>
      <x:c r="G62" s="11" t="str">
        <x:f>IF(OR(H62="",SUMIF('Backlog'!$B$6:$B$25,"S2",'Backlog'!$E$6:$E$25)=0,Burndown!$B$6="",Burndown!$C$6="",Burndown!$C$6&lt;=Burndown!$B$6),"",MAX(0,SUMIF('Backlog'!$B$6:$B$25,"S2",'Backlog'!$E$6:$E$25)*(Burndown!$C$6-H62)/(Burndown!$C$6-Burndown!$B$6)))</x:f>
      </x:c>
      <x:c r="H62" s="10" t="str">
        <x:f>IF(OR('Work Log'!$E$65&lt;&gt;"S2",'Work Log'!$A$65=""),"",'Work Log'!$A$65)</x:f>
      </x:c>
      <x:c r="I62" t="str">
        <x:f>IF(L62="","",TEXT(L62,"mm/dd/yy"))</x:f>
      </x:c>
      <x:c r="J62" s="11" t="str">
        <x:f>IF(OR(L62="",SUMIF('Backlog'!$B$6:$B$25,"S3",'Backlog'!$E$6:$E$25)=0,Burndown!$B$7="",Burndown!$C$7=""),"",MAX(0,SUMIF('Backlog'!$B$6:$B$25,"S3",'Backlog'!$E$6:$E$25)-SUMIFS('Work Log'!$D$6:$D$205,'Work Log'!$E$6:$E$205,"S3",'Work Log'!$A$6:$A$205,"&lt;="&amp;L62)))</x:f>
      </x:c>
      <x:c r="K62" s="11" t="str">
        <x:f>IF(OR(L62="",SUMIF('Backlog'!$B$6:$B$25,"S3",'Backlog'!$E$6:$E$25)=0,Burndown!$B$7="",Burndown!$C$7="",Burndown!$C$7&lt;=Burndown!$B$7),"",MAX(0,SUMIF('Backlog'!$B$6:$B$25,"S3",'Backlog'!$E$6:$E$25)*(Burndown!$C$7-L62)/(Burndown!$C$7-Burndown!$B$7)))</x:f>
      </x:c>
      <x:c r="L62" s="10" t="str">
        <x:f>IF(OR('Work Log'!$E$65&lt;&gt;"S3",'Work Log'!$A$65=""),"",'Work Log'!$A$65)</x:f>
      </x:c>
      <x:c r="M62" t="str">
        <x:f>IF(P62="","",TEXT(P62,"mm/dd/yy"))</x:f>
      </x:c>
      <x:c r="N62" s="11" t="str">
        <x:f>IF(OR(P62="",SUMIF('Backlog'!$B$6:$B$25,"S4",'Backlog'!$E$6:$E$25)=0,Burndown!$B$8="",Burndown!$C$8=""),"",MAX(0,SUMIF('Backlog'!$B$6:$B$25,"S4",'Backlog'!$E$6:$E$25)-SUMIFS('Work Log'!$D$6:$D$205,'Work Log'!$E$6:$E$205,"S4",'Work Log'!$A$6:$A$205,"&lt;="&amp;P62)))</x:f>
      </x:c>
      <x:c r="O62" s="11" t="str">
        <x:f>IF(OR(P62="",SUMIF('Backlog'!$B$6:$B$25,"S4",'Backlog'!$E$6:$E$25)=0,Burndown!$B$8="",Burndown!$C$8="",Burndown!$C$8&lt;=Burndown!$B$8),"",MAX(0,SUMIF('Backlog'!$B$6:$B$25,"S4",'Backlog'!$E$6:$E$25)*(Burndown!$C$8-P62)/(Burndown!$C$8-Burndown!$B$8)))</x:f>
      </x:c>
      <x:c r="P62" s="10" t="str">
        <x:f>IF(OR('Work Log'!$E$65&lt;&gt;"S4",'Work Log'!$A$65=""),"",'Work Log'!$A$65)</x:f>
      </x:c>
      <x:c r="Q62" t="str">
        <x:f>IF(T62="","",TEXT(T62,"mm/dd/yy"))</x:f>
      </x:c>
      <x:c r="R62" s="11" t="str">
        <x:f>IF(OR(T62="",SUMIF('Backlog'!$B$6:$B$25,"S5",'Backlog'!$E$6:$E$25)=0,Burndown!$B$9="",Burndown!$C$9=""),"",MAX(0,SUMIF('Backlog'!$B$6:$B$25,"S5",'Backlog'!$E$6:$E$25)-SUMIFS('Work Log'!$D$6:$D$205,'Work Log'!$E$6:$E$205,"S5",'Work Log'!$A$6:$A$205,"&lt;="&amp;T62)))</x:f>
      </x:c>
      <x:c r="S62" s="11" t="str">
        <x:f>IF(OR(T62="",SUMIF('Backlog'!$B$6:$B$25,"S5",'Backlog'!$E$6:$E$25)=0,Burndown!$B$9="",Burndown!$C$9="",Burndown!$C$9&lt;=Burndown!$B$9),"",MAX(0,SUMIF('Backlog'!$B$6:$B$25,"S5",'Backlog'!$E$6:$E$25)*(Burndown!$C$9-T62)/(Burndown!$C$9-Burndown!$B$9)))</x:f>
      </x:c>
      <x:c r="T62" s="10" t="str">
        <x:f>IF(OR('Work Log'!$E$65&lt;&gt;"S5",'Work Log'!$A$65=""),"",'Work Log'!$A$65)</x:f>
      </x:c>
    </x:row>
    <x:row r="63">
      <x:c r="A63" t="str">
        <x:f>IF(D63="","",TEXT(D63,"mm/dd/yy"))</x:f>
      </x:c>
      <x:c r="B63" s="11" t="str">
        <x:f>IF(OR(D63="",SUMIF('Backlog'!$B$6:$B$25,"S1",'Backlog'!$E$6:$E$25)=0,Burndown!$B$5="",Burndown!$C$5=""),"",MAX(0,SUMIF('Backlog'!$B$6:$B$25,"S1",'Backlog'!$E$6:$E$25)-SUMIFS('Work Log'!$D$6:$D$205,'Work Log'!$E$6:$E$205,"S1",'Work Log'!$A$6:$A$205,"&lt;="&amp;D63)))</x:f>
      </x:c>
      <x:c r="C63" s="11" t="str">
        <x:f>IF(OR(D63="",SUMIF('Backlog'!$B$6:$B$25,"S1",'Backlog'!$E$6:$E$25)=0,Burndown!$B$5="",Burndown!$C$5="",Burndown!$C$5&lt;=Burndown!$B$5),"",MAX(0,SUMIF('Backlog'!$B$6:$B$25,"S1",'Backlog'!$E$6:$E$25)*(Burndown!$C$5-D63)/(Burndown!$C$5-Burndown!$B$5)))</x:f>
      </x:c>
      <x:c r="D63" s="10" t="str">
        <x:f>IF(OR('Work Log'!$E$66&lt;&gt;"S1",'Work Log'!$A$66=""),"",'Work Log'!$A$66)</x:f>
      </x:c>
      <x:c r="E63" t="str">
        <x:f>IF(H63="","",TEXT(H63,"mm/dd/yy"))</x:f>
      </x:c>
      <x:c r="F63" s="11" t="str">
        <x:f>IF(OR(H63="",SUMIF('Backlog'!$B$6:$B$25,"S2",'Backlog'!$E$6:$E$25)=0,Burndown!$B$6="",Burndown!$C$6=""),"",MAX(0,SUMIF('Backlog'!$B$6:$B$25,"S2",'Backlog'!$E$6:$E$25)-SUMIFS('Work Log'!$D$6:$D$205,'Work Log'!$E$6:$E$205,"S2",'Work Log'!$A$6:$A$205,"&lt;="&amp;H63)))</x:f>
      </x:c>
      <x:c r="G63" s="11" t="str">
        <x:f>IF(OR(H63="",SUMIF('Backlog'!$B$6:$B$25,"S2",'Backlog'!$E$6:$E$25)=0,Burndown!$B$6="",Burndown!$C$6="",Burndown!$C$6&lt;=Burndown!$B$6),"",MAX(0,SUMIF('Backlog'!$B$6:$B$25,"S2",'Backlog'!$E$6:$E$25)*(Burndown!$C$6-H63)/(Burndown!$C$6-Burndown!$B$6)))</x:f>
      </x:c>
      <x:c r="H63" s="10" t="str">
        <x:f>IF(OR('Work Log'!$E$66&lt;&gt;"S2",'Work Log'!$A$66=""),"",'Work Log'!$A$66)</x:f>
      </x:c>
      <x:c r="I63" t="str">
        <x:f>IF(L63="","",TEXT(L63,"mm/dd/yy"))</x:f>
      </x:c>
      <x:c r="J63" s="11" t="str">
        <x:f>IF(OR(L63="",SUMIF('Backlog'!$B$6:$B$25,"S3",'Backlog'!$E$6:$E$25)=0,Burndown!$B$7="",Burndown!$C$7=""),"",MAX(0,SUMIF('Backlog'!$B$6:$B$25,"S3",'Backlog'!$E$6:$E$25)-SUMIFS('Work Log'!$D$6:$D$205,'Work Log'!$E$6:$E$205,"S3",'Work Log'!$A$6:$A$205,"&lt;="&amp;L63)))</x:f>
      </x:c>
      <x:c r="K63" s="11" t="str">
        <x:f>IF(OR(L63="",SUMIF('Backlog'!$B$6:$B$25,"S3",'Backlog'!$E$6:$E$25)=0,Burndown!$B$7="",Burndown!$C$7="",Burndown!$C$7&lt;=Burndown!$B$7),"",MAX(0,SUMIF('Backlog'!$B$6:$B$25,"S3",'Backlog'!$E$6:$E$25)*(Burndown!$C$7-L63)/(Burndown!$C$7-Burndown!$B$7)))</x:f>
      </x:c>
      <x:c r="L63" s="10" t="str">
        <x:f>IF(OR('Work Log'!$E$66&lt;&gt;"S3",'Work Log'!$A$66=""),"",'Work Log'!$A$66)</x:f>
      </x:c>
      <x:c r="M63" t="str">
        <x:f>IF(P63="","",TEXT(P63,"mm/dd/yy"))</x:f>
      </x:c>
      <x:c r="N63" s="11" t="str">
        <x:f>IF(OR(P63="",SUMIF('Backlog'!$B$6:$B$25,"S4",'Backlog'!$E$6:$E$25)=0,Burndown!$B$8="",Burndown!$C$8=""),"",MAX(0,SUMIF('Backlog'!$B$6:$B$25,"S4",'Backlog'!$E$6:$E$25)-SUMIFS('Work Log'!$D$6:$D$205,'Work Log'!$E$6:$E$205,"S4",'Work Log'!$A$6:$A$205,"&lt;="&amp;P63)))</x:f>
      </x:c>
      <x:c r="O63" s="11" t="str">
        <x:f>IF(OR(P63="",SUMIF('Backlog'!$B$6:$B$25,"S4",'Backlog'!$E$6:$E$25)=0,Burndown!$B$8="",Burndown!$C$8="",Burndown!$C$8&lt;=Burndown!$B$8),"",MAX(0,SUMIF('Backlog'!$B$6:$B$25,"S4",'Backlog'!$E$6:$E$25)*(Burndown!$C$8-P63)/(Burndown!$C$8-Burndown!$B$8)))</x:f>
      </x:c>
      <x:c r="P63" s="10" t="str">
        <x:f>IF(OR('Work Log'!$E$66&lt;&gt;"S4",'Work Log'!$A$66=""),"",'Work Log'!$A$66)</x:f>
      </x:c>
      <x:c r="Q63" t="str">
        <x:f>IF(T63="","",TEXT(T63,"mm/dd/yy"))</x:f>
      </x:c>
      <x:c r="R63" s="11" t="str">
        <x:f>IF(OR(T63="",SUMIF('Backlog'!$B$6:$B$25,"S5",'Backlog'!$E$6:$E$25)=0,Burndown!$B$9="",Burndown!$C$9=""),"",MAX(0,SUMIF('Backlog'!$B$6:$B$25,"S5",'Backlog'!$E$6:$E$25)-SUMIFS('Work Log'!$D$6:$D$205,'Work Log'!$E$6:$E$205,"S5",'Work Log'!$A$6:$A$205,"&lt;="&amp;T63)))</x:f>
      </x:c>
      <x:c r="S63" s="11" t="str">
        <x:f>IF(OR(T63="",SUMIF('Backlog'!$B$6:$B$25,"S5",'Backlog'!$E$6:$E$25)=0,Burndown!$B$9="",Burndown!$C$9="",Burndown!$C$9&lt;=Burndown!$B$9),"",MAX(0,SUMIF('Backlog'!$B$6:$B$25,"S5",'Backlog'!$E$6:$E$25)*(Burndown!$C$9-T63)/(Burndown!$C$9-Burndown!$B$9)))</x:f>
      </x:c>
      <x:c r="T63" s="10" t="str">
        <x:f>IF(OR('Work Log'!$E$66&lt;&gt;"S5",'Work Log'!$A$66=""),"",'Work Log'!$A$66)</x:f>
      </x:c>
    </x:row>
    <x:row r="64">
      <x:c r="A64" t="str">
        <x:f>IF(D64="","",TEXT(D64,"mm/dd/yy"))</x:f>
      </x:c>
      <x:c r="B64" s="11" t="str">
        <x:f>IF(OR(D64="",SUMIF('Backlog'!$B$6:$B$25,"S1",'Backlog'!$E$6:$E$25)=0,Burndown!$B$5="",Burndown!$C$5=""),"",MAX(0,SUMIF('Backlog'!$B$6:$B$25,"S1",'Backlog'!$E$6:$E$25)-SUMIFS('Work Log'!$D$6:$D$205,'Work Log'!$E$6:$E$205,"S1",'Work Log'!$A$6:$A$205,"&lt;="&amp;D64)))</x:f>
      </x:c>
      <x:c r="C64" s="11" t="str">
        <x:f>IF(OR(D64="",SUMIF('Backlog'!$B$6:$B$25,"S1",'Backlog'!$E$6:$E$25)=0,Burndown!$B$5="",Burndown!$C$5="",Burndown!$C$5&lt;=Burndown!$B$5),"",MAX(0,SUMIF('Backlog'!$B$6:$B$25,"S1",'Backlog'!$E$6:$E$25)*(Burndown!$C$5-D64)/(Burndown!$C$5-Burndown!$B$5)))</x:f>
      </x:c>
      <x:c r="D64" s="10" t="str">
        <x:f>IF(OR('Work Log'!$E$67&lt;&gt;"S1",'Work Log'!$A$67=""),"",'Work Log'!$A$67)</x:f>
      </x:c>
      <x:c r="E64" t="str">
        <x:f>IF(H64="","",TEXT(H64,"mm/dd/yy"))</x:f>
      </x:c>
      <x:c r="F64" s="11" t="str">
        <x:f>IF(OR(H64="",SUMIF('Backlog'!$B$6:$B$25,"S2",'Backlog'!$E$6:$E$25)=0,Burndown!$B$6="",Burndown!$C$6=""),"",MAX(0,SUMIF('Backlog'!$B$6:$B$25,"S2",'Backlog'!$E$6:$E$25)-SUMIFS('Work Log'!$D$6:$D$205,'Work Log'!$E$6:$E$205,"S2",'Work Log'!$A$6:$A$205,"&lt;="&amp;H64)))</x:f>
      </x:c>
      <x:c r="G64" s="11" t="str">
        <x:f>IF(OR(H64="",SUMIF('Backlog'!$B$6:$B$25,"S2",'Backlog'!$E$6:$E$25)=0,Burndown!$B$6="",Burndown!$C$6="",Burndown!$C$6&lt;=Burndown!$B$6),"",MAX(0,SUMIF('Backlog'!$B$6:$B$25,"S2",'Backlog'!$E$6:$E$25)*(Burndown!$C$6-H64)/(Burndown!$C$6-Burndown!$B$6)))</x:f>
      </x:c>
      <x:c r="H64" s="10" t="str">
        <x:f>IF(OR('Work Log'!$E$67&lt;&gt;"S2",'Work Log'!$A$67=""),"",'Work Log'!$A$67)</x:f>
      </x:c>
      <x:c r="I64" t="str">
        <x:f>IF(L64="","",TEXT(L64,"mm/dd/yy"))</x:f>
      </x:c>
      <x:c r="J64" s="11" t="str">
        <x:f>IF(OR(L64="",SUMIF('Backlog'!$B$6:$B$25,"S3",'Backlog'!$E$6:$E$25)=0,Burndown!$B$7="",Burndown!$C$7=""),"",MAX(0,SUMIF('Backlog'!$B$6:$B$25,"S3",'Backlog'!$E$6:$E$25)-SUMIFS('Work Log'!$D$6:$D$205,'Work Log'!$E$6:$E$205,"S3",'Work Log'!$A$6:$A$205,"&lt;="&amp;L64)))</x:f>
      </x:c>
      <x:c r="K64" s="11" t="str">
        <x:f>IF(OR(L64="",SUMIF('Backlog'!$B$6:$B$25,"S3",'Backlog'!$E$6:$E$25)=0,Burndown!$B$7="",Burndown!$C$7="",Burndown!$C$7&lt;=Burndown!$B$7),"",MAX(0,SUMIF('Backlog'!$B$6:$B$25,"S3",'Backlog'!$E$6:$E$25)*(Burndown!$C$7-L64)/(Burndown!$C$7-Burndown!$B$7)))</x:f>
      </x:c>
      <x:c r="L64" s="10" t="str">
        <x:f>IF(OR('Work Log'!$E$67&lt;&gt;"S3",'Work Log'!$A$67=""),"",'Work Log'!$A$67)</x:f>
      </x:c>
      <x:c r="M64" t="str">
        <x:f>IF(P64="","",TEXT(P64,"mm/dd/yy"))</x:f>
      </x:c>
      <x:c r="N64" s="11" t="str">
        <x:f>IF(OR(P64="",SUMIF('Backlog'!$B$6:$B$25,"S4",'Backlog'!$E$6:$E$25)=0,Burndown!$B$8="",Burndown!$C$8=""),"",MAX(0,SUMIF('Backlog'!$B$6:$B$25,"S4",'Backlog'!$E$6:$E$25)-SUMIFS('Work Log'!$D$6:$D$205,'Work Log'!$E$6:$E$205,"S4",'Work Log'!$A$6:$A$205,"&lt;="&amp;P64)))</x:f>
      </x:c>
      <x:c r="O64" s="11" t="str">
        <x:f>IF(OR(P64="",SUMIF('Backlog'!$B$6:$B$25,"S4",'Backlog'!$E$6:$E$25)=0,Burndown!$B$8="",Burndown!$C$8="",Burndown!$C$8&lt;=Burndown!$B$8),"",MAX(0,SUMIF('Backlog'!$B$6:$B$25,"S4",'Backlog'!$E$6:$E$25)*(Burndown!$C$8-P64)/(Burndown!$C$8-Burndown!$B$8)))</x:f>
      </x:c>
      <x:c r="P64" s="10" t="str">
        <x:f>IF(OR('Work Log'!$E$67&lt;&gt;"S4",'Work Log'!$A$67=""),"",'Work Log'!$A$67)</x:f>
      </x:c>
      <x:c r="Q64" t="str">
        <x:f>IF(T64="","",TEXT(T64,"mm/dd/yy"))</x:f>
      </x:c>
      <x:c r="R64" s="11" t="str">
        <x:f>IF(OR(T64="",SUMIF('Backlog'!$B$6:$B$25,"S5",'Backlog'!$E$6:$E$25)=0,Burndown!$B$9="",Burndown!$C$9=""),"",MAX(0,SUMIF('Backlog'!$B$6:$B$25,"S5",'Backlog'!$E$6:$E$25)-SUMIFS('Work Log'!$D$6:$D$205,'Work Log'!$E$6:$E$205,"S5",'Work Log'!$A$6:$A$205,"&lt;="&amp;T64)))</x:f>
      </x:c>
      <x:c r="S64" s="11" t="str">
        <x:f>IF(OR(T64="",SUMIF('Backlog'!$B$6:$B$25,"S5",'Backlog'!$E$6:$E$25)=0,Burndown!$B$9="",Burndown!$C$9="",Burndown!$C$9&lt;=Burndown!$B$9),"",MAX(0,SUMIF('Backlog'!$B$6:$B$25,"S5",'Backlog'!$E$6:$E$25)*(Burndown!$C$9-T64)/(Burndown!$C$9-Burndown!$B$9)))</x:f>
      </x:c>
      <x:c r="T64" s="10" t="str">
        <x:f>IF(OR('Work Log'!$E$67&lt;&gt;"S5",'Work Log'!$A$67=""),"",'Work Log'!$A$67)</x:f>
      </x:c>
    </x:row>
    <x:row r="65">
      <x:c r="A65" t="str">
        <x:f>IF(D65="","",TEXT(D65,"mm/dd/yy"))</x:f>
      </x:c>
      <x:c r="B65" s="11" t="str">
        <x:f>IF(OR(D65="",SUMIF('Backlog'!$B$6:$B$25,"S1",'Backlog'!$E$6:$E$25)=0,Burndown!$B$5="",Burndown!$C$5=""),"",MAX(0,SUMIF('Backlog'!$B$6:$B$25,"S1",'Backlog'!$E$6:$E$25)-SUMIFS('Work Log'!$D$6:$D$205,'Work Log'!$E$6:$E$205,"S1",'Work Log'!$A$6:$A$205,"&lt;="&amp;D65)))</x:f>
      </x:c>
      <x:c r="C65" s="11" t="str">
        <x:f>IF(OR(D65="",SUMIF('Backlog'!$B$6:$B$25,"S1",'Backlog'!$E$6:$E$25)=0,Burndown!$B$5="",Burndown!$C$5="",Burndown!$C$5&lt;=Burndown!$B$5),"",MAX(0,SUMIF('Backlog'!$B$6:$B$25,"S1",'Backlog'!$E$6:$E$25)*(Burndown!$C$5-D65)/(Burndown!$C$5-Burndown!$B$5)))</x:f>
      </x:c>
      <x:c r="D65" s="10" t="str">
        <x:f>IF(OR('Work Log'!$E$68&lt;&gt;"S1",'Work Log'!$A$68=""),"",'Work Log'!$A$68)</x:f>
      </x:c>
      <x:c r="E65" t="str">
        <x:f>IF(H65="","",TEXT(H65,"mm/dd/yy"))</x:f>
      </x:c>
      <x:c r="F65" s="11" t="str">
        <x:f>IF(OR(H65="",SUMIF('Backlog'!$B$6:$B$25,"S2",'Backlog'!$E$6:$E$25)=0,Burndown!$B$6="",Burndown!$C$6=""),"",MAX(0,SUMIF('Backlog'!$B$6:$B$25,"S2",'Backlog'!$E$6:$E$25)-SUMIFS('Work Log'!$D$6:$D$205,'Work Log'!$E$6:$E$205,"S2",'Work Log'!$A$6:$A$205,"&lt;="&amp;H65)))</x:f>
      </x:c>
      <x:c r="G65" s="11" t="str">
        <x:f>IF(OR(H65="",SUMIF('Backlog'!$B$6:$B$25,"S2",'Backlog'!$E$6:$E$25)=0,Burndown!$B$6="",Burndown!$C$6="",Burndown!$C$6&lt;=Burndown!$B$6),"",MAX(0,SUMIF('Backlog'!$B$6:$B$25,"S2",'Backlog'!$E$6:$E$25)*(Burndown!$C$6-H65)/(Burndown!$C$6-Burndown!$B$6)))</x:f>
      </x:c>
      <x:c r="H65" s="10" t="str">
        <x:f>IF(OR('Work Log'!$E$68&lt;&gt;"S2",'Work Log'!$A$68=""),"",'Work Log'!$A$68)</x:f>
      </x:c>
      <x:c r="I65" t="str">
        <x:f>IF(L65="","",TEXT(L65,"mm/dd/yy"))</x:f>
      </x:c>
      <x:c r="J65" s="11" t="str">
        <x:f>IF(OR(L65="",SUMIF('Backlog'!$B$6:$B$25,"S3",'Backlog'!$E$6:$E$25)=0,Burndown!$B$7="",Burndown!$C$7=""),"",MAX(0,SUMIF('Backlog'!$B$6:$B$25,"S3",'Backlog'!$E$6:$E$25)-SUMIFS('Work Log'!$D$6:$D$205,'Work Log'!$E$6:$E$205,"S3",'Work Log'!$A$6:$A$205,"&lt;="&amp;L65)))</x:f>
      </x:c>
      <x:c r="K65" s="11" t="str">
        <x:f>IF(OR(L65="",SUMIF('Backlog'!$B$6:$B$25,"S3",'Backlog'!$E$6:$E$25)=0,Burndown!$B$7="",Burndown!$C$7="",Burndown!$C$7&lt;=Burndown!$B$7),"",MAX(0,SUMIF('Backlog'!$B$6:$B$25,"S3",'Backlog'!$E$6:$E$25)*(Burndown!$C$7-L65)/(Burndown!$C$7-Burndown!$B$7)))</x:f>
      </x:c>
      <x:c r="L65" s="10" t="str">
        <x:f>IF(OR('Work Log'!$E$68&lt;&gt;"S3",'Work Log'!$A$68=""),"",'Work Log'!$A$68)</x:f>
      </x:c>
      <x:c r="M65" t="str">
        <x:f>IF(P65="","",TEXT(P65,"mm/dd/yy"))</x:f>
      </x:c>
      <x:c r="N65" s="11" t="str">
        <x:f>IF(OR(P65="",SUMIF('Backlog'!$B$6:$B$25,"S4",'Backlog'!$E$6:$E$25)=0,Burndown!$B$8="",Burndown!$C$8=""),"",MAX(0,SUMIF('Backlog'!$B$6:$B$25,"S4",'Backlog'!$E$6:$E$25)-SUMIFS('Work Log'!$D$6:$D$205,'Work Log'!$E$6:$E$205,"S4",'Work Log'!$A$6:$A$205,"&lt;="&amp;P65)))</x:f>
      </x:c>
      <x:c r="O65" s="11" t="str">
        <x:f>IF(OR(P65="",SUMIF('Backlog'!$B$6:$B$25,"S4",'Backlog'!$E$6:$E$25)=0,Burndown!$B$8="",Burndown!$C$8="",Burndown!$C$8&lt;=Burndown!$B$8),"",MAX(0,SUMIF('Backlog'!$B$6:$B$25,"S4",'Backlog'!$E$6:$E$25)*(Burndown!$C$8-P65)/(Burndown!$C$8-Burndown!$B$8)))</x:f>
      </x:c>
      <x:c r="P65" s="10" t="str">
        <x:f>IF(OR('Work Log'!$E$68&lt;&gt;"S4",'Work Log'!$A$68=""),"",'Work Log'!$A$68)</x:f>
      </x:c>
      <x:c r="Q65" t="str">
        <x:f>IF(T65="","",TEXT(T65,"mm/dd/yy"))</x:f>
      </x:c>
      <x:c r="R65" s="11" t="str">
        <x:f>IF(OR(T65="",SUMIF('Backlog'!$B$6:$B$25,"S5",'Backlog'!$E$6:$E$25)=0,Burndown!$B$9="",Burndown!$C$9=""),"",MAX(0,SUMIF('Backlog'!$B$6:$B$25,"S5",'Backlog'!$E$6:$E$25)-SUMIFS('Work Log'!$D$6:$D$205,'Work Log'!$E$6:$E$205,"S5",'Work Log'!$A$6:$A$205,"&lt;="&amp;T65)))</x:f>
      </x:c>
      <x:c r="S65" s="11" t="str">
        <x:f>IF(OR(T65="",SUMIF('Backlog'!$B$6:$B$25,"S5",'Backlog'!$E$6:$E$25)=0,Burndown!$B$9="",Burndown!$C$9="",Burndown!$C$9&lt;=Burndown!$B$9),"",MAX(0,SUMIF('Backlog'!$B$6:$B$25,"S5",'Backlog'!$E$6:$E$25)*(Burndown!$C$9-T65)/(Burndown!$C$9-Burndown!$B$9)))</x:f>
      </x:c>
      <x:c r="T65" s="10" t="str">
        <x:f>IF(OR('Work Log'!$E$68&lt;&gt;"S5",'Work Log'!$A$68=""),"",'Work Log'!$A$68)</x:f>
      </x:c>
    </x:row>
    <x:row r="66">
      <x:c r="A66" t="str">
        <x:f>IF(D66="","",TEXT(D66,"mm/dd/yy"))</x:f>
      </x:c>
      <x:c r="B66" s="11" t="str">
        <x:f>IF(OR(D66="",SUMIF('Backlog'!$B$6:$B$25,"S1",'Backlog'!$E$6:$E$25)=0,Burndown!$B$5="",Burndown!$C$5=""),"",MAX(0,SUMIF('Backlog'!$B$6:$B$25,"S1",'Backlog'!$E$6:$E$25)-SUMIFS('Work Log'!$D$6:$D$205,'Work Log'!$E$6:$E$205,"S1",'Work Log'!$A$6:$A$205,"&lt;="&amp;D66)))</x:f>
      </x:c>
      <x:c r="C66" s="11" t="str">
        <x:f>IF(OR(D66="",SUMIF('Backlog'!$B$6:$B$25,"S1",'Backlog'!$E$6:$E$25)=0,Burndown!$B$5="",Burndown!$C$5="",Burndown!$C$5&lt;=Burndown!$B$5),"",MAX(0,SUMIF('Backlog'!$B$6:$B$25,"S1",'Backlog'!$E$6:$E$25)*(Burndown!$C$5-D66)/(Burndown!$C$5-Burndown!$B$5)))</x:f>
      </x:c>
      <x:c r="D66" s="10" t="str">
        <x:f>IF(OR('Work Log'!$E$69&lt;&gt;"S1",'Work Log'!$A$69=""),"",'Work Log'!$A$69)</x:f>
      </x:c>
      <x:c r="E66" t="str">
        <x:f>IF(H66="","",TEXT(H66,"mm/dd/yy"))</x:f>
      </x:c>
      <x:c r="F66" s="11" t="str">
        <x:f>IF(OR(H66="",SUMIF('Backlog'!$B$6:$B$25,"S2",'Backlog'!$E$6:$E$25)=0,Burndown!$B$6="",Burndown!$C$6=""),"",MAX(0,SUMIF('Backlog'!$B$6:$B$25,"S2",'Backlog'!$E$6:$E$25)-SUMIFS('Work Log'!$D$6:$D$205,'Work Log'!$E$6:$E$205,"S2",'Work Log'!$A$6:$A$205,"&lt;="&amp;H66)))</x:f>
      </x:c>
      <x:c r="G66" s="11" t="str">
        <x:f>IF(OR(H66="",SUMIF('Backlog'!$B$6:$B$25,"S2",'Backlog'!$E$6:$E$25)=0,Burndown!$B$6="",Burndown!$C$6="",Burndown!$C$6&lt;=Burndown!$B$6),"",MAX(0,SUMIF('Backlog'!$B$6:$B$25,"S2",'Backlog'!$E$6:$E$25)*(Burndown!$C$6-H66)/(Burndown!$C$6-Burndown!$B$6)))</x:f>
      </x:c>
      <x:c r="H66" s="10" t="str">
        <x:f>IF(OR('Work Log'!$E$69&lt;&gt;"S2",'Work Log'!$A$69=""),"",'Work Log'!$A$69)</x:f>
      </x:c>
      <x:c r="I66" t="str">
        <x:f>IF(L66="","",TEXT(L66,"mm/dd/yy"))</x:f>
      </x:c>
      <x:c r="J66" s="11" t="str">
        <x:f>IF(OR(L66="",SUMIF('Backlog'!$B$6:$B$25,"S3",'Backlog'!$E$6:$E$25)=0,Burndown!$B$7="",Burndown!$C$7=""),"",MAX(0,SUMIF('Backlog'!$B$6:$B$25,"S3",'Backlog'!$E$6:$E$25)-SUMIFS('Work Log'!$D$6:$D$205,'Work Log'!$E$6:$E$205,"S3",'Work Log'!$A$6:$A$205,"&lt;="&amp;L66)))</x:f>
      </x:c>
      <x:c r="K66" s="11" t="str">
        <x:f>IF(OR(L66="",SUMIF('Backlog'!$B$6:$B$25,"S3",'Backlog'!$E$6:$E$25)=0,Burndown!$B$7="",Burndown!$C$7="",Burndown!$C$7&lt;=Burndown!$B$7),"",MAX(0,SUMIF('Backlog'!$B$6:$B$25,"S3",'Backlog'!$E$6:$E$25)*(Burndown!$C$7-L66)/(Burndown!$C$7-Burndown!$B$7)))</x:f>
      </x:c>
      <x:c r="L66" s="10" t="str">
        <x:f>IF(OR('Work Log'!$E$69&lt;&gt;"S3",'Work Log'!$A$69=""),"",'Work Log'!$A$69)</x:f>
      </x:c>
      <x:c r="M66" t="str">
        <x:f>IF(P66="","",TEXT(P66,"mm/dd/yy"))</x:f>
      </x:c>
      <x:c r="N66" s="11" t="str">
        <x:f>IF(OR(P66="",SUMIF('Backlog'!$B$6:$B$25,"S4",'Backlog'!$E$6:$E$25)=0,Burndown!$B$8="",Burndown!$C$8=""),"",MAX(0,SUMIF('Backlog'!$B$6:$B$25,"S4",'Backlog'!$E$6:$E$25)-SUMIFS('Work Log'!$D$6:$D$205,'Work Log'!$E$6:$E$205,"S4",'Work Log'!$A$6:$A$205,"&lt;="&amp;P66)))</x:f>
      </x:c>
      <x:c r="O66" s="11" t="str">
        <x:f>IF(OR(P66="",SUMIF('Backlog'!$B$6:$B$25,"S4",'Backlog'!$E$6:$E$25)=0,Burndown!$B$8="",Burndown!$C$8="",Burndown!$C$8&lt;=Burndown!$B$8),"",MAX(0,SUMIF('Backlog'!$B$6:$B$25,"S4",'Backlog'!$E$6:$E$25)*(Burndown!$C$8-P66)/(Burndown!$C$8-Burndown!$B$8)))</x:f>
      </x:c>
      <x:c r="P66" s="10" t="str">
        <x:f>IF(OR('Work Log'!$E$69&lt;&gt;"S4",'Work Log'!$A$69=""),"",'Work Log'!$A$69)</x:f>
      </x:c>
      <x:c r="Q66" t="str">
        <x:f>IF(T66="","",TEXT(T66,"mm/dd/yy"))</x:f>
      </x:c>
      <x:c r="R66" s="11" t="str">
        <x:f>IF(OR(T66="",SUMIF('Backlog'!$B$6:$B$25,"S5",'Backlog'!$E$6:$E$25)=0,Burndown!$B$9="",Burndown!$C$9=""),"",MAX(0,SUMIF('Backlog'!$B$6:$B$25,"S5",'Backlog'!$E$6:$E$25)-SUMIFS('Work Log'!$D$6:$D$205,'Work Log'!$E$6:$E$205,"S5",'Work Log'!$A$6:$A$205,"&lt;="&amp;T66)))</x:f>
      </x:c>
      <x:c r="S66" s="11" t="str">
        <x:f>IF(OR(T66="",SUMIF('Backlog'!$B$6:$B$25,"S5",'Backlog'!$E$6:$E$25)=0,Burndown!$B$9="",Burndown!$C$9="",Burndown!$C$9&lt;=Burndown!$B$9),"",MAX(0,SUMIF('Backlog'!$B$6:$B$25,"S5",'Backlog'!$E$6:$E$25)*(Burndown!$C$9-T66)/(Burndown!$C$9-Burndown!$B$9)))</x:f>
      </x:c>
      <x:c r="T66" s="10" t="str">
        <x:f>IF(OR('Work Log'!$E$69&lt;&gt;"S5",'Work Log'!$A$69=""),"",'Work Log'!$A$69)</x:f>
      </x:c>
    </x:row>
    <x:row r="67">
      <x:c r="A67" t="str">
        <x:f>IF(D67="","",TEXT(D67,"mm/dd/yy"))</x:f>
      </x:c>
      <x:c r="B67" s="11" t="str">
        <x:f>IF(OR(D67="",SUMIF('Backlog'!$B$6:$B$25,"S1",'Backlog'!$E$6:$E$25)=0,Burndown!$B$5="",Burndown!$C$5=""),"",MAX(0,SUMIF('Backlog'!$B$6:$B$25,"S1",'Backlog'!$E$6:$E$25)-SUMIFS('Work Log'!$D$6:$D$205,'Work Log'!$E$6:$E$205,"S1",'Work Log'!$A$6:$A$205,"&lt;="&amp;D67)))</x:f>
      </x:c>
      <x:c r="C67" s="11" t="str">
        <x:f>IF(OR(D67="",SUMIF('Backlog'!$B$6:$B$25,"S1",'Backlog'!$E$6:$E$25)=0,Burndown!$B$5="",Burndown!$C$5="",Burndown!$C$5&lt;=Burndown!$B$5),"",MAX(0,SUMIF('Backlog'!$B$6:$B$25,"S1",'Backlog'!$E$6:$E$25)*(Burndown!$C$5-D67)/(Burndown!$C$5-Burndown!$B$5)))</x:f>
      </x:c>
      <x:c r="D67" s="10" t="str">
        <x:f>IF(OR('Work Log'!$E$70&lt;&gt;"S1",'Work Log'!$A$70=""),"",'Work Log'!$A$70)</x:f>
      </x:c>
      <x:c r="E67" t="str">
        <x:f>IF(H67="","",TEXT(H67,"mm/dd/yy"))</x:f>
      </x:c>
      <x:c r="F67" s="11" t="str">
        <x:f>IF(OR(H67="",SUMIF('Backlog'!$B$6:$B$25,"S2",'Backlog'!$E$6:$E$25)=0,Burndown!$B$6="",Burndown!$C$6=""),"",MAX(0,SUMIF('Backlog'!$B$6:$B$25,"S2",'Backlog'!$E$6:$E$25)-SUMIFS('Work Log'!$D$6:$D$205,'Work Log'!$E$6:$E$205,"S2",'Work Log'!$A$6:$A$205,"&lt;="&amp;H67)))</x:f>
      </x:c>
      <x:c r="G67" s="11" t="str">
        <x:f>IF(OR(H67="",SUMIF('Backlog'!$B$6:$B$25,"S2",'Backlog'!$E$6:$E$25)=0,Burndown!$B$6="",Burndown!$C$6="",Burndown!$C$6&lt;=Burndown!$B$6),"",MAX(0,SUMIF('Backlog'!$B$6:$B$25,"S2",'Backlog'!$E$6:$E$25)*(Burndown!$C$6-H67)/(Burndown!$C$6-Burndown!$B$6)))</x:f>
      </x:c>
      <x:c r="H67" s="10" t="str">
        <x:f>IF(OR('Work Log'!$E$70&lt;&gt;"S2",'Work Log'!$A$70=""),"",'Work Log'!$A$70)</x:f>
      </x:c>
      <x:c r="I67" t="str">
        <x:f>IF(L67="","",TEXT(L67,"mm/dd/yy"))</x:f>
      </x:c>
      <x:c r="J67" s="11" t="str">
        <x:f>IF(OR(L67="",SUMIF('Backlog'!$B$6:$B$25,"S3",'Backlog'!$E$6:$E$25)=0,Burndown!$B$7="",Burndown!$C$7=""),"",MAX(0,SUMIF('Backlog'!$B$6:$B$25,"S3",'Backlog'!$E$6:$E$25)-SUMIFS('Work Log'!$D$6:$D$205,'Work Log'!$E$6:$E$205,"S3",'Work Log'!$A$6:$A$205,"&lt;="&amp;L67)))</x:f>
      </x:c>
      <x:c r="K67" s="11" t="str">
        <x:f>IF(OR(L67="",SUMIF('Backlog'!$B$6:$B$25,"S3",'Backlog'!$E$6:$E$25)=0,Burndown!$B$7="",Burndown!$C$7="",Burndown!$C$7&lt;=Burndown!$B$7),"",MAX(0,SUMIF('Backlog'!$B$6:$B$25,"S3",'Backlog'!$E$6:$E$25)*(Burndown!$C$7-L67)/(Burndown!$C$7-Burndown!$B$7)))</x:f>
      </x:c>
      <x:c r="L67" s="10" t="str">
        <x:f>IF(OR('Work Log'!$E$70&lt;&gt;"S3",'Work Log'!$A$70=""),"",'Work Log'!$A$70)</x:f>
      </x:c>
      <x:c r="M67" t="str">
        <x:f>IF(P67="","",TEXT(P67,"mm/dd/yy"))</x:f>
      </x:c>
      <x:c r="N67" s="11" t="str">
        <x:f>IF(OR(P67="",SUMIF('Backlog'!$B$6:$B$25,"S4",'Backlog'!$E$6:$E$25)=0,Burndown!$B$8="",Burndown!$C$8=""),"",MAX(0,SUMIF('Backlog'!$B$6:$B$25,"S4",'Backlog'!$E$6:$E$25)-SUMIFS('Work Log'!$D$6:$D$205,'Work Log'!$E$6:$E$205,"S4",'Work Log'!$A$6:$A$205,"&lt;="&amp;P67)))</x:f>
      </x:c>
      <x:c r="O67" s="11" t="str">
        <x:f>IF(OR(P67="",SUMIF('Backlog'!$B$6:$B$25,"S4",'Backlog'!$E$6:$E$25)=0,Burndown!$B$8="",Burndown!$C$8="",Burndown!$C$8&lt;=Burndown!$B$8),"",MAX(0,SUMIF('Backlog'!$B$6:$B$25,"S4",'Backlog'!$E$6:$E$25)*(Burndown!$C$8-P67)/(Burndown!$C$8-Burndown!$B$8)))</x:f>
      </x:c>
      <x:c r="P67" s="10" t="str">
        <x:f>IF(OR('Work Log'!$E$70&lt;&gt;"S4",'Work Log'!$A$70=""),"",'Work Log'!$A$70)</x:f>
      </x:c>
      <x:c r="Q67" t="str">
        <x:f>IF(T67="","",TEXT(T67,"mm/dd/yy"))</x:f>
      </x:c>
      <x:c r="R67" s="11" t="str">
        <x:f>IF(OR(T67="",SUMIF('Backlog'!$B$6:$B$25,"S5",'Backlog'!$E$6:$E$25)=0,Burndown!$B$9="",Burndown!$C$9=""),"",MAX(0,SUMIF('Backlog'!$B$6:$B$25,"S5",'Backlog'!$E$6:$E$25)-SUMIFS('Work Log'!$D$6:$D$205,'Work Log'!$E$6:$E$205,"S5",'Work Log'!$A$6:$A$205,"&lt;="&amp;T67)))</x:f>
      </x:c>
      <x:c r="S67" s="11" t="str">
        <x:f>IF(OR(T67="",SUMIF('Backlog'!$B$6:$B$25,"S5",'Backlog'!$E$6:$E$25)=0,Burndown!$B$9="",Burndown!$C$9="",Burndown!$C$9&lt;=Burndown!$B$9),"",MAX(0,SUMIF('Backlog'!$B$6:$B$25,"S5",'Backlog'!$E$6:$E$25)*(Burndown!$C$9-T67)/(Burndown!$C$9-Burndown!$B$9)))</x:f>
      </x:c>
      <x:c r="T67" s="10" t="str">
        <x:f>IF(OR('Work Log'!$E$70&lt;&gt;"S5",'Work Log'!$A$70=""),"",'Work Log'!$A$70)</x:f>
      </x:c>
    </x:row>
    <x:row r="68">
      <x:c r="A68" t="str">
        <x:f>IF(D68="","",TEXT(D68,"mm/dd/yy"))</x:f>
      </x:c>
      <x:c r="B68" s="11" t="str">
        <x:f>IF(OR(D68="",SUMIF('Backlog'!$B$6:$B$25,"S1",'Backlog'!$E$6:$E$25)=0,Burndown!$B$5="",Burndown!$C$5=""),"",MAX(0,SUMIF('Backlog'!$B$6:$B$25,"S1",'Backlog'!$E$6:$E$25)-SUMIFS('Work Log'!$D$6:$D$205,'Work Log'!$E$6:$E$205,"S1",'Work Log'!$A$6:$A$205,"&lt;="&amp;D68)))</x:f>
      </x:c>
      <x:c r="C68" s="11" t="str">
        <x:f>IF(OR(D68="",SUMIF('Backlog'!$B$6:$B$25,"S1",'Backlog'!$E$6:$E$25)=0,Burndown!$B$5="",Burndown!$C$5="",Burndown!$C$5&lt;=Burndown!$B$5),"",MAX(0,SUMIF('Backlog'!$B$6:$B$25,"S1",'Backlog'!$E$6:$E$25)*(Burndown!$C$5-D68)/(Burndown!$C$5-Burndown!$B$5)))</x:f>
      </x:c>
      <x:c r="D68" s="10" t="str">
        <x:f>IF(OR('Work Log'!$E$71&lt;&gt;"S1",'Work Log'!$A$71=""),"",'Work Log'!$A$71)</x:f>
      </x:c>
      <x:c r="E68" t="str">
        <x:f>IF(H68="","",TEXT(H68,"mm/dd/yy"))</x:f>
      </x:c>
      <x:c r="F68" s="11" t="str">
        <x:f>IF(OR(H68="",SUMIF('Backlog'!$B$6:$B$25,"S2",'Backlog'!$E$6:$E$25)=0,Burndown!$B$6="",Burndown!$C$6=""),"",MAX(0,SUMIF('Backlog'!$B$6:$B$25,"S2",'Backlog'!$E$6:$E$25)-SUMIFS('Work Log'!$D$6:$D$205,'Work Log'!$E$6:$E$205,"S2",'Work Log'!$A$6:$A$205,"&lt;="&amp;H68)))</x:f>
      </x:c>
      <x:c r="G68" s="11" t="str">
        <x:f>IF(OR(H68="",SUMIF('Backlog'!$B$6:$B$25,"S2",'Backlog'!$E$6:$E$25)=0,Burndown!$B$6="",Burndown!$C$6="",Burndown!$C$6&lt;=Burndown!$B$6),"",MAX(0,SUMIF('Backlog'!$B$6:$B$25,"S2",'Backlog'!$E$6:$E$25)*(Burndown!$C$6-H68)/(Burndown!$C$6-Burndown!$B$6)))</x:f>
      </x:c>
      <x:c r="H68" s="10" t="str">
        <x:f>IF(OR('Work Log'!$E$71&lt;&gt;"S2",'Work Log'!$A$71=""),"",'Work Log'!$A$71)</x:f>
      </x:c>
      <x:c r="I68" t="str">
        <x:f>IF(L68="","",TEXT(L68,"mm/dd/yy"))</x:f>
      </x:c>
      <x:c r="J68" s="11" t="str">
        <x:f>IF(OR(L68="",SUMIF('Backlog'!$B$6:$B$25,"S3",'Backlog'!$E$6:$E$25)=0,Burndown!$B$7="",Burndown!$C$7=""),"",MAX(0,SUMIF('Backlog'!$B$6:$B$25,"S3",'Backlog'!$E$6:$E$25)-SUMIFS('Work Log'!$D$6:$D$205,'Work Log'!$E$6:$E$205,"S3",'Work Log'!$A$6:$A$205,"&lt;="&amp;L68)))</x:f>
      </x:c>
      <x:c r="K68" s="11" t="str">
        <x:f>IF(OR(L68="",SUMIF('Backlog'!$B$6:$B$25,"S3",'Backlog'!$E$6:$E$25)=0,Burndown!$B$7="",Burndown!$C$7="",Burndown!$C$7&lt;=Burndown!$B$7),"",MAX(0,SUMIF('Backlog'!$B$6:$B$25,"S3",'Backlog'!$E$6:$E$25)*(Burndown!$C$7-L68)/(Burndown!$C$7-Burndown!$B$7)))</x:f>
      </x:c>
      <x:c r="L68" s="10" t="str">
        <x:f>IF(OR('Work Log'!$E$71&lt;&gt;"S3",'Work Log'!$A$71=""),"",'Work Log'!$A$71)</x:f>
      </x:c>
      <x:c r="M68" t="str">
        <x:f>IF(P68="","",TEXT(P68,"mm/dd/yy"))</x:f>
      </x:c>
      <x:c r="N68" s="11" t="str">
        <x:f>IF(OR(P68="",SUMIF('Backlog'!$B$6:$B$25,"S4",'Backlog'!$E$6:$E$25)=0,Burndown!$B$8="",Burndown!$C$8=""),"",MAX(0,SUMIF('Backlog'!$B$6:$B$25,"S4",'Backlog'!$E$6:$E$25)-SUMIFS('Work Log'!$D$6:$D$205,'Work Log'!$E$6:$E$205,"S4",'Work Log'!$A$6:$A$205,"&lt;="&amp;P68)))</x:f>
      </x:c>
      <x:c r="O68" s="11" t="str">
        <x:f>IF(OR(P68="",SUMIF('Backlog'!$B$6:$B$25,"S4",'Backlog'!$E$6:$E$25)=0,Burndown!$B$8="",Burndown!$C$8="",Burndown!$C$8&lt;=Burndown!$B$8),"",MAX(0,SUMIF('Backlog'!$B$6:$B$25,"S4",'Backlog'!$E$6:$E$25)*(Burndown!$C$8-P68)/(Burndown!$C$8-Burndown!$B$8)))</x:f>
      </x:c>
      <x:c r="P68" s="10" t="str">
        <x:f>IF(OR('Work Log'!$E$71&lt;&gt;"S4",'Work Log'!$A$71=""),"",'Work Log'!$A$71)</x:f>
      </x:c>
      <x:c r="Q68" t="str">
        <x:f>IF(T68="","",TEXT(T68,"mm/dd/yy"))</x:f>
      </x:c>
      <x:c r="R68" s="11" t="str">
        <x:f>IF(OR(T68="",SUMIF('Backlog'!$B$6:$B$25,"S5",'Backlog'!$E$6:$E$25)=0,Burndown!$B$9="",Burndown!$C$9=""),"",MAX(0,SUMIF('Backlog'!$B$6:$B$25,"S5",'Backlog'!$E$6:$E$25)-SUMIFS('Work Log'!$D$6:$D$205,'Work Log'!$E$6:$E$205,"S5",'Work Log'!$A$6:$A$205,"&lt;="&amp;T68)))</x:f>
      </x:c>
      <x:c r="S68" s="11" t="str">
        <x:f>IF(OR(T68="",SUMIF('Backlog'!$B$6:$B$25,"S5",'Backlog'!$E$6:$E$25)=0,Burndown!$B$9="",Burndown!$C$9="",Burndown!$C$9&lt;=Burndown!$B$9),"",MAX(0,SUMIF('Backlog'!$B$6:$B$25,"S5",'Backlog'!$E$6:$E$25)*(Burndown!$C$9-T68)/(Burndown!$C$9-Burndown!$B$9)))</x:f>
      </x:c>
      <x:c r="T68" s="10" t="str">
        <x:f>IF(OR('Work Log'!$E$71&lt;&gt;"S5",'Work Log'!$A$71=""),"",'Work Log'!$A$71)</x:f>
      </x:c>
    </x:row>
    <x:row r="69">
      <x:c r="A69" t="str">
        <x:f>IF(D69="","",TEXT(D69,"mm/dd/yy"))</x:f>
      </x:c>
      <x:c r="B69" s="11" t="str">
        <x:f>IF(OR(D69="",SUMIF('Backlog'!$B$6:$B$25,"S1",'Backlog'!$E$6:$E$25)=0,Burndown!$B$5="",Burndown!$C$5=""),"",MAX(0,SUMIF('Backlog'!$B$6:$B$25,"S1",'Backlog'!$E$6:$E$25)-SUMIFS('Work Log'!$D$6:$D$205,'Work Log'!$E$6:$E$205,"S1",'Work Log'!$A$6:$A$205,"&lt;="&amp;D69)))</x:f>
      </x:c>
      <x:c r="C69" s="11" t="str">
        <x:f>IF(OR(D69="",SUMIF('Backlog'!$B$6:$B$25,"S1",'Backlog'!$E$6:$E$25)=0,Burndown!$B$5="",Burndown!$C$5="",Burndown!$C$5&lt;=Burndown!$B$5),"",MAX(0,SUMIF('Backlog'!$B$6:$B$25,"S1",'Backlog'!$E$6:$E$25)*(Burndown!$C$5-D69)/(Burndown!$C$5-Burndown!$B$5)))</x:f>
      </x:c>
      <x:c r="D69" s="10" t="str">
        <x:f>IF(OR('Work Log'!$E$72&lt;&gt;"S1",'Work Log'!$A$72=""),"",'Work Log'!$A$72)</x:f>
      </x:c>
      <x:c r="E69" t="str">
        <x:f>IF(H69="","",TEXT(H69,"mm/dd/yy"))</x:f>
      </x:c>
      <x:c r="F69" s="11" t="str">
        <x:f>IF(OR(H69="",SUMIF('Backlog'!$B$6:$B$25,"S2",'Backlog'!$E$6:$E$25)=0,Burndown!$B$6="",Burndown!$C$6=""),"",MAX(0,SUMIF('Backlog'!$B$6:$B$25,"S2",'Backlog'!$E$6:$E$25)-SUMIFS('Work Log'!$D$6:$D$205,'Work Log'!$E$6:$E$205,"S2",'Work Log'!$A$6:$A$205,"&lt;="&amp;H69)))</x:f>
      </x:c>
      <x:c r="G69" s="11" t="str">
        <x:f>IF(OR(H69="",SUMIF('Backlog'!$B$6:$B$25,"S2",'Backlog'!$E$6:$E$25)=0,Burndown!$B$6="",Burndown!$C$6="",Burndown!$C$6&lt;=Burndown!$B$6),"",MAX(0,SUMIF('Backlog'!$B$6:$B$25,"S2",'Backlog'!$E$6:$E$25)*(Burndown!$C$6-H69)/(Burndown!$C$6-Burndown!$B$6)))</x:f>
      </x:c>
      <x:c r="H69" s="10" t="str">
        <x:f>IF(OR('Work Log'!$E$72&lt;&gt;"S2",'Work Log'!$A$72=""),"",'Work Log'!$A$72)</x:f>
      </x:c>
      <x:c r="I69" t="str">
        <x:f>IF(L69="","",TEXT(L69,"mm/dd/yy"))</x:f>
      </x:c>
      <x:c r="J69" s="11" t="str">
        <x:f>IF(OR(L69="",SUMIF('Backlog'!$B$6:$B$25,"S3",'Backlog'!$E$6:$E$25)=0,Burndown!$B$7="",Burndown!$C$7=""),"",MAX(0,SUMIF('Backlog'!$B$6:$B$25,"S3",'Backlog'!$E$6:$E$25)-SUMIFS('Work Log'!$D$6:$D$205,'Work Log'!$E$6:$E$205,"S3",'Work Log'!$A$6:$A$205,"&lt;="&amp;L69)))</x:f>
      </x:c>
      <x:c r="K69" s="11" t="str">
        <x:f>IF(OR(L69="",SUMIF('Backlog'!$B$6:$B$25,"S3",'Backlog'!$E$6:$E$25)=0,Burndown!$B$7="",Burndown!$C$7="",Burndown!$C$7&lt;=Burndown!$B$7),"",MAX(0,SUMIF('Backlog'!$B$6:$B$25,"S3",'Backlog'!$E$6:$E$25)*(Burndown!$C$7-L69)/(Burndown!$C$7-Burndown!$B$7)))</x:f>
      </x:c>
      <x:c r="L69" s="10" t="str">
        <x:f>IF(OR('Work Log'!$E$72&lt;&gt;"S3",'Work Log'!$A$72=""),"",'Work Log'!$A$72)</x:f>
      </x:c>
      <x:c r="M69" t="str">
        <x:f>IF(P69="","",TEXT(P69,"mm/dd/yy"))</x:f>
      </x:c>
      <x:c r="N69" s="11" t="str">
        <x:f>IF(OR(P69="",SUMIF('Backlog'!$B$6:$B$25,"S4",'Backlog'!$E$6:$E$25)=0,Burndown!$B$8="",Burndown!$C$8=""),"",MAX(0,SUMIF('Backlog'!$B$6:$B$25,"S4",'Backlog'!$E$6:$E$25)-SUMIFS('Work Log'!$D$6:$D$205,'Work Log'!$E$6:$E$205,"S4",'Work Log'!$A$6:$A$205,"&lt;="&amp;P69)))</x:f>
      </x:c>
      <x:c r="O69" s="11" t="str">
        <x:f>IF(OR(P69="",SUMIF('Backlog'!$B$6:$B$25,"S4",'Backlog'!$E$6:$E$25)=0,Burndown!$B$8="",Burndown!$C$8="",Burndown!$C$8&lt;=Burndown!$B$8),"",MAX(0,SUMIF('Backlog'!$B$6:$B$25,"S4",'Backlog'!$E$6:$E$25)*(Burndown!$C$8-P69)/(Burndown!$C$8-Burndown!$B$8)))</x:f>
      </x:c>
      <x:c r="P69" s="10" t="str">
        <x:f>IF(OR('Work Log'!$E$72&lt;&gt;"S4",'Work Log'!$A$72=""),"",'Work Log'!$A$72)</x:f>
      </x:c>
      <x:c r="Q69" t="str">
        <x:f>IF(T69="","",TEXT(T69,"mm/dd/yy"))</x:f>
      </x:c>
      <x:c r="R69" s="11" t="str">
        <x:f>IF(OR(T69="",SUMIF('Backlog'!$B$6:$B$25,"S5",'Backlog'!$E$6:$E$25)=0,Burndown!$B$9="",Burndown!$C$9=""),"",MAX(0,SUMIF('Backlog'!$B$6:$B$25,"S5",'Backlog'!$E$6:$E$25)-SUMIFS('Work Log'!$D$6:$D$205,'Work Log'!$E$6:$E$205,"S5",'Work Log'!$A$6:$A$205,"&lt;="&amp;T69)))</x:f>
      </x:c>
      <x:c r="S69" s="11" t="str">
        <x:f>IF(OR(T69="",SUMIF('Backlog'!$B$6:$B$25,"S5",'Backlog'!$E$6:$E$25)=0,Burndown!$B$9="",Burndown!$C$9="",Burndown!$C$9&lt;=Burndown!$B$9),"",MAX(0,SUMIF('Backlog'!$B$6:$B$25,"S5",'Backlog'!$E$6:$E$25)*(Burndown!$C$9-T69)/(Burndown!$C$9-Burndown!$B$9)))</x:f>
      </x:c>
      <x:c r="T69" s="10" t="str">
        <x:f>IF(OR('Work Log'!$E$72&lt;&gt;"S5",'Work Log'!$A$72=""),"",'Work Log'!$A$72)</x:f>
      </x:c>
    </x:row>
    <x:row r="70">
      <x:c r="A70" t="str">
        <x:f>IF(D70="","",TEXT(D70,"mm/dd/yy"))</x:f>
      </x:c>
      <x:c r="B70" s="11" t="str">
        <x:f>IF(OR(D70="",SUMIF('Backlog'!$B$6:$B$25,"S1",'Backlog'!$E$6:$E$25)=0,Burndown!$B$5="",Burndown!$C$5=""),"",MAX(0,SUMIF('Backlog'!$B$6:$B$25,"S1",'Backlog'!$E$6:$E$25)-SUMIFS('Work Log'!$D$6:$D$205,'Work Log'!$E$6:$E$205,"S1",'Work Log'!$A$6:$A$205,"&lt;="&amp;D70)))</x:f>
      </x:c>
      <x:c r="C70" s="11" t="str">
        <x:f>IF(OR(D70="",SUMIF('Backlog'!$B$6:$B$25,"S1",'Backlog'!$E$6:$E$25)=0,Burndown!$B$5="",Burndown!$C$5="",Burndown!$C$5&lt;=Burndown!$B$5),"",MAX(0,SUMIF('Backlog'!$B$6:$B$25,"S1",'Backlog'!$E$6:$E$25)*(Burndown!$C$5-D70)/(Burndown!$C$5-Burndown!$B$5)))</x:f>
      </x:c>
      <x:c r="D70" s="10" t="str">
        <x:f>IF(OR('Work Log'!$E$73&lt;&gt;"S1",'Work Log'!$A$73=""),"",'Work Log'!$A$73)</x:f>
      </x:c>
      <x:c r="E70" t="str">
        <x:f>IF(H70="","",TEXT(H70,"mm/dd/yy"))</x:f>
      </x:c>
      <x:c r="F70" s="11" t="str">
        <x:f>IF(OR(H70="",SUMIF('Backlog'!$B$6:$B$25,"S2",'Backlog'!$E$6:$E$25)=0,Burndown!$B$6="",Burndown!$C$6=""),"",MAX(0,SUMIF('Backlog'!$B$6:$B$25,"S2",'Backlog'!$E$6:$E$25)-SUMIFS('Work Log'!$D$6:$D$205,'Work Log'!$E$6:$E$205,"S2",'Work Log'!$A$6:$A$205,"&lt;="&amp;H70)))</x:f>
      </x:c>
      <x:c r="G70" s="11" t="str">
        <x:f>IF(OR(H70="",SUMIF('Backlog'!$B$6:$B$25,"S2",'Backlog'!$E$6:$E$25)=0,Burndown!$B$6="",Burndown!$C$6="",Burndown!$C$6&lt;=Burndown!$B$6),"",MAX(0,SUMIF('Backlog'!$B$6:$B$25,"S2",'Backlog'!$E$6:$E$25)*(Burndown!$C$6-H70)/(Burndown!$C$6-Burndown!$B$6)))</x:f>
      </x:c>
      <x:c r="H70" s="10" t="str">
        <x:f>IF(OR('Work Log'!$E$73&lt;&gt;"S2",'Work Log'!$A$73=""),"",'Work Log'!$A$73)</x:f>
      </x:c>
      <x:c r="I70" t="str">
        <x:f>IF(L70="","",TEXT(L70,"mm/dd/yy"))</x:f>
      </x:c>
      <x:c r="J70" s="11" t="str">
        <x:f>IF(OR(L70="",SUMIF('Backlog'!$B$6:$B$25,"S3",'Backlog'!$E$6:$E$25)=0,Burndown!$B$7="",Burndown!$C$7=""),"",MAX(0,SUMIF('Backlog'!$B$6:$B$25,"S3",'Backlog'!$E$6:$E$25)-SUMIFS('Work Log'!$D$6:$D$205,'Work Log'!$E$6:$E$205,"S3",'Work Log'!$A$6:$A$205,"&lt;="&amp;L70)))</x:f>
      </x:c>
      <x:c r="K70" s="11" t="str">
        <x:f>IF(OR(L70="",SUMIF('Backlog'!$B$6:$B$25,"S3",'Backlog'!$E$6:$E$25)=0,Burndown!$B$7="",Burndown!$C$7="",Burndown!$C$7&lt;=Burndown!$B$7),"",MAX(0,SUMIF('Backlog'!$B$6:$B$25,"S3",'Backlog'!$E$6:$E$25)*(Burndown!$C$7-L70)/(Burndown!$C$7-Burndown!$B$7)))</x:f>
      </x:c>
      <x:c r="L70" s="10" t="str">
        <x:f>IF(OR('Work Log'!$E$73&lt;&gt;"S3",'Work Log'!$A$73=""),"",'Work Log'!$A$73)</x:f>
      </x:c>
      <x:c r="M70" t="str">
        <x:f>IF(P70="","",TEXT(P70,"mm/dd/yy"))</x:f>
      </x:c>
      <x:c r="N70" s="11" t="str">
        <x:f>IF(OR(P70="",SUMIF('Backlog'!$B$6:$B$25,"S4",'Backlog'!$E$6:$E$25)=0,Burndown!$B$8="",Burndown!$C$8=""),"",MAX(0,SUMIF('Backlog'!$B$6:$B$25,"S4",'Backlog'!$E$6:$E$25)-SUMIFS('Work Log'!$D$6:$D$205,'Work Log'!$E$6:$E$205,"S4",'Work Log'!$A$6:$A$205,"&lt;="&amp;P70)))</x:f>
      </x:c>
      <x:c r="O70" s="11" t="str">
        <x:f>IF(OR(P70="",SUMIF('Backlog'!$B$6:$B$25,"S4",'Backlog'!$E$6:$E$25)=0,Burndown!$B$8="",Burndown!$C$8="",Burndown!$C$8&lt;=Burndown!$B$8),"",MAX(0,SUMIF('Backlog'!$B$6:$B$25,"S4",'Backlog'!$E$6:$E$25)*(Burndown!$C$8-P70)/(Burndown!$C$8-Burndown!$B$8)))</x:f>
      </x:c>
      <x:c r="P70" s="10" t="str">
        <x:f>IF(OR('Work Log'!$E$73&lt;&gt;"S4",'Work Log'!$A$73=""),"",'Work Log'!$A$73)</x:f>
      </x:c>
      <x:c r="Q70" t="str">
        <x:f>IF(T70="","",TEXT(T70,"mm/dd/yy"))</x:f>
      </x:c>
      <x:c r="R70" s="11" t="str">
        <x:f>IF(OR(T70="",SUMIF('Backlog'!$B$6:$B$25,"S5",'Backlog'!$E$6:$E$25)=0,Burndown!$B$9="",Burndown!$C$9=""),"",MAX(0,SUMIF('Backlog'!$B$6:$B$25,"S5",'Backlog'!$E$6:$E$25)-SUMIFS('Work Log'!$D$6:$D$205,'Work Log'!$E$6:$E$205,"S5",'Work Log'!$A$6:$A$205,"&lt;="&amp;T70)))</x:f>
      </x:c>
      <x:c r="S70" s="11" t="str">
        <x:f>IF(OR(T70="",SUMIF('Backlog'!$B$6:$B$25,"S5",'Backlog'!$E$6:$E$25)=0,Burndown!$B$9="",Burndown!$C$9="",Burndown!$C$9&lt;=Burndown!$B$9),"",MAX(0,SUMIF('Backlog'!$B$6:$B$25,"S5",'Backlog'!$E$6:$E$25)*(Burndown!$C$9-T70)/(Burndown!$C$9-Burndown!$B$9)))</x:f>
      </x:c>
      <x:c r="T70" s="10" t="str">
        <x:f>IF(OR('Work Log'!$E$73&lt;&gt;"S5",'Work Log'!$A$73=""),"",'Work Log'!$A$73)</x:f>
      </x:c>
    </x:row>
    <x:row r="71">
      <x:c r="A71" t="str">
        <x:f>IF(D71="","",TEXT(D71,"mm/dd/yy"))</x:f>
      </x:c>
      <x:c r="B71" s="11" t="str">
        <x:f>IF(OR(D71="",SUMIF('Backlog'!$B$6:$B$25,"S1",'Backlog'!$E$6:$E$25)=0,Burndown!$B$5="",Burndown!$C$5=""),"",MAX(0,SUMIF('Backlog'!$B$6:$B$25,"S1",'Backlog'!$E$6:$E$25)-SUMIFS('Work Log'!$D$6:$D$205,'Work Log'!$E$6:$E$205,"S1",'Work Log'!$A$6:$A$205,"&lt;="&amp;D71)))</x:f>
      </x:c>
      <x:c r="C71" s="11" t="str">
        <x:f>IF(OR(D71="",SUMIF('Backlog'!$B$6:$B$25,"S1",'Backlog'!$E$6:$E$25)=0,Burndown!$B$5="",Burndown!$C$5="",Burndown!$C$5&lt;=Burndown!$B$5),"",MAX(0,SUMIF('Backlog'!$B$6:$B$25,"S1",'Backlog'!$E$6:$E$25)*(Burndown!$C$5-D71)/(Burndown!$C$5-Burndown!$B$5)))</x:f>
      </x:c>
      <x:c r="D71" s="10" t="str">
        <x:f>IF(OR('Work Log'!$E$74&lt;&gt;"S1",'Work Log'!$A$74=""),"",'Work Log'!$A$74)</x:f>
      </x:c>
      <x:c r="E71" t="str">
        <x:f>IF(H71="","",TEXT(H71,"mm/dd/yy"))</x:f>
      </x:c>
      <x:c r="F71" s="11" t="str">
        <x:f>IF(OR(H71="",SUMIF('Backlog'!$B$6:$B$25,"S2",'Backlog'!$E$6:$E$25)=0,Burndown!$B$6="",Burndown!$C$6=""),"",MAX(0,SUMIF('Backlog'!$B$6:$B$25,"S2",'Backlog'!$E$6:$E$25)-SUMIFS('Work Log'!$D$6:$D$205,'Work Log'!$E$6:$E$205,"S2",'Work Log'!$A$6:$A$205,"&lt;="&amp;H71)))</x:f>
      </x:c>
      <x:c r="G71" s="11" t="str">
        <x:f>IF(OR(H71="",SUMIF('Backlog'!$B$6:$B$25,"S2",'Backlog'!$E$6:$E$25)=0,Burndown!$B$6="",Burndown!$C$6="",Burndown!$C$6&lt;=Burndown!$B$6),"",MAX(0,SUMIF('Backlog'!$B$6:$B$25,"S2",'Backlog'!$E$6:$E$25)*(Burndown!$C$6-H71)/(Burndown!$C$6-Burndown!$B$6)))</x:f>
      </x:c>
      <x:c r="H71" s="10" t="str">
        <x:f>IF(OR('Work Log'!$E$74&lt;&gt;"S2",'Work Log'!$A$74=""),"",'Work Log'!$A$74)</x:f>
      </x:c>
      <x:c r="I71" t="str">
        <x:f>IF(L71="","",TEXT(L71,"mm/dd/yy"))</x:f>
      </x:c>
      <x:c r="J71" s="11" t="str">
        <x:f>IF(OR(L71="",SUMIF('Backlog'!$B$6:$B$25,"S3",'Backlog'!$E$6:$E$25)=0,Burndown!$B$7="",Burndown!$C$7=""),"",MAX(0,SUMIF('Backlog'!$B$6:$B$25,"S3",'Backlog'!$E$6:$E$25)-SUMIFS('Work Log'!$D$6:$D$205,'Work Log'!$E$6:$E$205,"S3",'Work Log'!$A$6:$A$205,"&lt;="&amp;L71)))</x:f>
      </x:c>
      <x:c r="K71" s="11" t="str">
        <x:f>IF(OR(L71="",SUMIF('Backlog'!$B$6:$B$25,"S3",'Backlog'!$E$6:$E$25)=0,Burndown!$B$7="",Burndown!$C$7="",Burndown!$C$7&lt;=Burndown!$B$7),"",MAX(0,SUMIF('Backlog'!$B$6:$B$25,"S3",'Backlog'!$E$6:$E$25)*(Burndown!$C$7-L71)/(Burndown!$C$7-Burndown!$B$7)))</x:f>
      </x:c>
      <x:c r="L71" s="10" t="str">
        <x:f>IF(OR('Work Log'!$E$74&lt;&gt;"S3",'Work Log'!$A$74=""),"",'Work Log'!$A$74)</x:f>
      </x:c>
      <x:c r="M71" t="str">
        <x:f>IF(P71="","",TEXT(P71,"mm/dd/yy"))</x:f>
      </x:c>
      <x:c r="N71" s="11" t="str">
        <x:f>IF(OR(P71="",SUMIF('Backlog'!$B$6:$B$25,"S4",'Backlog'!$E$6:$E$25)=0,Burndown!$B$8="",Burndown!$C$8=""),"",MAX(0,SUMIF('Backlog'!$B$6:$B$25,"S4",'Backlog'!$E$6:$E$25)-SUMIFS('Work Log'!$D$6:$D$205,'Work Log'!$E$6:$E$205,"S4",'Work Log'!$A$6:$A$205,"&lt;="&amp;P71)))</x:f>
      </x:c>
      <x:c r="O71" s="11" t="str">
        <x:f>IF(OR(P71="",SUMIF('Backlog'!$B$6:$B$25,"S4",'Backlog'!$E$6:$E$25)=0,Burndown!$B$8="",Burndown!$C$8="",Burndown!$C$8&lt;=Burndown!$B$8),"",MAX(0,SUMIF('Backlog'!$B$6:$B$25,"S4",'Backlog'!$E$6:$E$25)*(Burndown!$C$8-P71)/(Burndown!$C$8-Burndown!$B$8)))</x:f>
      </x:c>
      <x:c r="P71" s="10" t="str">
        <x:f>IF(OR('Work Log'!$E$74&lt;&gt;"S4",'Work Log'!$A$74=""),"",'Work Log'!$A$74)</x:f>
      </x:c>
      <x:c r="Q71" t="str">
        <x:f>IF(T71="","",TEXT(T71,"mm/dd/yy"))</x:f>
      </x:c>
      <x:c r="R71" s="11" t="str">
        <x:f>IF(OR(T71="",SUMIF('Backlog'!$B$6:$B$25,"S5",'Backlog'!$E$6:$E$25)=0,Burndown!$B$9="",Burndown!$C$9=""),"",MAX(0,SUMIF('Backlog'!$B$6:$B$25,"S5",'Backlog'!$E$6:$E$25)-SUMIFS('Work Log'!$D$6:$D$205,'Work Log'!$E$6:$E$205,"S5",'Work Log'!$A$6:$A$205,"&lt;="&amp;T71)))</x:f>
      </x:c>
      <x:c r="S71" s="11" t="str">
        <x:f>IF(OR(T71="",SUMIF('Backlog'!$B$6:$B$25,"S5",'Backlog'!$E$6:$E$25)=0,Burndown!$B$9="",Burndown!$C$9="",Burndown!$C$9&lt;=Burndown!$B$9),"",MAX(0,SUMIF('Backlog'!$B$6:$B$25,"S5",'Backlog'!$E$6:$E$25)*(Burndown!$C$9-T71)/(Burndown!$C$9-Burndown!$B$9)))</x:f>
      </x:c>
      <x:c r="T71" s="10" t="str">
        <x:f>IF(OR('Work Log'!$E$74&lt;&gt;"S5",'Work Log'!$A$74=""),"",'Work Log'!$A$74)</x:f>
      </x:c>
    </x:row>
    <x:row r="72">
      <x:c r="A72" t="str">
        <x:f>IF(D72="","",TEXT(D72,"mm/dd/yy"))</x:f>
      </x:c>
      <x:c r="B72" s="11" t="str">
        <x:f>IF(OR(D72="",SUMIF('Backlog'!$B$6:$B$25,"S1",'Backlog'!$E$6:$E$25)=0,Burndown!$B$5="",Burndown!$C$5=""),"",MAX(0,SUMIF('Backlog'!$B$6:$B$25,"S1",'Backlog'!$E$6:$E$25)-SUMIFS('Work Log'!$D$6:$D$205,'Work Log'!$E$6:$E$205,"S1",'Work Log'!$A$6:$A$205,"&lt;="&amp;D72)))</x:f>
      </x:c>
      <x:c r="C72" s="11" t="str">
        <x:f>IF(OR(D72="",SUMIF('Backlog'!$B$6:$B$25,"S1",'Backlog'!$E$6:$E$25)=0,Burndown!$B$5="",Burndown!$C$5="",Burndown!$C$5&lt;=Burndown!$B$5),"",MAX(0,SUMIF('Backlog'!$B$6:$B$25,"S1",'Backlog'!$E$6:$E$25)*(Burndown!$C$5-D72)/(Burndown!$C$5-Burndown!$B$5)))</x:f>
      </x:c>
      <x:c r="D72" s="10" t="str">
        <x:f>IF(OR('Work Log'!$E$75&lt;&gt;"S1",'Work Log'!$A$75=""),"",'Work Log'!$A$75)</x:f>
      </x:c>
      <x:c r="E72" t="str">
        <x:f>IF(H72="","",TEXT(H72,"mm/dd/yy"))</x:f>
      </x:c>
      <x:c r="F72" s="11" t="str">
        <x:f>IF(OR(H72="",SUMIF('Backlog'!$B$6:$B$25,"S2",'Backlog'!$E$6:$E$25)=0,Burndown!$B$6="",Burndown!$C$6=""),"",MAX(0,SUMIF('Backlog'!$B$6:$B$25,"S2",'Backlog'!$E$6:$E$25)-SUMIFS('Work Log'!$D$6:$D$205,'Work Log'!$E$6:$E$205,"S2",'Work Log'!$A$6:$A$205,"&lt;="&amp;H72)))</x:f>
      </x:c>
      <x:c r="G72" s="11" t="str">
        <x:f>IF(OR(H72="",SUMIF('Backlog'!$B$6:$B$25,"S2",'Backlog'!$E$6:$E$25)=0,Burndown!$B$6="",Burndown!$C$6="",Burndown!$C$6&lt;=Burndown!$B$6),"",MAX(0,SUMIF('Backlog'!$B$6:$B$25,"S2",'Backlog'!$E$6:$E$25)*(Burndown!$C$6-H72)/(Burndown!$C$6-Burndown!$B$6)))</x:f>
      </x:c>
      <x:c r="H72" s="10" t="str">
        <x:f>IF(OR('Work Log'!$E$75&lt;&gt;"S2",'Work Log'!$A$75=""),"",'Work Log'!$A$75)</x:f>
      </x:c>
      <x:c r="I72" t="str">
        <x:f>IF(L72="","",TEXT(L72,"mm/dd/yy"))</x:f>
      </x:c>
      <x:c r="J72" s="11" t="str">
        <x:f>IF(OR(L72="",SUMIF('Backlog'!$B$6:$B$25,"S3",'Backlog'!$E$6:$E$25)=0,Burndown!$B$7="",Burndown!$C$7=""),"",MAX(0,SUMIF('Backlog'!$B$6:$B$25,"S3",'Backlog'!$E$6:$E$25)-SUMIFS('Work Log'!$D$6:$D$205,'Work Log'!$E$6:$E$205,"S3",'Work Log'!$A$6:$A$205,"&lt;="&amp;L72)))</x:f>
      </x:c>
      <x:c r="K72" s="11" t="str">
        <x:f>IF(OR(L72="",SUMIF('Backlog'!$B$6:$B$25,"S3",'Backlog'!$E$6:$E$25)=0,Burndown!$B$7="",Burndown!$C$7="",Burndown!$C$7&lt;=Burndown!$B$7),"",MAX(0,SUMIF('Backlog'!$B$6:$B$25,"S3",'Backlog'!$E$6:$E$25)*(Burndown!$C$7-L72)/(Burndown!$C$7-Burndown!$B$7)))</x:f>
      </x:c>
      <x:c r="L72" s="10" t="str">
        <x:f>IF(OR('Work Log'!$E$75&lt;&gt;"S3",'Work Log'!$A$75=""),"",'Work Log'!$A$75)</x:f>
      </x:c>
      <x:c r="M72" t="str">
        <x:f>IF(P72="","",TEXT(P72,"mm/dd/yy"))</x:f>
      </x:c>
      <x:c r="N72" s="11" t="str">
        <x:f>IF(OR(P72="",SUMIF('Backlog'!$B$6:$B$25,"S4",'Backlog'!$E$6:$E$25)=0,Burndown!$B$8="",Burndown!$C$8=""),"",MAX(0,SUMIF('Backlog'!$B$6:$B$25,"S4",'Backlog'!$E$6:$E$25)-SUMIFS('Work Log'!$D$6:$D$205,'Work Log'!$E$6:$E$205,"S4",'Work Log'!$A$6:$A$205,"&lt;="&amp;P72)))</x:f>
      </x:c>
      <x:c r="O72" s="11" t="str">
        <x:f>IF(OR(P72="",SUMIF('Backlog'!$B$6:$B$25,"S4",'Backlog'!$E$6:$E$25)=0,Burndown!$B$8="",Burndown!$C$8="",Burndown!$C$8&lt;=Burndown!$B$8),"",MAX(0,SUMIF('Backlog'!$B$6:$B$25,"S4",'Backlog'!$E$6:$E$25)*(Burndown!$C$8-P72)/(Burndown!$C$8-Burndown!$B$8)))</x:f>
      </x:c>
      <x:c r="P72" s="10" t="str">
        <x:f>IF(OR('Work Log'!$E$75&lt;&gt;"S4",'Work Log'!$A$75=""),"",'Work Log'!$A$75)</x:f>
      </x:c>
      <x:c r="Q72" t="str">
        <x:f>IF(T72="","",TEXT(T72,"mm/dd/yy"))</x:f>
      </x:c>
      <x:c r="R72" s="11" t="str">
        <x:f>IF(OR(T72="",SUMIF('Backlog'!$B$6:$B$25,"S5",'Backlog'!$E$6:$E$25)=0,Burndown!$B$9="",Burndown!$C$9=""),"",MAX(0,SUMIF('Backlog'!$B$6:$B$25,"S5",'Backlog'!$E$6:$E$25)-SUMIFS('Work Log'!$D$6:$D$205,'Work Log'!$E$6:$E$205,"S5",'Work Log'!$A$6:$A$205,"&lt;="&amp;T72)))</x:f>
      </x:c>
      <x:c r="S72" s="11" t="str">
        <x:f>IF(OR(T72="",SUMIF('Backlog'!$B$6:$B$25,"S5",'Backlog'!$E$6:$E$25)=0,Burndown!$B$9="",Burndown!$C$9="",Burndown!$C$9&lt;=Burndown!$B$9),"",MAX(0,SUMIF('Backlog'!$B$6:$B$25,"S5",'Backlog'!$E$6:$E$25)*(Burndown!$C$9-T72)/(Burndown!$C$9-Burndown!$B$9)))</x:f>
      </x:c>
      <x:c r="T72" s="10" t="str">
        <x:f>IF(OR('Work Log'!$E$75&lt;&gt;"S5",'Work Log'!$A$75=""),"",'Work Log'!$A$75)</x:f>
      </x:c>
    </x:row>
    <x:row r="73">
      <x:c r="A73" t="str">
        <x:f>IF(D73="","",TEXT(D73,"mm/dd/yy"))</x:f>
      </x:c>
      <x:c r="B73" s="11" t="str">
        <x:f>IF(OR(D73="",SUMIF('Backlog'!$B$6:$B$25,"S1",'Backlog'!$E$6:$E$25)=0,Burndown!$B$5="",Burndown!$C$5=""),"",MAX(0,SUMIF('Backlog'!$B$6:$B$25,"S1",'Backlog'!$E$6:$E$25)-SUMIFS('Work Log'!$D$6:$D$205,'Work Log'!$E$6:$E$205,"S1",'Work Log'!$A$6:$A$205,"&lt;="&amp;D73)))</x:f>
      </x:c>
      <x:c r="C73" s="11" t="str">
        <x:f>IF(OR(D73="",SUMIF('Backlog'!$B$6:$B$25,"S1",'Backlog'!$E$6:$E$25)=0,Burndown!$B$5="",Burndown!$C$5="",Burndown!$C$5&lt;=Burndown!$B$5),"",MAX(0,SUMIF('Backlog'!$B$6:$B$25,"S1",'Backlog'!$E$6:$E$25)*(Burndown!$C$5-D73)/(Burndown!$C$5-Burndown!$B$5)))</x:f>
      </x:c>
      <x:c r="D73" s="10" t="str">
        <x:f>IF(OR('Work Log'!$E$76&lt;&gt;"S1",'Work Log'!$A$76=""),"",'Work Log'!$A$76)</x:f>
      </x:c>
      <x:c r="E73" t="str">
        <x:f>IF(H73="","",TEXT(H73,"mm/dd/yy"))</x:f>
      </x:c>
      <x:c r="F73" s="11" t="str">
        <x:f>IF(OR(H73="",SUMIF('Backlog'!$B$6:$B$25,"S2",'Backlog'!$E$6:$E$25)=0,Burndown!$B$6="",Burndown!$C$6=""),"",MAX(0,SUMIF('Backlog'!$B$6:$B$25,"S2",'Backlog'!$E$6:$E$25)-SUMIFS('Work Log'!$D$6:$D$205,'Work Log'!$E$6:$E$205,"S2",'Work Log'!$A$6:$A$205,"&lt;="&amp;H73)))</x:f>
      </x:c>
      <x:c r="G73" s="11" t="str">
        <x:f>IF(OR(H73="",SUMIF('Backlog'!$B$6:$B$25,"S2",'Backlog'!$E$6:$E$25)=0,Burndown!$B$6="",Burndown!$C$6="",Burndown!$C$6&lt;=Burndown!$B$6),"",MAX(0,SUMIF('Backlog'!$B$6:$B$25,"S2",'Backlog'!$E$6:$E$25)*(Burndown!$C$6-H73)/(Burndown!$C$6-Burndown!$B$6)))</x:f>
      </x:c>
      <x:c r="H73" s="10" t="str">
        <x:f>IF(OR('Work Log'!$E$76&lt;&gt;"S2",'Work Log'!$A$76=""),"",'Work Log'!$A$76)</x:f>
      </x:c>
      <x:c r="I73" t="str">
        <x:f>IF(L73="","",TEXT(L73,"mm/dd/yy"))</x:f>
      </x:c>
      <x:c r="J73" s="11" t="str">
        <x:f>IF(OR(L73="",SUMIF('Backlog'!$B$6:$B$25,"S3",'Backlog'!$E$6:$E$25)=0,Burndown!$B$7="",Burndown!$C$7=""),"",MAX(0,SUMIF('Backlog'!$B$6:$B$25,"S3",'Backlog'!$E$6:$E$25)-SUMIFS('Work Log'!$D$6:$D$205,'Work Log'!$E$6:$E$205,"S3",'Work Log'!$A$6:$A$205,"&lt;="&amp;L73)))</x:f>
      </x:c>
      <x:c r="K73" s="11" t="str">
        <x:f>IF(OR(L73="",SUMIF('Backlog'!$B$6:$B$25,"S3",'Backlog'!$E$6:$E$25)=0,Burndown!$B$7="",Burndown!$C$7="",Burndown!$C$7&lt;=Burndown!$B$7),"",MAX(0,SUMIF('Backlog'!$B$6:$B$25,"S3",'Backlog'!$E$6:$E$25)*(Burndown!$C$7-L73)/(Burndown!$C$7-Burndown!$B$7)))</x:f>
      </x:c>
      <x:c r="L73" s="10" t="str">
        <x:f>IF(OR('Work Log'!$E$76&lt;&gt;"S3",'Work Log'!$A$76=""),"",'Work Log'!$A$76)</x:f>
      </x:c>
      <x:c r="M73" t="str">
        <x:f>IF(P73="","",TEXT(P73,"mm/dd/yy"))</x:f>
      </x:c>
      <x:c r="N73" s="11" t="str">
        <x:f>IF(OR(P73="",SUMIF('Backlog'!$B$6:$B$25,"S4",'Backlog'!$E$6:$E$25)=0,Burndown!$B$8="",Burndown!$C$8=""),"",MAX(0,SUMIF('Backlog'!$B$6:$B$25,"S4",'Backlog'!$E$6:$E$25)-SUMIFS('Work Log'!$D$6:$D$205,'Work Log'!$E$6:$E$205,"S4",'Work Log'!$A$6:$A$205,"&lt;="&amp;P73)))</x:f>
      </x:c>
      <x:c r="O73" s="11" t="str">
        <x:f>IF(OR(P73="",SUMIF('Backlog'!$B$6:$B$25,"S4",'Backlog'!$E$6:$E$25)=0,Burndown!$B$8="",Burndown!$C$8="",Burndown!$C$8&lt;=Burndown!$B$8),"",MAX(0,SUMIF('Backlog'!$B$6:$B$25,"S4",'Backlog'!$E$6:$E$25)*(Burndown!$C$8-P73)/(Burndown!$C$8-Burndown!$B$8)))</x:f>
      </x:c>
      <x:c r="P73" s="10" t="str">
        <x:f>IF(OR('Work Log'!$E$76&lt;&gt;"S4",'Work Log'!$A$76=""),"",'Work Log'!$A$76)</x:f>
      </x:c>
      <x:c r="Q73" t="str">
        <x:f>IF(T73="","",TEXT(T73,"mm/dd/yy"))</x:f>
      </x:c>
      <x:c r="R73" s="11" t="str">
        <x:f>IF(OR(T73="",SUMIF('Backlog'!$B$6:$B$25,"S5",'Backlog'!$E$6:$E$25)=0,Burndown!$B$9="",Burndown!$C$9=""),"",MAX(0,SUMIF('Backlog'!$B$6:$B$25,"S5",'Backlog'!$E$6:$E$25)-SUMIFS('Work Log'!$D$6:$D$205,'Work Log'!$E$6:$E$205,"S5",'Work Log'!$A$6:$A$205,"&lt;="&amp;T73)))</x:f>
      </x:c>
      <x:c r="S73" s="11" t="str">
        <x:f>IF(OR(T73="",SUMIF('Backlog'!$B$6:$B$25,"S5",'Backlog'!$E$6:$E$25)=0,Burndown!$B$9="",Burndown!$C$9="",Burndown!$C$9&lt;=Burndown!$B$9),"",MAX(0,SUMIF('Backlog'!$B$6:$B$25,"S5",'Backlog'!$E$6:$E$25)*(Burndown!$C$9-T73)/(Burndown!$C$9-Burndown!$B$9)))</x:f>
      </x:c>
      <x:c r="T73" s="10" t="str">
        <x:f>IF(OR('Work Log'!$E$76&lt;&gt;"S5",'Work Log'!$A$76=""),"",'Work Log'!$A$76)</x:f>
      </x:c>
    </x:row>
    <x:row r="74">
      <x:c r="A74" t="str">
        <x:f>IF(D74="","",TEXT(D74,"mm/dd/yy"))</x:f>
      </x:c>
      <x:c r="B74" s="11" t="str">
        <x:f>IF(OR(D74="",SUMIF('Backlog'!$B$6:$B$25,"S1",'Backlog'!$E$6:$E$25)=0,Burndown!$B$5="",Burndown!$C$5=""),"",MAX(0,SUMIF('Backlog'!$B$6:$B$25,"S1",'Backlog'!$E$6:$E$25)-SUMIFS('Work Log'!$D$6:$D$205,'Work Log'!$E$6:$E$205,"S1",'Work Log'!$A$6:$A$205,"&lt;="&amp;D74)))</x:f>
      </x:c>
      <x:c r="C74" s="11" t="str">
        <x:f>IF(OR(D74="",SUMIF('Backlog'!$B$6:$B$25,"S1",'Backlog'!$E$6:$E$25)=0,Burndown!$B$5="",Burndown!$C$5="",Burndown!$C$5&lt;=Burndown!$B$5),"",MAX(0,SUMIF('Backlog'!$B$6:$B$25,"S1",'Backlog'!$E$6:$E$25)*(Burndown!$C$5-D74)/(Burndown!$C$5-Burndown!$B$5)))</x:f>
      </x:c>
      <x:c r="D74" s="10" t="str">
        <x:f>IF(OR('Work Log'!$E$77&lt;&gt;"S1",'Work Log'!$A$77=""),"",'Work Log'!$A$77)</x:f>
      </x:c>
      <x:c r="E74" t="str">
        <x:f>IF(H74="","",TEXT(H74,"mm/dd/yy"))</x:f>
      </x:c>
      <x:c r="F74" s="11" t="str">
        <x:f>IF(OR(H74="",SUMIF('Backlog'!$B$6:$B$25,"S2",'Backlog'!$E$6:$E$25)=0,Burndown!$B$6="",Burndown!$C$6=""),"",MAX(0,SUMIF('Backlog'!$B$6:$B$25,"S2",'Backlog'!$E$6:$E$25)-SUMIFS('Work Log'!$D$6:$D$205,'Work Log'!$E$6:$E$205,"S2",'Work Log'!$A$6:$A$205,"&lt;="&amp;H74)))</x:f>
      </x:c>
      <x:c r="G74" s="11" t="str">
        <x:f>IF(OR(H74="",SUMIF('Backlog'!$B$6:$B$25,"S2",'Backlog'!$E$6:$E$25)=0,Burndown!$B$6="",Burndown!$C$6="",Burndown!$C$6&lt;=Burndown!$B$6),"",MAX(0,SUMIF('Backlog'!$B$6:$B$25,"S2",'Backlog'!$E$6:$E$25)*(Burndown!$C$6-H74)/(Burndown!$C$6-Burndown!$B$6)))</x:f>
      </x:c>
      <x:c r="H74" s="10" t="str">
        <x:f>IF(OR('Work Log'!$E$77&lt;&gt;"S2",'Work Log'!$A$77=""),"",'Work Log'!$A$77)</x:f>
      </x:c>
      <x:c r="I74" t="str">
        <x:f>IF(L74="","",TEXT(L74,"mm/dd/yy"))</x:f>
      </x:c>
      <x:c r="J74" s="11" t="str">
        <x:f>IF(OR(L74="",SUMIF('Backlog'!$B$6:$B$25,"S3",'Backlog'!$E$6:$E$25)=0,Burndown!$B$7="",Burndown!$C$7=""),"",MAX(0,SUMIF('Backlog'!$B$6:$B$25,"S3",'Backlog'!$E$6:$E$25)-SUMIFS('Work Log'!$D$6:$D$205,'Work Log'!$E$6:$E$205,"S3",'Work Log'!$A$6:$A$205,"&lt;="&amp;L74)))</x:f>
      </x:c>
      <x:c r="K74" s="11" t="str">
        <x:f>IF(OR(L74="",SUMIF('Backlog'!$B$6:$B$25,"S3",'Backlog'!$E$6:$E$25)=0,Burndown!$B$7="",Burndown!$C$7="",Burndown!$C$7&lt;=Burndown!$B$7),"",MAX(0,SUMIF('Backlog'!$B$6:$B$25,"S3",'Backlog'!$E$6:$E$25)*(Burndown!$C$7-L74)/(Burndown!$C$7-Burndown!$B$7)))</x:f>
      </x:c>
      <x:c r="L74" s="10" t="str">
        <x:f>IF(OR('Work Log'!$E$77&lt;&gt;"S3",'Work Log'!$A$77=""),"",'Work Log'!$A$77)</x:f>
      </x:c>
      <x:c r="M74" t="str">
        <x:f>IF(P74="","",TEXT(P74,"mm/dd/yy"))</x:f>
      </x:c>
      <x:c r="N74" s="11" t="str">
        <x:f>IF(OR(P74="",SUMIF('Backlog'!$B$6:$B$25,"S4",'Backlog'!$E$6:$E$25)=0,Burndown!$B$8="",Burndown!$C$8=""),"",MAX(0,SUMIF('Backlog'!$B$6:$B$25,"S4",'Backlog'!$E$6:$E$25)-SUMIFS('Work Log'!$D$6:$D$205,'Work Log'!$E$6:$E$205,"S4",'Work Log'!$A$6:$A$205,"&lt;="&amp;P74)))</x:f>
      </x:c>
      <x:c r="O74" s="11" t="str">
        <x:f>IF(OR(P74="",SUMIF('Backlog'!$B$6:$B$25,"S4",'Backlog'!$E$6:$E$25)=0,Burndown!$B$8="",Burndown!$C$8="",Burndown!$C$8&lt;=Burndown!$B$8),"",MAX(0,SUMIF('Backlog'!$B$6:$B$25,"S4",'Backlog'!$E$6:$E$25)*(Burndown!$C$8-P74)/(Burndown!$C$8-Burndown!$B$8)))</x:f>
      </x:c>
      <x:c r="P74" s="10" t="str">
        <x:f>IF(OR('Work Log'!$E$77&lt;&gt;"S4",'Work Log'!$A$77=""),"",'Work Log'!$A$77)</x:f>
      </x:c>
      <x:c r="Q74" t="str">
        <x:f>IF(T74="","",TEXT(T74,"mm/dd/yy"))</x:f>
      </x:c>
      <x:c r="R74" s="11" t="str">
        <x:f>IF(OR(T74="",SUMIF('Backlog'!$B$6:$B$25,"S5",'Backlog'!$E$6:$E$25)=0,Burndown!$B$9="",Burndown!$C$9=""),"",MAX(0,SUMIF('Backlog'!$B$6:$B$25,"S5",'Backlog'!$E$6:$E$25)-SUMIFS('Work Log'!$D$6:$D$205,'Work Log'!$E$6:$E$205,"S5",'Work Log'!$A$6:$A$205,"&lt;="&amp;T74)))</x:f>
      </x:c>
      <x:c r="S74" s="11" t="str">
        <x:f>IF(OR(T74="",SUMIF('Backlog'!$B$6:$B$25,"S5",'Backlog'!$E$6:$E$25)=0,Burndown!$B$9="",Burndown!$C$9="",Burndown!$C$9&lt;=Burndown!$B$9),"",MAX(0,SUMIF('Backlog'!$B$6:$B$25,"S5",'Backlog'!$E$6:$E$25)*(Burndown!$C$9-T74)/(Burndown!$C$9-Burndown!$B$9)))</x:f>
      </x:c>
      <x:c r="T74" s="10" t="str">
        <x:f>IF(OR('Work Log'!$E$77&lt;&gt;"S5",'Work Log'!$A$77=""),"",'Work Log'!$A$77)</x:f>
      </x:c>
    </x:row>
    <x:row r="75">
      <x:c r="A75" t="str">
        <x:f>IF(D75="","",TEXT(D75,"mm/dd/yy"))</x:f>
      </x:c>
      <x:c r="B75" s="11" t="str">
        <x:f>IF(OR(D75="",SUMIF('Backlog'!$B$6:$B$25,"S1",'Backlog'!$E$6:$E$25)=0,Burndown!$B$5="",Burndown!$C$5=""),"",MAX(0,SUMIF('Backlog'!$B$6:$B$25,"S1",'Backlog'!$E$6:$E$25)-SUMIFS('Work Log'!$D$6:$D$205,'Work Log'!$E$6:$E$205,"S1",'Work Log'!$A$6:$A$205,"&lt;="&amp;D75)))</x:f>
      </x:c>
      <x:c r="C75" s="11" t="str">
        <x:f>IF(OR(D75="",SUMIF('Backlog'!$B$6:$B$25,"S1",'Backlog'!$E$6:$E$25)=0,Burndown!$B$5="",Burndown!$C$5="",Burndown!$C$5&lt;=Burndown!$B$5),"",MAX(0,SUMIF('Backlog'!$B$6:$B$25,"S1",'Backlog'!$E$6:$E$25)*(Burndown!$C$5-D75)/(Burndown!$C$5-Burndown!$B$5)))</x:f>
      </x:c>
      <x:c r="D75" s="10" t="str">
        <x:f>IF(OR('Work Log'!$E$78&lt;&gt;"S1",'Work Log'!$A$78=""),"",'Work Log'!$A$78)</x:f>
      </x:c>
      <x:c r="E75" t="str">
        <x:f>IF(H75="","",TEXT(H75,"mm/dd/yy"))</x:f>
      </x:c>
      <x:c r="F75" s="11" t="str">
        <x:f>IF(OR(H75="",SUMIF('Backlog'!$B$6:$B$25,"S2",'Backlog'!$E$6:$E$25)=0,Burndown!$B$6="",Burndown!$C$6=""),"",MAX(0,SUMIF('Backlog'!$B$6:$B$25,"S2",'Backlog'!$E$6:$E$25)-SUMIFS('Work Log'!$D$6:$D$205,'Work Log'!$E$6:$E$205,"S2",'Work Log'!$A$6:$A$205,"&lt;="&amp;H75)))</x:f>
      </x:c>
      <x:c r="G75" s="11" t="str">
        <x:f>IF(OR(H75="",SUMIF('Backlog'!$B$6:$B$25,"S2",'Backlog'!$E$6:$E$25)=0,Burndown!$B$6="",Burndown!$C$6="",Burndown!$C$6&lt;=Burndown!$B$6),"",MAX(0,SUMIF('Backlog'!$B$6:$B$25,"S2",'Backlog'!$E$6:$E$25)*(Burndown!$C$6-H75)/(Burndown!$C$6-Burndown!$B$6)))</x:f>
      </x:c>
      <x:c r="H75" s="10" t="str">
        <x:f>IF(OR('Work Log'!$E$78&lt;&gt;"S2",'Work Log'!$A$78=""),"",'Work Log'!$A$78)</x:f>
      </x:c>
      <x:c r="I75" t="str">
        <x:f>IF(L75="","",TEXT(L75,"mm/dd/yy"))</x:f>
      </x:c>
      <x:c r="J75" s="11" t="str">
        <x:f>IF(OR(L75="",SUMIF('Backlog'!$B$6:$B$25,"S3",'Backlog'!$E$6:$E$25)=0,Burndown!$B$7="",Burndown!$C$7=""),"",MAX(0,SUMIF('Backlog'!$B$6:$B$25,"S3",'Backlog'!$E$6:$E$25)-SUMIFS('Work Log'!$D$6:$D$205,'Work Log'!$E$6:$E$205,"S3",'Work Log'!$A$6:$A$205,"&lt;="&amp;L75)))</x:f>
      </x:c>
      <x:c r="K75" s="11" t="str">
        <x:f>IF(OR(L75="",SUMIF('Backlog'!$B$6:$B$25,"S3",'Backlog'!$E$6:$E$25)=0,Burndown!$B$7="",Burndown!$C$7="",Burndown!$C$7&lt;=Burndown!$B$7),"",MAX(0,SUMIF('Backlog'!$B$6:$B$25,"S3",'Backlog'!$E$6:$E$25)*(Burndown!$C$7-L75)/(Burndown!$C$7-Burndown!$B$7)))</x:f>
      </x:c>
      <x:c r="L75" s="10" t="str">
        <x:f>IF(OR('Work Log'!$E$78&lt;&gt;"S3",'Work Log'!$A$78=""),"",'Work Log'!$A$78)</x:f>
      </x:c>
      <x:c r="M75" t="str">
        <x:f>IF(P75="","",TEXT(P75,"mm/dd/yy"))</x:f>
      </x:c>
      <x:c r="N75" s="11" t="str">
        <x:f>IF(OR(P75="",SUMIF('Backlog'!$B$6:$B$25,"S4",'Backlog'!$E$6:$E$25)=0,Burndown!$B$8="",Burndown!$C$8=""),"",MAX(0,SUMIF('Backlog'!$B$6:$B$25,"S4",'Backlog'!$E$6:$E$25)-SUMIFS('Work Log'!$D$6:$D$205,'Work Log'!$E$6:$E$205,"S4",'Work Log'!$A$6:$A$205,"&lt;="&amp;P75)))</x:f>
      </x:c>
      <x:c r="O75" s="11" t="str">
        <x:f>IF(OR(P75="",SUMIF('Backlog'!$B$6:$B$25,"S4",'Backlog'!$E$6:$E$25)=0,Burndown!$B$8="",Burndown!$C$8="",Burndown!$C$8&lt;=Burndown!$B$8),"",MAX(0,SUMIF('Backlog'!$B$6:$B$25,"S4",'Backlog'!$E$6:$E$25)*(Burndown!$C$8-P75)/(Burndown!$C$8-Burndown!$B$8)))</x:f>
      </x:c>
      <x:c r="P75" s="10" t="str">
        <x:f>IF(OR('Work Log'!$E$78&lt;&gt;"S4",'Work Log'!$A$78=""),"",'Work Log'!$A$78)</x:f>
      </x:c>
      <x:c r="Q75" t="str">
        <x:f>IF(T75="","",TEXT(T75,"mm/dd/yy"))</x:f>
      </x:c>
      <x:c r="R75" s="11" t="str">
        <x:f>IF(OR(T75="",SUMIF('Backlog'!$B$6:$B$25,"S5",'Backlog'!$E$6:$E$25)=0,Burndown!$B$9="",Burndown!$C$9=""),"",MAX(0,SUMIF('Backlog'!$B$6:$B$25,"S5",'Backlog'!$E$6:$E$25)-SUMIFS('Work Log'!$D$6:$D$205,'Work Log'!$E$6:$E$205,"S5",'Work Log'!$A$6:$A$205,"&lt;="&amp;T75)))</x:f>
      </x:c>
      <x:c r="S75" s="11" t="str">
        <x:f>IF(OR(T75="",SUMIF('Backlog'!$B$6:$B$25,"S5",'Backlog'!$E$6:$E$25)=0,Burndown!$B$9="",Burndown!$C$9="",Burndown!$C$9&lt;=Burndown!$B$9),"",MAX(0,SUMIF('Backlog'!$B$6:$B$25,"S5",'Backlog'!$E$6:$E$25)*(Burndown!$C$9-T75)/(Burndown!$C$9-Burndown!$B$9)))</x:f>
      </x:c>
      <x:c r="T75" s="10" t="str">
        <x:f>IF(OR('Work Log'!$E$78&lt;&gt;"S5",'Work Log'!$A$78=""),"",'Work Log'!$A$78)</x:f>
      </x:c>
    </x:row>
    <x:row r="76">
      <x:c r="A76" t="str">
        <x:f>IF(D76="","",TEXT(D76,"mm/dd/yy"))</x:f>
      </x:c>
      <x:c r="B76" s="11" t="str">
        <x:f>IF(OR(D76="",SUMIF('Backlog'!$B$6:$B$25,"S1",'Backlog'!$E$6:$E$25)=0,Burndown!$B$5="",Burndown!$C$5=""),"",MAX(0,SUMIF('Backlog'!$B$6:$B$25,"S1",'Backlog'!$E$6:$E$25)-SUMIFS('Work Log'!$D$6:$D$205,'Work Log'!$E$6:$E$205,"S1",'Work Log'!$A$6:$A$205,"&lt;="&amp;D76)))</x:f>
      </x:c>
      <x:c r="C76" s="11" t="str">
        <x:f>IF(OR(D76="",SUMIF('Backlog'!$B$6:$B$25,"S1",'Backlog'!$E$6:$E$25)=0,Burndown!$B$5="",Burndown!$C$5="",Burndown!$C$5&lt;=Burndown!$B$5),"",MAX(0,SUMIF('Backlog'!$B$6:$B$25,"S1",'Backlog'!$E$6:$E$25)*(Burndown!$C$5-D76)/(Burndown!$C$5-Burndown!$B$5)))</x:f>
      </x:c>
      <x:c r="D76" s="10" t="str">
        <x:f>IF(OR('Work Log'!$E$79&lt;&gt;"S1",'Work Log'!$A$79=""),"",'Work Log'!$A$79)</x:f>
      </x:c>
      <x:c r="E76" t="str">
        <x:f>IF(H76="","",TEXT(H76,"mm/dd/yy"))</x:f>
      </x:c>
      <x:c r="F76" s="11" t="str">
        <x:f>IF(OR(H76="",SUMIF('Backlog'!$B$6:$B$25,"S2",'Backlog'!$E$6:$E$25)=0,Burndown!$B$6="",Burndown!$C$6=""),"",MAX(0,SUMIF('Backlog'!$B$6:$B$25,"S2",'Backlog'!$E$6:$E$25)-SUMIFS('Work Log'!$D$6:$D$205,'Work Log'!$E$6:$E$205,"S2",'Work Log'!$A$6:$A$205,"&lt;="&amp;H76)))</x:f>
      </x:c>
      <x:c r="G76" s="11" t="str">
        <x:f>IF(OR(H76="",SUMIF('Backlog'!$B$6:$B$25,"S2",'Backlog'!$E$6:$E$25)=0,Burndown!$B$6="",Burndown!$C$6="",Burndown!$C$6&lt;=Burndown!$B$6),"",MAX(0,SUMIF('Backlog'!$B$6:$B$25,"S2",'Backlog'!$E$6:$E$25)*(Burndown!$C$6-H76)/(Burndown!$C$6-Burndown!$B$6)))</x:f>
      </x:c>
      <x:c r="H76" s="10" t="str">
        <x:f>IF(OR('Work Log'!$E$79&lt;&gt;"S2",'Work Log'!$A$79=""),"",'Work Log'!$A$79)</x:f>
      </x:c>
      <x:c r="I76" t="str">
        <x:f>IF(L76="","",TEXT(L76,"mm/dd/yy"))</x:f>
      </x:c>
      <x:c r="J76" s="11" t="str">
        <x:f>IF(OR(L76="",SUMIF('Backlog'!$B$6:$B$25,"S3",'Backlog'!$E$6:$E$25)=0,Burndown!$B$7="",Burndown!$C$7=""),"",MAX(0,SUMIF('Backlog'!$B$6:$B$25,"S3",'Backlog'!$E$6:$E$25)-SUMIFS('Work Log'!$D$6:$D$205,'Work Log'!$E$6:$E$205,"S3",'Work Log'!$A$6:$A$205,"&lt;="&amp;L76)))</x:f>
      </x:c>
      <x:c r="K76" s="11" t="str">
        <x:f>IF(OR(L76="",SUMIF('Backlog'!$B$6:$B$25,"S3",'Backlog'!$E$6:$E$25)=0,Burndown!$B$7="",Burndown!$C$7="",Burndown!$C$7&lt;=Burndown!$B$7),"",MAX(0,SUMIF('Backlog'!$B$6:$B$25,"S3",'Backlog'!$E$6:$E$25)*(Burndown!$C$7-L76)/(Burndown!$C$7-Burndown!$B$7)))</x:f>
      </x:c>
      <x:c r="L76" s="10" t="str">
        <x:f>IF(OR('Work Log'!$E$79&lt;&gt;"S3",'Work Log'!$A$79=""),"",'Work Log'!$A$79)</x:f>
      </x:c>
      <x:c r="M76" t="str">
        <x:f>IF(P76="","",TEXT(P76,"mm/dd/yy"))</x:f>
      </x:c>
      <x:c r="N76" s="11" t="str">
        <x:f>IF(OR(P76="",SUMIF('Backlog'!$B$6:$B$25,"S4",'Backlog'!$E$6:$E$25)=0,Burndown!$B$8="",Burndown!$C$8=""),"",MAX(0,SUMIF('Backlog'!$B$6:$B$25,"S4",'Backlog'!$E$6:$E$25)-SUMIFS('Work Log'!$D$6:$D$205,'Work Log'!$E$6:$E$205,"S4",'Work Log'!$A$6:$A$205,"&lt;="&amp;P76)))</x:f>
      </x:c>
      <x:c r="O76" s="11" t="str">
        <x:f>IF(OR(P76="",SUMIF('Backlog'!$B$6:$B$25,"S4",'Backlog'!$E$6:$E$25)=0,Burndown!$B$8="",Burndown!$C$8="",Burndown!$C$8&lt;=Burndown!$B$8),"",MAX(0,SUMIF('Backlog'!$B$6:$B$25,"S4",'Backlog'!$E$6:$E$25)*(Burndown!$C$8-P76)/(Burndown!$C$8-Burndown!$B$8)))</x:f>
      </x:c>
      <x:c r="P76" s="10" t="str">
        <x:f>IF(OR('Work Log'!$E$79&lt;&gt;"S4",'Work Log'!$A$79=""),"",'Work Log'!$A$79)</x:f>
      </x:c>
      <x:c r="Q76" t="str">
        <x:f>IF(T76="","",TEXT(T76,"mm/dd/yy"))</x:f>
      </x:c>
      <x:c r="R76" s="11" t="str">
        <x:f>IF(OR(T76="",SUMIF('Backlog'!$B$6:$B$25,"S5",'Backlog'!$E$6:$E$25)=0,Burndown!$B$9="",Burndown!$C$9=""),"",MAX(0,SUMIF('Backlog'!$B$6:$B$25,"S5",'Backlog'!$E$6:$E$25)-SUMIFS('Work Log'!$D$6:$D$205,'Work Log'!$E$6:$E$205,"S5",'Work Log'!$A$6:$A$205,"&lt;="&amp;T76)))</x:f>
      </x:c>
      <x:c r="S76" s="11" t="str">
        <x:f>IF(OR(T76="",SUMIF('Backlog'!$B$6:$B$25,"S5",'Backlog'!$E$6:$E$25)=0,Burndown!$B$9="",Burndown!$C$9="",Burndown!$C$9&lt;=Burndown!$B$9),"",MAX(0,SUMIF('Backlog'!$B$6:$B$25,"S5",'Backlog'!$E$6:$E$25)*(Burndown!$C$9-T76)/(Burndown!$C$9-Burndown!$B$9)))</x:f>
      </x:c>
      <x:c r="T76" s="10" t="str">
        <x:f>IF(OR('Work Log'!$E$79&lt;&gt;"S5",'Work Log'!$A$79=""),"",'Work Log'!$A$79)</x:f>
      </x:c>
    </x:row>
    <x:row r="77">
      <x:c r="A77" t="str">
        <x:f>IF(D77="","",TEXT(D77,"mm/dd/yy"))</x:f>
      </x:c>
      <x:c r="B77" s="11" t="str">
        <x:f>IF(OR(D77="",SUMIF('Backlog'!$B$6:$B$25,"S1",'Backlog'!$E$6:$E$25)=0,Burndown!$B$5="",Burndown!$C$5=""),"",MAX(0,SUMIF('Backlog'!$B$6:$B$25,"S1",'Backlog'!$E$6:$E$25)-SUMIFS('Work Log'!$D$6:$D$205,'Work Log'!$E$6:$E$205,"S1",'Work Log'!$A$6:$A$205,"&lt;="&amp;D77)))</x:f>
      </x:c>
      <x:c r="C77" s="11" t="str">
        <x:f>IF(OR(D77="",SUMIF('Backlog'!$B$6:$B$25,"S1",'Backlog'!$E$6:$E$25)=0,Burndown!$B$5="",Burndown!$C$5="",Burndown!$C$5&lt;=Burndown!$B$5),"",MAX(0,SUMIF('Backlog'!$B$6:$B$25,"S1",'Backlog'!$E$6:$E$25)*(Burndown!$C$5-D77)/(Burndown!$C$5-Burndown!$B$5)))</x:f>
      </x:c>
      <x:c r="D77" s="10" t="str">
        <x:f>IF(OR('Work Log'!$E$80&lt;&gt;"S1",'Work Log'!$A$80=""),"",'Work Log'!$A$80)</x:f>
      </x:c>
      <x:c r="E77" t="str">
        <x:f>IF(H77="","",TEXT(H77,"mm/dd/yy"))</x:f>
      </x:c>
      <x:c r="F77" s="11" t="str">
        <x:f>IF(OR(H77="",SUMIF('Backlog'!$B$6:$B$25,"S2",'Backlog'!$E$6:$E$25)=0,Burndown!$B$6="",Burndown!$C$6=""),"",MAX(0,SUMIF('Backlog'!$B$6:$B$25,"S2",'Backlog'!$E$6:$E$25)-SUMIFS('Work Log'!$D$6:$D$205,'Work Log'!$E$6:$E$205,"S2",'Work Log'!$A$6:$A$205,"&lt;="&amp;H77)))</x:f>
      </x:c>
      <x:c r="G77" s="11" t="str">
        <x:f>IF(OR(H77="",SUMIF('Backlog'!$B$6:$B$25,"S2",'Backlog'!$E$6:$E$25)=0,Burndown!$B$6="",Burndown!$C$6="",Burndown!$C$6&lt;=Burndown!$B$6),"",MAX(0,SUMIF('Backlog'!$B$6:$B$25,"S2",'Backlog'!$E$6:$E$25)*(Burndown!$C$6-H77)/(Burndown!$C$6-Burndown!$B$6)))</x:f>
      </x:c>
      <x:c r="H77" s="10" t="str">
        <x:f>IF(OR('Work Log'!$E$80&lt;&gt;"S2",'Work Log'!$A$80=""),"",'Work Log'!$A$80)</x:f>
      </x:c>
      <x:c r="I77" t="str">
        <x:f>IF(L77="","",TEXT(L77,"mm/dd/yy"))</x:f>
      </x:c>
      <x:c r="J77" s="11" t="str">
        <x:f>IF(OR(L77="",SUMIF('Backlog'!$B$6:$B$25,"S3",'Backlog'!$E$6:$E$25)=0,Burndown!$B$7="",Burndown!$C$7=""),"",MAX(0,SUMIF('Backlog'!$B$6:$B$25,"S3",'Backlog'!$E$6:$E$25)-SUMIFS('Work Log'!$D$6:$D$205,'Work Log'!$E$6:$E$205,"S3",'Work Log'!$A$6:$A$205,"&lt;="&amp;L77)))</x:f>
      </x:c>
      <x:c r="K77" s="11" t="str">
        <x:f>IF(OR(L77="",SUMIF('Backlog'!$B$6:$B$25,"S3",'Backlog'!$E$6:$E$25)=0,Burndown!$B$7="",Burndown!$C$7="",Burndown!$C$7&lt;=Burndown!$B$7),"",MAX(0,SUMIF('Backlog'!$B$6:$B$25,"S3",'Backlog'!$E$6:$E$25)*(Burndown!$C$7-L77)/(Burndown!$C$7-Burndown!$B$7)))</x:f>
      </x:c>
      <x:c r="L77" s="10" t="str">
        <x:f>IF(OR('Work Log'!$E$80&lt;&gt;"S3",'Work Log'!$A$80=""),"",'Work Log'!$A$80)</x:f>
      </x:c>
      <x:c r="M77" t="str">
        <x:f>IF(P77="","",TEXT(P77,"mm/dd/yy"))</x:f>
      </x:c>
      <x:c r="N77" s="11" t="str">
        <x:f>IF(OR(P77="",SUMIF('Backlog'!$B$6:$B$25,"S4",'Backlog'!$E$6:$E$25)=0,Burndown!$B$8="",Burndown!$C$8=""),"",MAX(0,SUMIF('Backlog'!$B$6:$B$25,"S4",'Backlog'!$E$6:$E$25)-SUMIFS('Work Log'!$D$6:$D$205,'Work Log'!$E$6:$E$205,"S4",'Work Log'!$A$6:$A$205,"&lt;="&amp;P77)))</x:f>
      </x:c>
      <x:c r="O77" s="11" t="str">
        <x:f>IF(OR(P77="",SUMIF('Backlog'!$B$6:$B$25,"S4",'Backlog'!$E$6:$E$25)=0,Burndown!$B$8="",Burndown!$C$8="",Burndown!$C$8&lt;=Burndown!$B$8),"",MAX(0,SUMIF('Backlog'!$B$6:$B$25,"S4",'Backlog'!$E$6:$E$25)*(Burndown!$C$8-P77)/(Burndown!$C$8-Burndown!$B$8)))</x:f>
      </x:c>
      <x:c r="P77" s="10" t="str">
        <x:f>IF(OR('Work Log'!$E$80&lt;&gt;"S4",'Work Log'!$A$80=""),"",'Work Log'!$A$80)</x:f>
      </x:c>
      <x:c r="Q77" t="str">
        <x:f>IF(T77="","",TEXT(T77,"mm/dd/yy"))</x:f>
      </x:c>
      <x:c r="R77" s="11" t="str">
        <x:f>IF(OR(T77="",SUMIF('Backlog'!$B$6:$B$25,"S5",'Backlog'!$E$6:$E$25)=0,Burndown!$B$9="",Burndown!$C$9=""),"",MAX(0,SUMIF('Backlog'!$B$6:$B$25,"S5",'Backlog'!$E$6:$E$25)-SUMIFS('Work Log'!$D$6:$D$205,'Work Log'!$E$6:$E$205,"S5",'Work Log'!$A$6:$A$205,"&lt;="&amp;T77)))</x:f>
      </x:c>
      <x:c r="S77" s="11" t="str">
        <x:f>IF(OR(T77="",SUMIF('Backlog'!$B$6:$B$25,"S5",'Backlog'!$E$6:$E$25)=0,Burndown!$B$9="",Burndown!$C$9="",Burndown!$C$9&lt;=Burndown!$B$9),"",MAX(0,SUMIF('Backlog'!$B$6:$B$25,"S5",'Backlog'!$E$6:$E$25)*(Burndown!$C$9-T77)/(Burndown!$C$9-Burndown!$B$9)))</x:f>
      </x:c>
      <x:c r="T77" s="10" t="str">
        <x:f>IF(OR('Work Log'!$E$80&lt;&gt;"S5",'Work Log'!$A$80=""),"",'Work Log'!$A$80)</x:f>
      </x:c>
    </x:row>
    <x:row r="78">
      <x:c r="A78" t="str">
        <x:f>IF(D78="","",TEXT(D78,"mm/dd/yy"))</x:f>
      </x:c>
      <x:c r="B78" s="11" t="str">
        <x:f>IF(OR(D78="",SUMIF('Backlog'!$B$6:$B$25,"S1",'Backlog'!$E$6:$E$25)=0,Burndown!$B$5="",Burndown!$C$5=""),"",MAX(0,SUMIF('Backlog'!$B$6:$B$25,"S1",'Backlog'!$E$6:$E$25)-SUMIFS('Work Log'!$D$6:$D$205,'Work Log'!$E$6:$E$205,"S1",'Work Log'!$A$6:$A$205,"&lt;="&amp;D78)))</x:f>
      </x:c>
      <x:c r="C78" s="11" t="str">
        <x:f>IF(OR(D78="",SUMIF('Backlog'!$B$6:$B$25,"S1",'Backlog'!$E$6:$E$25)=0,Burndown!$B$5="",Burndown!$C$5="",Burndown!$C$5&lt;=Burndown!$B$5),"",MAX(0,SUMIF('Backlog'!$B$6:$B$25,"S1",'Backlog'!$E$6:$E$25)*(Burndown!$C$5-D78)/(Burndown!$C$5-Burndown!$B$5)))</x:f>
      </x:c>
      <x:c r="D78" s="10" t="str">
        <x:f>IF(OR('Work Log'!$E$81&lt;&gt;"S1",'Work Log'!$A$81=""),"",'Work Log'!$A$81)</x:f>
      </x:c>
      <x:c r="E78" t="str">
        <x:f>IF(H78="","",TEXT(H78,"mm/dd/yy"))</x:f>
      </x:c>
      <x:c r="F78" s="11" t="str">
        <x:f>IF(OR(H78="",SUMIF('Backlog'!$B$6:$B$25,"S2",'Backlog'!$E$6:$E$25)=0,Burndown!$B$6="",Burndown!$C$6=""),"",MAX(0,SUMIF('Backlog'!$B$6:$B$25,"S2",'Backlog'!$E$6:$E$25)-SUMIFS('Work Log'!$D$6:$D$205,'Work Log'!$E$6:$E$205,"S2",'Work Log'!$A$6:$A$205,"&lt;="&amp;H78)))</x:f>
      </x:c>
      <x:c r="G78" s="11" t="str">
        <x:f>IF(OR(H78="",SUMIF('Backlog'!$B$6:$B$25,"S2",'Backlog'!$E$6:$E$25)=0,Burndown!$B$6="",Burndown!$C$6="",Burndown!$C$6&lt;=Burndown!$B$6),"",MAX(0,SUMIF('Backlog'!$B$6:$B$25,"S2",'Backlog'!$E$6:$E$25)*(Burndown!$C$6-H78)/(Burndown!$C$6-Burndown!$B$6)))</x:f>
      </x:c>
      <x:c r="H78" s="10" t="str">
        <x:f>IF(OR('Work Log'!$E$81&lt;&gt;"S2",'Work Log'!$A$81=""),"",'Work Log'!$A$81)</x:f>
      </x:c>
      <x:c r="I78" t="str">
        <x:f>IF(L78="","",TEXT(L78,"mm/dd/yy"))</x:f>
      </x:c>
      <x:c r="J78" s="11" t="str">
        <x:f>IF(OR(L78="",SUMIF('Backlog'!$B$6:$B$25,"S3",'Backlog'!$E$6:$E$25)=0,Burndown!$B$7="",Burndown!$C$7=""),"",MAX(0,SUMIF('Backlog'!$B$6:$B$25,"S3",'Backlog'!$E$6:$E$25)-SUMIFS('Work Log'!$D$6:$D$205,'Work Log'!$E$6:$E$205,"S3",'Work Log'!$A$6:$A$205,"&lt;="&amp;L78)))</x:f>
      </x:c>
      <x:c r="K78" s="11" t="str">
        <x:f>IF(OR(L78="",SUMIF('Backlog'!$B$6:$B$25,"S3",'Backlog'!$E$6:$E$25)=0,Burndown!$B$7="",Burndown!$C$7="",Burndown!$C$7&lt;=Burndown!$B$7),"",MAX(0,SUMIF('Backlog'!$B$6:$B$25,"S3",'Backlog'!$E$6:$E$25)*(Burndown!$C$7-L78)/(Burndown!$C$7-Burndown!$B$7)))</x:f>
      </x:c>
      <x:c r="L78" s="10" t="str">
        <x:f>IF(OR('Work Log'!$E$81&lt;&gt;"S3",'Work Log'!$A$81=""),"",'Work Log'!$A$81)</x:f>
      </x:c>
      <x:c r="M78" t="str">
        <x:f>IF(P78="","",TEXT(P78,"mm/dd/yy"))</x:f>
      </x:c>
      <x:c r="N78" s="11" t="str">
        <x:f>IF(OR(P78="",SUMIF('Backlog'!$B$6:$B$25,"S4",'Backlog'!$E$6:$E$25)=0,Burndown!$B$8="",Burndown!$C$8=""),"",MAX(0,SUMIF('Backlog'!$B$6:$B$25,"S4",'Backlog'!$E$6:$E$25)-SUMIFS('Work Log'!$D$6:$D$205,'Work Log'!$E$6:$E$205,"S4",'Work Log'!$A$6:$A$205,"&lt;="&amp;P78)))</x:f>
      </x:c>
      <x:c r="O78" s="11" t="str">
        <x:f>IF(OR(P78="",SUMIF('Backlog'!$B$6:$B$25,"S4",'Backlog'!$E$6:$E$25)=0,Burndown!$B$8="",Burndown!$C$8="",Burndown!$C$8&lt;=Burndown!$B$8),"",MAX(0,SUMIF('Backlog'!$B$6:$B$25,"S4",'Backlog'!$E$6:$E$25)*(Burndown!$C$8-P78)/(Burndown!$C$8-Burndown!$B$8)))</x:f>
      </x:c>
      <x:c r="P78" s="10" t="str">
        <x:f>IF(OR('Work Log'!$E$81&lt;&gt;"S4",'Work Log'!$A$81=""),"",'Work Log'!$A$81)</x:f>
      </x:c>
      <x:c r="Q78" t="str">
        <x:f>IF(T78="","",TEXT(T78,"mm/dd/yy"))</x:f>
      </x:c>
      <x:c r="R78" s="11" t="str">
        <x:f>IF(OR(T78="",SUMIF('Backlog'!$B$6:$B$25,"S5",'Backlog'!$E$6:$E$25)=0,Burndown!$B$9="",Burndown!$C$9=""),"",MAX(0,SUMIF('Backlog'!$B$6:$B$25,"S5",'Backlog'!$E$6:$E$25)-SUMIFS('Work Log'!$D$6:$D$205,'Work Log'!$E$6:$E$205,"S5",'Work Log'!$A$6:$A$205,"&lt;="&amp;T78)))</x:f>
      </x:c>
      <x:c r="S78" s="11" t="str">
        <x:f>IF(OR(T78="",SUMIF('Backlog'!$B$6:$B$25,"S5",'Backlog'!$E$6:$E$25)=0,Burndown!$B$9="",Burndown!$C$9="",Burndown!$C$9&lt;=Burndown!$B$9),"",MAX(0,SUMIF('Backlog'!$B$6:$B$25,"S5",'Backlog'!$E$6:$E$25)*(Burndown!$C$9-T78)/(Burndown!$C$9-Burndown!$B$9)))</x:f>
      </x:c>
      <x:c r="T78" s="10" t="str">
        <x:f>IF(OR('Work Log'!$E$81&lt;&gt;"S5",'Work Log'!$A$81=""),"",'Work Log'!$A$81)</x:f>
      </x:c>
    </x:row>
    <x:row r="79">
      <x:c r="A79" t="str">
        <x:f>IF(D79="","",TEXT(D79,"mm/dd/yy"))</x:f>
      </x:c>
      <x:c r="B79" s="11" t="str">
        <x:f>IF(OR(D79="",SUMIF('Backlog'!$B$6:$B$25,"S1",'Backlog'!$E$6:$E$25)=0,Burndown!$B$5="",Burndown!$C$5=""),"",MAX(0,SUMIF('Backlog'!$B$6:$B$25,"S1",'Backlog'!$E$6:$E$25)-SUMIFS('Work Log'!$D$6:$D$205,'Work Log'!$E$6:$E$205,"S1",'Work Log'!$A$6:$A$205,"&lt;="&amp;D79)))</x:f>
      </x:c>
      <x:c r="C79" s="11" t="str">
        <x:f>IF(OR(D79="",SUMIF('Backlog'!$B$6:$B$25,"S1",'Backlog'!$E$6:$E$25)=0,Burndown!$B$5="",Burndown!$C$5="",Burndown!$C$5&lt;=Burndown!$B$5),"",MAX(0,SUMIF('Backlog'!$B$6:$B$25,"S1",'Backlog'!$E$6:$E$25)*(Burndown!$C$5-D79)/(Burndown!$C$5-Burndown!$B$5)))</x:f>
      </x:c>
      <x:c r="D79" s="10" t="str">
        <x:f>IF(OR('Work Log'!$E$82&lt;&gt;"S1",'Work Log'!$A$82=""),"",'Work Log'!$A$82)</x:f>
      </x:c>
      <x:c r="E79" t="str">
        <x:f>IF(H79="","",TEXT(H79,"mm/dd/yy"))</x:f>
      </x:c>
      <x:c r="F79" s="11" t="str">
        <x:f>IF(OR(H79="",SUMIF('Backlog'!$B$6:$B$25,"S2",'Backlog'!$E$6:$E$25)=0,Burndown!$B$6="",Burndown!$C$6=""),"",MAX(0,SUMIF('Backlog'!$B$6:$B$25,"S2",'Backlog'!$E$6:$E$25)-SUMIFS('Work Log'!$D$6:$D$205,'Work Log'!$E$6:$E$205,"S2",'Work Log'!$A$6:$A$205,"&lt;="&amp;H79)))</x:f>
      </x:c>
      <x:c r="G79" s="11" t="str">
        <x:f>IF(OR(H79="",SUMIF('Backlog'!$B$6:$B$25,"S2",'Backlog'!$E$6:$E$25)=0,Burndown!$B$6="",Burndown!$C$6="",Burndown!$C$6&lt;=Burndown!$B$6),"",MAX(0,SUMIF('Backlog'!$B$6:$B$25,"S2",'Backlog'!$E$6:$E$25)*(Burndown!$C$6-H79)/(Burndown!$C$6-Burndown!$B$6)))</x:f>
      </x:c>
      <x:c r="H79" s="10" t="str">
        <x:f>IF(OR('Work Log'!$E$82&lt;&gt;"S2",'Work Log'!$A$82=""),"",'Work Log'!$A$82)</x:f>
      </x:c>
      <x:c r="I79" t="str">
        <x:f>IF(L79="","",TEXT(L79,"mm/dd/yy"))</x:f>
      </x:c>
      <x:c r="J79" s="11" t="str">
        <x:f>IF(OR(L79="",SUMIF('Backlog'!$B$6:$B$25,"S3",'Backlog'!$E$6:$E$25)=0,Burndown!$B$7="",Burndown!$C$7=""),"",MAX(0,SUMIF('Backlog'!$B$6:$B$25,"S3",'Backlog'!$E$6:$E$25)-SUMIFS('Work Log'!$D$6:$D$205,'Work Log'!$E$6:$E$205,"S3",'Work Log'!$A$6:$A$205,"&lt;="&amp;L79)))</x:f>
      </x:c>
      <x:c r="K79" s="11" t="str">
        <x:f>IF(OR(L79="",SUMIF('Backlog'!$B$6:$B$25,"S3",'Backlog'!$E$6:$E$25)=0,Burndown!$B$7="",Burndown!$C$7="",Burndown!$C$7&lt;=Burndown!$B$7),"",MAX(0,SUMIF('Backlog'!$B$6:$B$25,"S3",'Backlog'!$E$6:$E$25)*(Burndown!$C$7-L79)/(Burndown!$C$7-Burndown!$B$7)))</x:f>
      </x:c>
      <x:c r="L79" s="10" t="str">
        <x:f>IF(OR('Work Log'!$E$82&lt;&gt;"S3",'Work Log'!$A$82=""),"",'Work Log'!$A$82)</x:f>
      </x:c>
      <x:c r="M79" t="str">
        <x:f>IF(P79="","",TEXT(P79,"mm/dd/yy"))</x:f>
      </x:c>
      <x:c r="N79" s="11" t="str">
        <x:f>IF(OR(P79="",SUMIF('Backlog'!$B$6:$B$25,"S4",'Backlog'!$E$6:$E$25)=0,Burndown!$B$8="",Burndown!$C$8=""),"",MAX(0,SUMIF('Backlog'!$B$6:$B$25,"S4",'Backlog'!$E$6:$E$25)-SUMIFS('Work Log'!$D$6:$D$205,'Work Log'!$E$6:$E$205,"S4",'Work Log'!$A$6:$A$205,"&lt;="&amp;P79)))</x:f>
      </x:c>
      <x:c r="O79" s="11" t="str">
        <x:f>IF(OR(P79="",SUMIF('Backlog'!$B$6:$B$25,"S4",'Backlog'!$E$6:$E$25)=0,Burndown!$B$8="",Burndown!$C$8="",Burndown!$C$8&lt;=Burndown!$B$8),"",MAX(0,SUMIF('Backlog'!$B$6:$B$25,"S4",'Backlog'!$E$6:$E$25)*(Burndown!$C$8-P79)/(Burndown!$C$8-Burndown!$B$8)))</x:f>
      </x:c>
      <x:c r="P79" s="10" t="str">
        <x:f>IF(OR('Work Log'!$E$82&lt;&gt;"S4",'Work Log'!$A$82=""),"",'Work Log'!$A$82)</x:f>
      </x:c>
      <x:c r="Q79" t="str">
        <x:f>IF(T79="","",TEXT(T79,"mm/dd/yy"))</x:f>
      </x:c>
      <x:c r="R79" s="11" t="str">
        <x:f>IF(OR(T79="",SUMIF('Backlog'!$B$6:$B$25,"S5",'Backlog'!$E$6:$E$25)=0,Burndown!$B$9="",Burndown!$C$9=""),"",MAX(0,SUMIF('Backlog'!$B$6:$B$25,"S5",'Backlog'!$E$6:$E$25)-SUMIFS('Work Log'!$D$6:$D$205,'Work Log'!$E$6:$E$205,"S5",'Work Log'!$A$6:$A$205,"&lt;="&amp;T79)))</x:f>
      </x:c>
      <x:c r="S79" s="11" t="str">
        <x:f>IF(OR(T79="",SUMIF('Backlog'!$B$6:$B$25,"S5",'Backlog'!$E$6:$E$25)=0,Burndown!$B$9="",Burndown!$C$9="",Burndown!$C$9&lt;=Burndown!$B$9),"",MAX(0,SUMIF('Backlog'!$B$6:$B$25,"S5",'Backlog'!$E$6:$E$25)*(Burndown!$C$9-T79)/(Burndown!$C$9-Burndown!$B$9)))</x:f>
      </x:c>
      <x:c r="T79" s="10" t="str">
        <x:f>IF(OR('Work Log'!$E$82&lt;&gt;"S5",'Work Log'!$A$82=""),"",'Work Log'!$A$82)</x:f>
      </x:c>
    </x:row>
    <x:row r="80">
      <x:c r="A80" t="str">
        <x:f>IF(D80="","",TEXT(D80,"mm/dd/yy"))</x:f>
      </x:c>
      <x:c r="B80" s="11" t="str">
        <x:f>IF(OR(D80="",SUMIF('Backlog'!$B$6:$B$25,"S1",'Backlog'!$E$6:$E$25)=0,Burndown!$B$5="",Burndown!$C$5=""),"",MAX(0,SUMIF('Backlog'!$B$6:$B$25,"S1",'Backlog'!$E$6:$E$25)-SUMIFS('Work Log'!$D$6:$D$205,'Work Log'!$E$6:$E$205,"S1",'Work Log'!$A$6:$A$205,"&lt;="&amp;D80)))</x:f>
      </x:c>
      <x:c r="C80" s="11" t="str">
        <x:f>IF(OR(D80="",SUMIF('Backlog'!$B$6:$B$25,"S1",'Backlog'!$E$6:$E$25)=0,Burndown!$B$5="",Burndown!$C$5="",Burndown!$C$5&lt;=Burndown!$B$5),"",MAX(0,SUMIF('Backlog'!$B$6:$B$25,"S1",'Backlog'!$E$6:$E$25)*(Burndown!$C$5-D80)/(Burndown!$C$5-Burndown!$B$5)))</x:f>
      </x:c>
      <x:c r="D80" s="10" t="str">
        <x:f>IF(OR('Work Log'!$E$83&lt;&gt;"S1",'Work Log'!$A$83=""),"",'Work Log'!$A$83)</x:f>
      </x:c>
      <x:c r="E80" t="str">
        <x:f>IF(H80="","",TEXT(H80,"mm/dd/yy"))</x:f>
      </x:c>
      <x:c r="F80" s="11" t="str">
        <x:f>IF(OR(H80="",SUMIF('Backlog'!$B$6:$B$25,"S2",'Backlog'!$E$6:$E$25)=0,Burndown!$B$6="",Burndown!$C$6=""),"",MAX(0,SUMIF('Backlog'!$B$6:$B$25,"S2",'Backlog'!$E$6:$E$25)-SUMIFS('Work Log'!$D$6:$D$205,'Work Log'!$E$6:$E$205,"S2",'Work Log'!$A$6:$A$205,"&lt;="&amp;H80)))</x:f>
      </x:c>
      <x:c r="G80" s="11" t="str">
        <x:f>IF(OR(H80="",SUMIF('Backlog'!$B$6:$B$25,"S2",'Backlog'!$E$6:$E$25)=0,Burndown!$B$6="",Burndown!$C$6="",Burndown!$C$6&lt;=Burndown!$B$6),"",MAX(0,SUMIF('Backlog'!$B$6:$B$25,"S2",'Backlog'!$E$6:$E$25)*(Burndown!$C$6-H80)/(Burndown!$C$6-Burndown!$B$6)))</x:f>
      </x:c>
      <x:c r="H80" s="10" t="str">
        <x:f>IF(OR('Work Log'!$E$83&lt;&gt;"S2",'Work Log'!$A$83=""),"",'Work Log'!$A$83)</x:f>
      </x:c>
      <x:c r="I80" t="str">
        <x:f>IF(L80="","",TEXT(L80,"mm/dd/yy"))</x:f>
      </x:c>
      <x:c r="J80" s="11" t="str">
        <x:f>IF(OR(L80="",SUMIF('Backlog'!$B$6:$B$25,"S3",'Backlog'!$E$6:$E$25)=0,Burndown!$B$7="",Burndown!$C$7=""),"",MAX(0,SUMIF('Backlog'!$B$6:$B$25,"S3",'Backlog'!$E$6:$E$25)-SUMIFS('Work Log'!$D$6:$D$205,'Work Log'!$E$6:$E$205,"S3",'Work Log'!$A$6:$A$205,"&lt;="&amp;L80)))</x:f>
      </x:c>
      <x:c r="K80" s="11" t="str">
        <x:f>IF(OR(L80="",SUMIF('Backlog'!$B$6:$B$25,"S3",'Backlog'!$E$6:$E$25)=0,Burndown!$B$7="",Burndown!$C$7="",Burndown!$C$7&lt;=Burndown!$B$7),"",MAX(0,SUMIF('Backlog'!$B$6:$B$25,"S3",'Backlog'!$E$6:$E$25)*(Burndown!$C$7-L80)/(Burndown!$C$7-Burndown!$B$7)))</x:f>
      </x:c>
      <x:c r="L80" s="10" t="str">
        <x:f>IF(OR('Work Log'!$E$83&lt;&gt;"S3",'Work Log'!$A$83=""),"",'Work Log'!$A$83)</x:f>
      </x:c>
      <x:c r="M80" t="str">
        <x:f>IF(P80="","",TEXT(P80,"mm/dd/yy"))</x:f>
      </x:c>
      <x:c r="N80" s="11" t="str">
        <x:f>IF(OR(P80="",SUMIF('Backlog'!$B$6:$B$25,"S4",'Backlog'!$E$6:$E$25)=0,Burndown!$B$8="",Burndown!$C$8=""),"",MAX(0,SUMIF('Backlog'!$B$6:$B$25,"S4",'Backlog'!$E$6:$E$25)-SUMIFS('Work Log'!$D$6:$D$205,'Work Log'!$E$6:$E$205,"S4",'Work Log'!$A$6:$A$205,"&lt;="&amp;P80)))</x:f>
      </x:c>
      <x:c r="O80" s="11" t="str">
        <x:f>IF(OR(P80="",SUMIF('Backlog'!$B$6:$B$25,"S4",'Backlog'!$E$6:$E$25)=0,Burndown!$B$8="",Burndown!$C$8="",Burndown!$C$8&lt;=Burndown!$B$8),"",MAX(0,SUMIF('Backlog'!$B$6:$B$25,"S4",'Backlog'!$E$6:$E$25)*(Burndown!$C$8-P80)/(Burndown!$C$8-Burndown!$B$8)))</x:f>
      </x:c>
      <x:c r="P80" s="10" t="str">
        <x:f>IF(OR('Work Log'!$E$83&lt;&gt;"S4",'Work Log'!$A$83=""),"",'Work Log'!$A$83)</x:f>
      </x:c>
      <x:c r="Q80" t="str">
        <x:f>IF(T80="","",TEXT(T80,"mm/dd/yy"))</x:f>
      </x:c>
      <x:c r="R80" s="11" t="str">
        <x:f>IF(OR(T80="",SUMIF('Backlog'!$B$6:$B$25,"S5",'Backlog'!$E$6:$E$25)=0,Burndown!$B$9="",Burndown!$C$9=""),"",MAX(0,SUMIF('Backlog'!$B$6:$B$25,"S5",'Backlog'!$E$6:$E$25)-SUMIFS('Work Log'!$D$6:$D$205,'Work Log'!$E$6:$E$205,"S5",'Work Log'!$A$6:$A$205,"&lt;="&amp;T80)))</x:f>
      </x:c>
      <x:c r="S80" s="11" t="str">
        <x:f>IF(OR(T80="",SUMIF('Backlog'!$B$6:$B$25,"S5",'Backlog'!$E$6:$E$25)=0,Burndown!$B$9="",Burndown!$C$9="",Burndown!$C$9&lt;=Burndown!$B$9),"",MAX(0,SUMIF('Backlog'!$B$6:$B$25,"S5",'Backlog'!$E$6:$E$25)*(Burndown!$C$9-T80)/(Burndown!$C$9-Burndown!$B$9)))</x:f>
      </x:c>
      <x:c r="T80" s="10" t="str">
        <x:f>IF(OR('Work Log'!$E$83&lt;&gt;"S5",'Work Log'!$A$83=""),"",'Work Log'!$A$83)</x:f>
      </x:c>
    </x:row>
    <x:row r="81">
      <x:c r="A81" t="str">
        <x:f>IF(D81="","",TEXT(D81,"mm/dd/yy"))</x:f>
      </x:c>
      <x:c r="B81" s="11" t="str">
        <x:f>IF(OR(D81="",SUMIF('Backlog'!$B$6:$B$25,"S1",'Backlog'!$E$6:$E$25)=0,Burndown!$B$5="",Burndown!$C$5=""),"",MAX(0,SUMIF('Backlog'!$B$6:$B$25,"S1",'Backlog'!$E$6:$E$25)-SUMIFS('Work Log'!$D$6:$D$205,'Work Log'!$E$6:$E$205,"S1",'Work Log'!$A$6:$A$205,"&lt;="&amp;D81)))</x:f>
      </x:c>
      <x:c r="C81" s="11" t="str">
        <x:f>IF(OR(D81="",SUMIF('Backlog'!$B$6:$B$25,"S1",'Backlog'!$E$6:$E$25)=0,Burndown!$B$5="",Burndown!$C$5="",Burndown!$C$5&lt;=Burndown!$B$5),"",MAX(0,SUMIF('Backlog'!$B$6:$B$25,"S1",'Backlog'!$E$6:$E$25)*(Burndown!$C$5-D81)/(Burndown!$C$5-Burndown!$B$5)))</x:f>
      </x:c>
      <x:c r="D81" s="10" t="str">
        <x:f>IF(OR('Work Log'!$E$84&lt;&gt;"S1",'Work Log'!$A$84=""),"",'Work Log'!$A$84)</x:f>
      </x:c>
      <x:c r="E81" t="str">
        <x:f>IF(H81="","",TEXT(H81,"mm/dd/yy"))</x:f>
      </x:c>
      <x:c r="F81" s="11" t="str">
        <x:f>IF(OR(H81="",SUMIF('Backlog'!$B$6:$B$25,"S2",'Backlog'!$E$6:$E$25)=0,Burndown!$B$6="",Burndown!$C$6=""),"",MAX(0,SUMIF('Backlog'!$B$6:$B$25,"S2",'Backlog'!$E$6:$E$25)-SUMIFS('Work Log'!$D$6:$D$205,'Work Log'!$E$6:$E$205,"S2",'Work Log'!$A$6:$A$205,"&lt;="&amp;H81)))</x:f>
      </x:c>
      <x:c r="G81" s="11" t="str">
        <x:f>IF(OR(H81="",SUMIF('Backlog'!$B$6:$B$25,"S2",'Backlog'!$E$6:$E$25)=0,Burndown!$B$6="",Burndown!$C$6="",Burndown!$C$6&lt;=Burndown!$B$6),"",MAX(0,SUMIF('Backlog'!$B$6:$B$25,"S2",'Backlog'!$E$6:$E$25)*(Burndown!$C$6-H81)/(Burndown!$C$6-Burndown!$B$6)))</x:f>
      </x:c>
      <x:c r="H81" s="10" t="str">
        <x:f>IF(OR('Work Log'!$E$84&lt;&gt;"S2",'Work Log'!$A$84=""),"",'Work Log'!$A$84)</x:f>
      </x:c>
      <x:c r="I81" t="str">
        <x:f>IF(L81="","",TEXT(L81,"mm/dd/yy"))</x:f>
      </x:c>
      <x:c r="J81" s="11" t="str">
        <x:f>IF(OR(L81="",SUMIF('Backlog'!$B$6:$B$25,"S3",'Backlog'!$E$6:$E$25)=0,Burndown!$B$7="",Burndown!$C$7=""),"",MAX(0,SUMIF('Backlog'!$B$6:$B$25,"S3",'Backlog'!$E$6:$E$25)-SUMIFS('Work Log'!$D$6:$D$205,'Work Log'!$E$6:$E$205,"S3",'Work Log'!$A$6:$A$205,"&lt;="&amp;L81)))</x:f>
      </x:c>
      <x:c r="K81" s="11" t="str">
        <x:f>IF(OR(L81="",SUMIF('Backlog'!$B$6:$B$25,"S3",'Backlog'!$E$6:$E$25)=0,Burndown!$B$7="",Burndown!$C$7="",Burndown!$C$7&lt;=Burndown!$B$7),"",MAX(0,SUMIF('Backlog'!$B$6:$B$25,"S3",'Backlog'!$E$6:$E$25)*(Burndown!$C$7-L81)/(Burndown!$C$7-Burndown!$B$7)))</x:f>
      </x:c>
      <x:c r="L81" s="10" t="str">
        <x:f>IF(OR('Work Log'!$E$84&lt;&gt;"S3",'Work Log'!$A$84=""),"",'Work Log'!$A$84)</x:f>
      </x:c>
      <x:c r="M81" t="str">
        <x:f>IF(P81="","",TEXT(P81,"mm/dd/yy"))</x:f>
      </x:c>
      <x:c r="N81" s="11" t="str">
        <x:f>IF(OR(P81="",SUMIF('Backlog'!$B$6:$B$25,"S4",'Backlog'!$E$6:$E$25)=0,Burndown!$B$8="",Burndown!$C$8=""),"",MAX(0,SUMIF('Backlog'!$B$6:$B$25,"S4",'Backlog'!$E$6:$E$25)-SUMIFS('Work Log'!$D$6:$D$205,'Work Log'!$E$6:$E$205,"S4",'Work Log'!$A$6:$A$205,"&lt;="&amp;P81)))</x:f>
      </x:c>
      <x:c r="O81" s="11" t="str">
        <x:f>IF(OR(P81="",SUMIF('Backlog'!$B$6:$B$25,"S4",'Backlog'!$E$6:$E$25)=0,Burndown!$B$8="",Burndown!$C$8="",Burndown!$C$8&lt;=Burndown!$B$8),"",MAX(0,SUMIF('Backlog'!$B$6:$B$25,"S4",'Backlog'!$E$6:$E$25)*(Burndown!$C$8-P81)/(Burndown!$C$8-Burndown!$B$8)))</x:f>
      </x:c>
      <x:c r="P81" s="10" t="str">
        <x:f>IF(OR('Work Log'!$E$84&lt;&gt;"S4",'Work Log'!$A$84=""),"",'Work Log'!$A$84)</x:f>
      </x:c>
      <x:c r="Q81" t="str">
        <x:f>IF(T81="","",TEXT(T81,"mm/dd/yy"))</x:f>
      </x:c>
      <x:c r="R81" s="11" t="str">
        <x:f>IF(OR(T81="",SUMIF('Backlog'!$B$6:$B$25,"S5",'Backlog'!$E$6:$E$25)=0,Burndown!$B$9="",Burndown!$C$9=""),"",MAX(0,SUMIF('Backlog'!$B$6:$B$25,"S5",'Backlog'!$E$6:$E$25)-SUMIFS('Work Log'!$D$6:$D$205,'Work Log'!$E$6:$E$205,"S5",'Work Log'!$A$6:$A$205,"&lt;="&amp;T81)))</x:f>
      </x:c>
      <x:c r="S81" s="11" t="str">
        <x:f>IF(OR(T81="",SUMIF('Backlog'!$B$6:$B$25,"S5",'Backlog'!$E$6:$E$25)=0,Burndown!$B$9="",Burndown!$C$9="",Burndown!$C$9&lt;=Burndown!$B$9),"",MAX(0,SUMIF('Backlog'!$B$6:$B$25,"S5",'Backlog'!$E$6:$E$25)*(Burndown!$C$9-T81)/(Burndown!$C$9-Burndown!$B$9)))</x:f>
      </x:c>
      <x:c r="T81" s="10" t="str">
        <x:f>IF(OR('Work Log'!$E$84&lt;&gt;"S5",'Work Log'!$A$84=""),"",'Work Log'!$A$84)</x:f>
      </x:c>
    </x:row>
    <x:row r="82">
      <x:c r="A82" t="str">
        <x:f>IF(D82="","",TEXT(D82,"mm/dd/yy"))</x:f>
      </x:c>
      <x:c r="B82" s="11" t="str">
        <x:f>IF(OR(D82="",SUMIF('Backlog'!$B$6:$B$25,"S1",'Backlog'!$E$6:$E$25)=0,Burndown!$B$5="",Burndown!$C$5=""),"",MAX(0,SUMIF('Backlog'!$B$6:$B$25,"S1",'Backlog'!$E$6:$E$25)-SUMIFS('Work Log'!$D$6:$D$205,'Work Log'!$E$6:$E$205,"S1",'Work Log'!$A$6:$A$205,"&lt;="&amp;D82)))</x:f>
      </x:c>
      <x:c r="C82" s="11" t="str">
        <x:f>IF(OR(D82="",SUMIF('Backlog'!$B$6:$B$25,"S1",'Backlog'!$E$6:$E$25)=0,Burndown!$B$5="",Burndown!$C$5="",Burndown!$C$5&lt;=Burndown!$B$5),"",MAX(0,SUMIF('Backlog'!$B$6:$B$25,"S1",'Backlog'!$E$6:$E$25)*(Burndown!$C$5-D82)/(Burndown!$C$5-Burndown!$B$5)))</x:f>
      </x:c>
      <x:c r="D82" s="10" t="str">
        <x:f>IF(OR('Work Log'!$E$85&lt;&gt;"S1",'Work Log'!$A$85=""),"",'Work Log'!$A$85)</x:f>
      </x:c>
      <x:c r="E82" t="str">
        <x:f>IF(H82="","",TEXT(H82,"mm/dd/yy"))</x:f>
      </x:c>
      <x:c r="F82" s="11" t="str">
        <x:f>IF(OR(H82="",SUMIF('Backlog'!$B$6:$B$25,"S2",'Backlog'!$E$6:$E$25)=0,Burndown!$B$6="",Burndown!$C$6=""),"",MAX(0,SUMIF('Backlog'!$B$6:$B$25,"S2",'Backlog'!$E$6:$E$25)-SUMIFS('Work Log'!$D$6:$D$205,'Work Log'!$E$6:$E$205,"S2",'Work Log'!$A$6:$A$205,"&lt;="&amp;H82)))</x:f>
      </x:c>
      <x:c r="G82" s="11" t="str">
        <x:f>IF(OR(H82="",SUMIF('Backlog'!$B$6:$B$25,"S2",'Backlog'!$E$6:$E$25)=0,Burndown!$B$6="",Burndown!$C$6="",Burndown!$C$6&lt;=Burndown!$B$6),"",MAX(0,SUMIF('Backlog'!$B$6:$B$25,"S2",'Backlog'!$E$6:$E$25)*(Burndown!$C$6-H82)/(Burndown!$C$6-Burndown!$B$6)))</x:f>
      </x:c>
      <x:c r="H82" s="10" t="str">
        <x:f>IF(OR('Work Log'!$E$85&lt;&gt;"S2",'Work Log'!$A$85=""),"",'Work Log'!$A$85)</x:f>
      </x:c>
      <x:c r="I82" t="str">
        <x:f>IF(L82="","",TEXT(L82,"mm/dd/yy"))</x:f>
      </x:c>
      <x:c r="J82" s="11" t="str">
        <x:f>IF(OR(L82="",SUMIF('Backlog'!$B$6:$B$25,"S3",'Backlog'!$E$6:$E$25)=0,Burndown!$B$7="",Burndown!$C$7=""),"",MAX(0,SUMIF('Backlog'!$B$6:$B$25,"S3",'Backlog'!$E$6:$E$25)-SUMIFS('Work Log'!$D$6:$D$205,'Work Log'!$E$6:$E$205,"S3",'Work Log'!$A$6:$A$205,"&lt;="&amp;L82)))</x:f>
      </x:c>
      <x:c r="K82" s="11" t="str">
        <x:f>IF(OR(L82="",SUMIF('Backlog'!$B$6:$B$25,"S3",'Backlog'!$E$6:$E$25)=0,Burndown!$B$7="",Burndown!$C$7="",Burndown!$C$7&lt;=Burndown!$B$7),"",MAX(0,SUMIF('Backlog'!$B$6:$B$25,"S3",'Backlog'!$E$6:$E$25)*(Burndown!$C$7-L82)/(Burndown!$C$7-Burndown!$B$7)))</x:f>
      </x:c>
      <x:c r="L82" s="10" t="str">
        <x:f>IF(OR('Work Log'!$E$85&lt;&gt;"S3",'Work Log'!$A$85=""),"",'Work Log'!$A$85)</x:f>
      </x:c>
      <x:c r="M82" t="str">
        <x:f>IF(P82="","",TEXT(P82,"mm/dd/yy"))</x:f>
      </x:c>
      <x:c r="N82" s="11" t="str">
        <x:f>IF(OR(P82="",SUMIF('Backlog'!$B$6:$B$25,"S4",'Backlog'!$E$6:$E$25)=0,Burndown!$B$8="",Burndown!$C$8=""),"",MAX(0,SUMIF('Backlog'!$B$6:$B$25,"S4",'Backlog'!$E$6:$E$25)-SUMIFS('Work Log'!$D$6:$D$205,'Work Log'!$E$6:$E$205,"S4",'Work Log'!$A$6:$A$205,"&lt;="&amp;P82)))</x:f>
      </x:c>
      <x:c r="O82" s="11" t="str">
        <x:f>IF(OR(P82="",SUMIF('Backlog'!$B$6:$B$25,"S4",'Backlog'!$E$6:$E$25)=0,Burndown!$B$8="",Burndown!$C$8="",Burndown!$C$8&lt;=Burndown!$B$8),"",MAX(0,SUMIF('Backlog'!$B$6:$B$25,"S4",'Backlog'!$E$6:$E$25)*(Burndown!$C$8-P82)/(Burndown!$C$8-Burndown!$B$8)))</x:f>
      </x:c>
      <x:c r="P82" s="10" t="str">
        <x:f>IF(OR('Work Log'!$E$85&lt;&gt;"S4",'Work Log'!$A$85=""),"",'Work Log'!$A$85)</x:f>
      </x:c>
      <x:c r="Q82" t="str">
        <x:f>IF(T82="","",TEXT(T82,"mm/dd/yy"))</x:f>
      </x:c>
      <x:c r="R82" s="11" t="str">
        <x:f>IF(OR(T82="",SUMIF('Backlog'!$B$6:$B$25,"S5",'Backlog'!$E$6:$E$25)=0,Burndown!$B$9="",Burndown!$C$9=""),"",MAX(0,SUMIF('Backlog'!$B$6:$B$25,"S5",'Backlog'!$E$6:$E$25)-SUMIFS('Work Log'!$D$6:$D$205,'Work Log'!$E$6:$E$205,"S5",'Work Log'!$A$6:$A$205,"&lt;="&amp;T82)))</x:f>
      </x:c>
      <x:c r="S82" s="11" t="str">
        <x:f>IF(OR(T82="",SUMIF('Backlog'!$B$6:$B$25,"S5",'Backlog'!$E$6:$E$25)=0,Burndown!$B$9="",Burndown!$C$9="",Burndown!$C$9&lt;=Burndown!$B$9),"",MAX(0,SUMIF('Backlog'!$B$6:$B$25,"S5",'Backlog'!$E$6:$E$25)*(Burndown!$C$9-T82)/(Burndown!$C$9-Burndown!$B$9)))</x:f>
      </x:c>
      <x:c r="T82" s="10" t="str">
        <x:f>IF(OR('Work Log'!$E$85&lt;&gt;"S5",'Work Log'!$A$85=""),"",'Work Log'!$A$85)</x:f>
      </x:c>
    </x:row>
    <x:row r="83">
      <x:c r="A83" t="str">
        <x:f>IF(D83="","",TEXT(D83,"mm/dd/yy"))</x:f>
      </x:c>
      <x:c r="B83" s="11" t="str">
        <x:f>IF(OR(D83="",SUMIF('Backlog'!$B$6:$B$25,"S1",'Backlog'!$E$6:$E$25)=0,Burndown!$B$5="",Burndown!$C$5=""),"",MAX(0,SUMIF('Backlog'!$B$6:$B$25,"S1",'Backlog'!$E$6:$E$25)-SUMIFS('Work Log'!$D$6:$D$205,'Work Log'!$E$6:$E$205,"S1",'Work Log'!$A$6:$A$205,"&lt;="&amp;D83)))</x:f>
      </x:c>
      <x:c r="C83" s="11" t="str">
        <x:f>IF(OR(D83="",SUMIF('Backlog'!$B$6:$B$25,"S1",'Backlog'!$E$6:$E$25)=0,Burndown!$B$5="",Burndown!$C$5="",Burndown!$C$5&lt;=Burndown!$B$5),"",MAX(0,SUMIF('Backlog'!$B$6:$B$25,"S1",'Backlog'!$E$6:$E$25)*(Burndown!$C$5-D83)/(Burndown!$C$5-Burndown!$B$5)))</x:f>
      </x:c>
      <x:c r="D83" s="10" t="str">
        <x:f>IF(OR('Work Log'!$E$86&lt;&gt;"S1",'Work Log'!$A$86=""),"",'Work Log'!$A$86)</x:f>
      </x:c>
      <x:c r="E83" t="str">
        <x:f>IF(H83="","",TEXT(H83,"mm/dd/yy"))</x:f>
      </x:c>
      <x:c r="F83" s="11" t="str">
        <x:f>IF(OR(H83="",SUMIF('Backlog'!$B$6:$B$25,"S2",'Backlog'!$E$6:$E$25)=0,Burndown!$B$6="",Burndown!$C$6=""),"",MAX(0,SUMIF('Backlog'!$B$6:$B$25,"S2",'Backlog'!$E$6:$E$25)-SUMIFS('Work Log'!$D$6:$D$205,'Work Log'!$E$6:$E$205,"S2",'Work Log'!$A$6:$A$205,"&lt;="&amp;H83)))</x:f>
      </x:c>
      <x:c r="G83" s="11" t="str">
        <x:f>IF(OR(H83="",SUMIF('Backlog'!$B$6:$B$25,"S2",'Backlog'!$E$6:$E$25)=0,Burndown!$B$6="",Burndown!$C$6="",Burndown!$C$6&lt;=Burndown!$B$6),"",MAX(0,SUMIF('Backlog'!$B$6:$B$25,"S2",'Backlog'!$E$6:$E$25)*(Burndown!$C$6-H83)/(Burndown!$C$6-Burndown!$B$6)))</x:f>
      </x:c>
      <x:c r="H83" s="10" t="str">
        <x:f>IF(OR('Work Log'!$E$86&lt;&gt;"S2",'Work Log'!$A$86=""),"",'Work Log'!$A$86)</x:f>
      </x:c>
      <x:c r="I83" t="str">
        <x:f>IF(L83="","",TEXT(L83,"mm/dd/yy"))</x:f>
      </x:c>
      <x:c r="J83" s="11" t="str">
        <x:f>IF(OR(L83="",SUMIF('Backlog'!$B$6:$B$25,"S3",'Backlog'!$E$6:$E$25)=0,Burndown!$B$7="",Burndown!$C$7=""),"",MAX(0,SUMIF('Backlog'!$B$6:$B$25,"S3",'Backlog'!$E$6:$E$25)-SUMIFS('Work Log'!$D$6:$D$205,'Work Log'!$E$6:$E$205,"S3",'Work Log'!$A$6:$A$205,"&lt;="&amp;L83)))</x:f>
      </x:c>
      <x:c r="K83" s="11" t="str">
        <x:f>IF(OR(L83="",SUMIF('Backlog'!$B$6:$B$25,"S3",'Backlog'!$E$6:$E$25)=0,Burndown!$B$7="",Burndown!$C$7="",Burndown!$C$7&lt;=Burndown!$B$7),"",MAX(0,SUMIF('Backlog'!$B$6:$B$25,"S3",'Backlog'!$E$6:$E$25)*(Burndown!$C$7-L83)/(Burndown!$C$7-Burndown!$B$7)))</x:f>
      </x:c>
      <x:c r="L83" s="10" t="str">
        <x:f>IF(OR('Work Log'!$E$86&lt;&gt;"S3",'Work Log'!$A$86=""),"",'Work Log'!$A$86)</x:f>
      </x:c>
      <x:c r="M83" t="str">
        <x:f>IF(P83="","",TEXT(P83,"mm/dd/yy"))</x:f>
      </x:c>
      <x:c r="N83" s="11" t="str">
        <x:f>IF(OR(P83="",SUMIF('Backlog'!$B$6:$B$25,"S4",'Backlog'!$E$6:$E$25)=0,Burndown!$B$8="",Burndown!$C$8=""),"",MAX(0,SUMIF('Backlog'!$B$6:$B$25,"S4",'Backlog'!$E$6:$E$25)-SUMIFS('Work Log'!$D$6:$D$205,'Work Log'!$E$6:$E$205,"S4",'Work Log'!$A$6:$A$205,"&lt;="&amp;P83)))</x:f>
      </x:c>
      <x:c r="O83" s="11" t="str">
        <x:f>IF(OR(P83="",SUMIF('Backlog'!$B$6:$B$25,"S4",'Backlog'!$E$6:$E$25)=0,Burndown!$B$8="",Burndown!$C$8="",Burndown!$C$8&lt;=Burndown!$B$8),"",MAX(0,SUMIF('Backlog'!$B$6:$B$25,"S4",'Backlog'!$E$6:$E$25)*(Burndown!$C$8-P83)/(Burndown!$C$8-Burndown!$B$8)))</x:f>
      </x:c>
      <x:c r="P83" s="10" t="str">
        <x:f>IF(OR('Work Log'!$E$86&lt;&gt;"S4",'Work Log'!$A$86=""),"",'Work Log'!$A$86)</x:f>
      </x:c>
      <x:c r="Q83" t="str">
        <x:f>IF(T83="","",TEXT(T83,"mm/dd/yy"))</x:f>
      </x:c>
      <x:c r="R83" s="11" t="str">
        <x:f>IF(OR(T83="",SUMIF('Backlog'!$B$6:$B$25,"S5",'Backlog'!$E$6:$E$25)=0,Burndown!$B$9="",Burndown!$C$9=""),"",MAX(0,SUMIF('Backlog'!$B$6:$B$25,"S5",'Backlog'!$E$6:$E$25)-SUMIFS('Work Log'!$D$6:$D$205,'Work Log'!$E$6:$E$205,"S5",'Work Log'!$A$6:$A$205,"&lt;="&amp;T83)))</x:f>
      </x:c>
      <x:c r="S83" s="11" t="str">
        <x:f>IF(OR(T83="",SUMIF('Backlog'!$B$6:$B$25,"S5",'Backlog'!$E$6:$E$25)=0,Burndown!$B$9="",Burndown!$C$9="",Burndown!$C$9&lt;=Burndown!$B$9),"",MAX(0,SUMIF('Backlog'!$B$6:$B$25,"S5",'Backlog'!$E$6:$E$25)*(Burndown!$C$9-T83)/(Burndown!$C$9-Burndown!$B$9)))</x:f>
      </x:c>
      <x:c r="T83" s="10" t="str">
        <x:f>IF(OR('Work Log'!$E$86&lt;&gt;"S5",'Work Log'!$A$86=""),"",'Work Log'!$A$86)</x:f>
      </x:c>
    </x:row>
    <x:row r="84">
      <x:c r="A84" t="str">
        <x:f>IF(D84="","",TEXT(D84,"mm/dd/yy"))</x:f>
      </x:c>
      <x:c r="B84" s="11" t="str">
        <x:f>IF(OR(D84="",SUMIF('Backlog'!$B$6:$B$25,"S1",'Backlog'!$E$6:$E$25)=0,Burndown!$B$5="",Burndown!$C$5=""),"",MAX(0,SUMIF('Backlog'!$B$6:$B$25,"S1",'Backlog'!$E$6:$E$25)-SUMIFS('Work Log'!$D$6:$D$205,'Work Log'!$E$6:$E$205,"S1",'Work Log'!$A$6:$A$205,"&lt;="&amp;D84)))</x:f>
      </x:c>
      <x:c r="C84" s="11" t="str">
        <x:f>IF(OR(D84="",SUMIF('Backlog'!$B$6:$B$25,"S1",'Backlog'!$E$6:$E$25)=0,Burndown!$B$5="",Burndown!$C$5="",Burndown!$C$5&lt;=Burndown!$B$5),"",MAX(0,SUMIF('Backlog'!$B$6:$B$25,"S1",'Backlog'!$E$6:$E$25)*(Burndown!$C$5-D84)/(Burndown!$C$5-Burndown!$B$5)))</x:f>
      </x:c>
      <x:c r="D84" s="10" t="str">
        <x:f>IF(OR('Work Log'!$E$87&lt;&gt;"S1",'Work Log'!$A$87=""),"",'Work Log'!$A$87)</x:f>
      </x:c>
      <x:c r="E84" t="str">
        <x:f>IF(H84="","",TEXT(H84,"mm/dd/yy"))</x:f>
      </x:c>
      <x:c r="F84" s="11" t="str">
        <x:f>IF(OR(H84="",SUMIF('Backlog'!$B$6:$B$25,"S2",'Backlog'!$E$6:$E$25)=0,Burndown!$B$6="",Burndown!$C$6=""),"",MAX(0,SUMIF('Backlog'!$B$6:$B$25,"S2",'Backlog'!$E$6:$E$25)-SUMIFS('Work Log'!$D$6:$D$205,'Work Log'!$E$6:$E$205,"S2",'Work Log'!$A$6:$A$205,"&lt;="&amp;H84)))</x:f>
      </x:c>
      <x:c r="G84" s="11" t="str">
        <x:f>IF(OR(H84="",SUMIF('Backlog'!$B$6:$B$25,"S2",'Backlog'!$E$6:$E$25)=0,Burndown!$B$6="",Burndown!$C$6="",Burndown!$C$6&lt;=Burndown!$B$6),"",MAX(0,SUMIF('Backlog'!$B$6:$B$25,"S2",'Backlog'!$E$6:$E$25)*(Burndown!$C$6-H84)/(Burndown!$C$6-Burndown!$B$6)))</x:f>
      </x:c>
      <x:c r="H84" s="10" t="str">
        <x:f>IF(OR('Work Log'!$E$87&lt;&gt;"S2",'Work Log'!$A$87=""),"",'Work Log'!$A$87)</x:f>
      </x:c>
      <x:c r="I84" t="str">
        <x:f>IF(L84="","",TEXT(L84,"mm/dd/yy"))</x:f>
      </x:c>
      <x:c r="J84" s="11" t="str">
        <x:f>IF(OR(L84="",SUMIF('Backlog'!$B$6:$B$25,"S3",'Backlog'!$E$6:$E$25)=0,Burndown!$B$7="",Burndown!$C$7=""),"",MAX(0,SUMIF('Backlog'!$B$6:$B$25,"S3",'Backlog'!$E$6:$E$25)-SUMIFS('Work Log'!$D$6:$D$205,'Work Log'!$E$6:$E$205,"S3",'Work Log'!$A$6:$A$205,"&lt;="&amp;L84)))</x:f>
      </x:c>
      <x:c r="K84" s="11" t="str">
        <x:f>IF(OR(L84="",SUMIF('Backlog'!$B$6:$B$25,"S3",'Backlog'!$E$6:$E$25)=0,Burndown!$B$7="",Burndown!$C$7="",Burndown!$C$7&lt;=Burndown!$B$7),"",MAX(0,SUMIF('Backlog'!$B$6:$B$25,"S3",'Backlog'!$E$6:$E$25)*(Burndown!$C$7-L84)/(Burndown!$C$7-Burndown!$B$7)))</x:f>
      </x:c>
      <x:c r="L84" s="10" t="str">
        <x:f>IF(OR('Work Log'!$E$87&lt;&gt;"S3",'Work Log'!$A$87=""),"",'Work Log'!$A$87)</x:f>
      </x:c>
      <x:c r="M84" t="str">
        <x:f>IF(P84="","",TEXT(P84,"mm/dd/yy"))</x:f>
      </x:c>
      <x:c r="N84" s="11" t="str">
        <x:f>IF(OR(P84="",SUMIF('Backlog'!$B$6:$B$25,"S4",'Backlog'!$E$6:$E$25)=0,Burndown!$B$8="",Burndown!$C$8=""),"",MAX(0,SUMIF('Backlog'!$B$6:$B$25,"S4",'Backlog'!$E$6:$E$25)-SUMIFS('Work Log'!$D$6:$D$205,'Work Log'!$E$6:$E$205,"S4",'Work Log'!$A$6:$A$205,"&lt;="&amp;P84)))</x:f>
      </x:c>
      <x:c r="O84" s="11" t="str">
        <x:f>IF(OR(P84="",SUMIF('Backlog'!$B$6:$B$25,"S4",'Backlog'!$E$6:$E$25)=0,Burndown!$B$8="",Burndown!$C$8="",Burndown!$C$8&lt;=Burndown!$B$8),"",MAX(0,SUMIF('Backlog'!$B$6:$B$25,"S4",'Backlog'!$E$6:$E$25)*(Burndown!$C$8-P84)/(Burndown!$C$8-Burndown!$B$8)))</x:f>
      </x:c>
      <x:c r="P84" s="10" t="str">
        <x:f>IF(OR('Work Log'!$E$87&lt;&gt;"S4",'Work Log'!$A$87=""),"",'Work Log'!$A$87)</x:f>
      </x:c>
      <x:c r="Q84" t="str">
        <x:f>IF(T84="","",TEXT(T84,"mm/dd/yy"))</x:f>
      </x:c>
      <x:c r="R84" s="11" t="str">
        <x:f>IF(OR(T84="",SUMIF('Backlog'!$B$6:$B$25,"S5",'Backlog'!$E$6:$E$25)=0,Burndown!$B$9="",Burndown!$C$9=""),"",MAX(0,SUMIF('Backlog'!$B$6:$B$25,"S5",'Backlog'!$E$6:$E$25)-SUMIFS('Work Log'!$D$6:$D$205,'Work Log'!$E$6:$E$205,"S5",'Work Log'!$A$6:$A$205,"&lt;="&amp;T84)))</x:f>
      </x:c>
      <x:c r="S84" s="11" t="str">
        <x:f>IF(OR(T84="",SUMIF('Backlog'!$B$6:$B$25,"S5",'Backlog'!$E$6:$E$25)=0,Burndown!$B$9="",Burndown!$C$9="",Burndown!$C$9&lt;=Burndown!$B$9),"",MAX(0,SUMIF('Backlog'!$B$6:$B$25,"S5",'Backlog'!$E$6:$E$25)*(Burndown!$C$9-T84)/(Burndown!$C$9-Burndown!$B$9)))</x:f>
      </x:c>
      <x:c r="T84" s="10" t="str">
        <x:f>IF(OR('Work Log'!$E$87&lt;&gt;"S5",'Work Log'!$A$87=""),"",'Work Log'!$A$87)</x:f>
      </x:c>
    </x:row>
    <x:row r="85">
      <x:c r="A85" t="str">
        <x:f>IF(D85="","",TEXT(D85,"mm/dd/yy"))</x:f>
      </x:c>
      <x:c r="B85" s="11" t="str">
        <x:f>IF(OR(D85="",SUMIF('Backlog'!$B$6:$B$25,"S1",'Backlog'!$E$6:$E$25)=0,Burndown!$B$5="",Burndown!$C$5=""),"",MAX(0,SUMIF('Backlog'!$B$6:$B$25,"S1",'Backlog'!$E$6:$E$25)-SUMIFS('Work Log'!$D$6:$D$205,'Work Log'!$E$6:$E$205,"S1",'Work Log'!$A$6:$A$205,"&lt;="&amp;D85)))</x:f>
      </x:c>
      <x:c r="C85" s="11" t="str">
        <x:f>IF(OR(D85="",SUMIF('Backlog'!$B$6:$B$25,"S1",'Backlog'!$E$6:$E$25)=0,Burndown!$B$5="",Burndown!$C$5="",Burndown!$C$5&lt;=Burndown!$B$5),"",MAX(0,SUMIF('Backlog'!$B$6:$B$25,"S1",'Backlog'!$E$6:$E$25)*(Burndown!$C$5-D85)/(Burndown!$C$5-Burndown!$B$5)))</x:f>
      </x:c>
      <x:c r="D85" s="10" t="str">
        <x:f>IF(OR('Work Log'!$E$88&lt;&gt;"S1",'Work Log'!$A$88=""),"",'Work Log'!$A$88)</x:f>
      </x:c>
      <x:c r="E85" t="str">
        <x:f>IF(H85="","",TEXT(H85,"mm/dd/yy"))</x:f>
      </x:c>
      <x:c r="F85" s="11" t="str">
        <x:f>IF(OR(H85="",SUMIF('Backlog'!$B$6:$B$25,"S2",'Backlog'!$E$6:$E$25)=0,Burndown!$B$6="",Burndown!$C$6=""),"",MAX(0,SUMIF('Backlog'!$B$6:$B$25,"S2",'Backlog'!$E$6:$E$25)-SUMIFS('Work Log'!$D$6:$D$205,'Work Log'!$E$6:$E$205,"S2",'Work Log'!$A$6:$A$205,"&lt;="&amp;H85)))</x:f>
      </x:c>
      <x:c r="G85" s="11" t="str">
        <x:f>IF(OR(H85="",SUMIF('Backlog'!$B$6:$B$25,"S2",'Backlog'!$E$6:$E$25)=0,Burndown!$B$6="",Burndown!$C$6="",Burndown!$C$6&lt;=Burndown!$B$6),"",MAX(0,SUMIF('Backlog'!$B$6:$B$25,"S2",'Backlog'!$E$6:$E$25)*(Burndown!$C$6-H85)/(Burndown!$C$6-Burndown!$B$6)))</x:f>
      </x:c>
      <x:c r="H85" s="10" t="str">
        <x:f>IF(OR('Work Log'!$E$88&lt;&gt;"S2",'Work Log'!$A$88=""),"",'Work Log'!$A$88)</x:f>
      </x:c>
      <x:c r="I85" t="str">
        <x:f>IF(L85="","",TEXT(L85,"mm/dd/yy"))</x:f>
      </x:c>
      <x:c r="J85" s="11" t="str">
        <x:f>IF(OR(L85="",SUMIF('Backlog'!$B$6:$B$25,"S3",'Backlog'!$E$6:$E$25)=0,Burndown!$B$7="",Burndown!$C$7=""),"",MAX(0,SUMIF('Backlog'!$B$6:$B$25,"S3",'Backlog'!$E$6:$E$25)-SUMIFS('Work Log'!$D$6:$D$205,'Work Log'!$E$6:$E$205,"S3",'Work Log'!$A$6:$A$205,"&lt;="&amp;L85)))</x:f>
      </x:c>
      <x:c r="K85" s="11" t="str">
        <x:f>IF(OR(L85="",SUMIF('Backlog'!$B$6:$B$25,"S3",'Backlog'!$E$6:$E$25)=0,Burndown!$B$7="",Burndown!$C$7="",Burndown!$C$7&lt;=Burndown!$B$7),"",MAX(0,SUMIF('Backlog'!$B$6:$B$25,"S3",'Backlog'!$E$6:$E$25)*(Burndown!$C$7-L85)/(Burndown!$C$7-Burndown!$B$7)))</x:f>
      </x:c>
      <x:c r="L85" s="10" t="str">
        <x:f>IF(OR('Work Log'!$E$88&lt;&gt;"S3",'Work Log'!$A$88=""),"",'Work Log'!$A$88)</x:f>
      </x:c>
      <x:c r="M85" t="str">
        <x:f>IF(P85="","",TEXT(P85,"mm/dd/yy"))</x:f>
      </x:c>
      <x:c r="N85" s="11" t="str">
        <x:f>IF(OR(P85="",SUMIF('Backlog'!$B$6:$B$25,"S4",'Backlog'!$E$6:$E$25)=0,Burndown!$B$8="",Burndown!$C$8=""),"",MAX(0,SUMIF('Backlog'!$B$6:$B$25,"S4",'Backlog'!$E$6:$E$25)-SUMIFS('Work Log'!$D$6:$D$205,'Work Log'!$E$6:$E$205,"S4",'Work Log'!$A$6:$A$205,"&lt;="&amp;P85)))</x:f>
      </x:c>
      <x:c r="O85" s="11" t="str">
        <x:f>IF(OR(P85="",SUMIF('Backlog'!$B$6:$B$25,"S4",'Backlog'!$E$6:$E$25)=0,Burndown!$B$8="",Burndown!$C$8="",Burndown!$C$8&lt;=Burndown!$B$8),"",MAX(0,SUMIF('Backlog'!$B$6:$B$25,"S4",'Backlog'!$E$6:$E$25)*(Burndown!$C$8-P85)/(Burndown!$C$8-Burndown!$B$8)))</x:f>
      </x:c>
      <x:c r="P85" s="10" t="str">
        <x:f>IF(OR('Work Log'!$E$88&lt;&gt;"S4",'Work Log'!$A$88=""),"",'Work Log'!$A$88)</x:f>
      </x:c>
      <x:c r="Q85" t="str">
        <x:f>IF(T85="","",TEXT(T85,"mm/dd/yy"))</x:f>
      </x:c>
      <x:c r="R85" s="11" t="str">
        <x:f>IF(OR(T85="",SUMIF('Backlog'!$B$6:$B$25,"S5",'Backlog'!$E$6:$E$25)=0,Burndown!$B$9="",Burndown!$C$9=""),"",MAX(0,SUMIF('Backlog'!$B$6:$B$25,"S5",'Backlog'!$E$6:$E$25)-SUMIFS('Work Log'!$D$6:$D$205,'Work Log'!$E$6:$E$205,"S5",'Work Log'!$A$6:$A$205,"&lt;="&amp;T85)))</x:f>
      </x:c>
      <x:c r="S85" s="11" t="str">
        <x:f>IF(OR(T85="",SUMIF('Backlog'!$B$6:$B$25,"S5",'Backlog'!$E$6:$E$25)=0,Burndown!$B$9="",Burndown!$C$9="",Burndown!$C$9&lt;=Burndown!$B$9),"",MAX(0,SUMIF('Backlog'!$B$6:$B$25,"S5",'Backlog'!$E$6:$E$25)*(Burndown!$C$9-T85)/(Burndown!$C$9-Burndown!$B$9)))</x:f>
      </x:c>
      <x:c r="T85" s="10" t="str">
        <x:f>IF(OR('Work Log'!$E$88&lt;&gt;"S5",'Work Log'!$A$88=""),"",'Work Log'!$A$88)</x:f>
      </x:c>
    </x:row>
    <x:row r="86">
      <x:c r="A86" t="str">
        <x:f>IF(D86="","",TEXT(D86,"mm/dd/yy"))</x:f>
      </x:c>
      <x:c r="B86" s="11" t="str">
        <x:f>IF(OR(D86="",SUMIF('Backlog'!$B$6:$B$25,"S1",'Backlog'!$E$6:$E$25)=0,Burndown!$B$5="",Burndown!$C$5=""),"",MAX(0,SUMIF('Backlog'!$B$6:$B$25,"S1",'Backlog'!$E$6:$E$25)-SUMIFS('Work Log'!$D$6:$D$205,'Work Log'!$E$6:$E$205,"S1",'Work Log'!$A$6:$A$205,"&lt;="&amp;D86)))</x:f>
      </x:c>
      <x:c r="C86" s="11" t="str">
        <x:f>IF(OR(D86="",SUMIF('Backlog'!$B$6:$B$25,"S1",'Backlog'!$E$6:$E$25)=0,Burndown!$B$5="",Burndown!$C$5="",Burndown!$C$5&lt;=Burndown!$B$5),"",MAX(0,SUMIF('Backlog'!$B$6:$B$25,"S1",'Backlog'!$E$6:$E$25)*(Burndown!$C$5-D86)/(Burndown!$C$5-Burndown!$B$5)))</x:f>
      </x:c>
      <x:c r="D86" s="10" t="str">
        <x:f>IF(OR('Work Log'!$E$89&lt;&gt;"S1",'Work Log'!$A$89=""),"",'Work Log'!$A$89)</x:f>
      </x:c>
      <x:c r="E86" t="str">
        <x:f>IF(H86="","",TEXT(H86,"mm/dd/yy"))</x:f>
      </x:c>
      <x:c r="F86" s="11" t="str">
        <x:f>IF(OR(H86="",SUMIF('Backlog'!$B$6:$B$25,"S2",'Backlog'!$E$6:$E$25)=0,Burndown!$B$6="",Burndown!$C$6=""),"",MAX(0,SUMIF('Backlog'!$B$6:$B$25,"S2",'Backlog'!$E$6:$E$25)-SUMIFS('Work Log'!$D$6:$D$205,'Work Log'!$E$6:$E$205,"S2",'Work Log'!$A$6:$A$205,"&lt;="&amp;H86)))</x:f>
      </x:c>
      <x:c r="G86" s="11" t="str">
        <x:f>IF(OR(H86="",SUMIF('Backlog'!$B$6:$B$25,"S2",'Backlog'!$E$6:$E$25)=0,Burndown!$B$6="",Burndown!$C$6="",Burndown!$C$6&lt;=Burndown!$B$6),"",MAX(0,SUMIF('Backlog'!$B$6:$B$25,"S2",'Backlog'!$E$6:$E$25)*(Burndown!$C$6-H86)/(Burndown!$C$6-Burndown!$B$6)))</x:f>
      </x:c>
      <x:c r="H86" s="10" t="str">
        <x:f>IF(OR('Work Log'!$E$89&lt;&gt;"S2",'Work Log'!$A$89=""),"",'Work Log'!$A$89)</x:f>
      </x:c>
      <x:c r="I86" t="str">
        <x:f>IF(L86="","",TEXT(L86,"mm/dd/yy"))</x:f>
      </x:c>
      <x:c r="J86" s="11" t="str">
        <x:f>IF(OR(L86="",SUMIF('Backlog'!$B$6:$B$25,"S3",'Backlog'!$E$6:$E$25)=0,Burndown!$B$7="",Burndown!$C$7=""),"",MAX(0,SUMIF('Backlog'!$B$6:$B$25,"S3",'Backlog'!$E$6:$E$25)-SUMIFS('Work Log'!$D$6:$D$205,'Work Log'!$E$6:$E$205,"S3",'Work Log'!$A$6:$A$205,"&lt;="&amp;L86)))</x:f>
      </x:c>
      <x:c r="K86" s="11" t="str">
        <x:f>IF(OR(L86="",SUMIF('Backlog'!$B$6:$B$25,"S3",'Backlog'!$E$6:$E$25)=0,Burndown!$B$7="",Burndown!$C$7="",Burndown!$C$7&lt;=Burndown!$B$7),"",MAX(0,SUMIF('Backlog'!$B$6:$B$25,"S3",'Backlog'!$E$6:$E$25)*(Burndown!$C$7-L86)/(Burndown!$C$7-Burndown!$B$7)))</x:f>
      </x:c>
      <x:c r="L86" s="10" t="str">
        <x:f>IF(OR('Work Log'!$E$89&lt;&gt;"S3",'Work Log'!$A$89=""),"",'Work Log'!$A$89)</x:f>
      </x:c>
      <x:c r="M86" t="str">
        <x:f>IF(P86="","",TEXT(P86,"mm/dd/yy"))</x:f>
      </x:c>
      <x:c r="N86" s="11" t="str">
        <x:f>IF(OR(P86="",SUMIF('Backlog'!$B$6:$B$25,"S4",'Backlog'!$E$6:$E$25)=0,Burndown!$B$8="",Burndown!$C$8=""),"",MAX(0,SUMIF('Backlog'!$B$6:$B$25,"S4",'Backlog'!$E$6:$E$25)-SUMIFS('Work Log'!$D$6:$D$205,'Work Log'!$E$6:$E$205,"S4",'Work Log'!$A$6:$A$205,"&lt;="&amp;P86)))</x:f>
      </x:c>
      <x:c r="O86" s="11" t="str">
        <x:f>IF(OR(P86="",SUMIF('Backlog'!$B$6:$B$25,"S4",'Backlog'!$E$6:$E$25)=0,Burndown!$B$8="",Burndown!$C$8="",Burndown!$C$8&lt;=Burndown!$B$8),"",MAX(0,SUMIF('Backlog'!$B$6:$B$25,"S4",'Backlog'!$E$6:$E$25)*(Burndown!$C$8-P86)/(Burndown!$C$8-Burndown!$B$8)))</x:f>
      </x:c>
      <x:c r="P86" s="10" t="str">
        <x:f>IF(OR('Work Log'!$E$89&lt;&gt;"S4",'Work Log'!$A$89=""),"",'Work Log'!$A$89)</x:f>
      </x:c>
      <x:c r="Q86" t="str">
        <x:f>IF(T86="","",TEXT(T86,"mm/dd/yy"))</x:f>
      </x:c>
      <x:c r="R86" s="11" t="str">
        <x:f>IF(OR(T86="",SUMIF('Backlog'!$B$6:$B$25,"S5",'Backlog'!$E$6:$E$25)=0,Burndown!$B$9="",Burndown!$C$9=""),"",MAX(0,SUMIF('Backlog'!$B$6:$B$25,"S5",'Backlog'!$E$6:$E$25)-SUMIFS('Work Log'!$D$6:$D$205,'Work Log'!$E$6:$E$205,"S5",'Work Log'!$A$6:$A$205,"&lt;="&amp;T86)))</x:f>
      </x:c>
      <x:c r="S86" s="11" t="str">
        <x:f>IF(OR(T86="",SUMIF('Backlog'!$B$6:$B$25,"S5",'Backlog'!$E$6:$E$25)=0,Burndown!$B$9="",Burndown!$C$9="",Burndown!$C$9&lt;=Burndown!$B$9),"",MAX(0,SUMIF('Backlog'!$B$6:$B$25,"S5",'Backlog'!$E$6:$E$25)*(Burndown!$C$9-T86)/(Burndown!$C$9-Burndown!$B$9)))</x:f>
      </x:c>
      <x:c r="T86" s="10" t="str">
        <x:f>IF(OR('Work Log'!$E$89&lt;&gt;"S5",'Work Log'!$A$89=""),"",'Work Log'!$A$89)</x:f>
      </x:c>
    </x:row>
    <x:row r="87">
      <x:c r="A87" t="str">
        <x:f>IF(D87="","",TEXT(D87,"mm/dd/yy"))</x:f>
      </x:c>
      <x:c r="B87" s="11" t="str">
        <x:f>IF(OR(D87="",SUMIF('Backlog'!$B$6:$B$25,"S1",'Backlog'!$E$6:$E$25)=0,Burndown!$B$5="",Burndown!$C$5=""),"",MAX(0,SUMIF('Backlog'!$B$6:$B$25,"S1",'Backlog'!$E$6:$E$25)-SUMIFS('Work Log'!$D$6:$D$205,'Work Log'!$E$6:$E$205,"S1",'Work Log'!$A$6:$A$205,"&lt;="&amp;D87)))</x:f>
      </x:c>
      <x:c r="C87" s="11" t="str">
        <x:f>IF(OR(D87="",SUMIF('Backlog'!$B$6:$B$25,"S1",'Backlog'!$E$6:$E$25)=0,Burndown!$B$5="",Burndown!$C$5="",Burndown!$C$5&lt;=Burndown!$B$5),"",MAX(0,SUMIF('Backlog'!$B$6:$B$25,"S1",'Backlog'!$E$6:$E$25)*(Burndown!$C$5-D87)/(Burndown!$C$5-Burndown!$B$5)))</x:f>
      </x:c>
      <x:c r="D87" s="10" t="str">
        <x:f>IF(OR('Work Log'!$E$90&lt;&gt;"S1",'Work Log'!$A$90=""),"",'Work Log'!$A$90)</x:f>
      </x:c>
      <x:c r="E87" t="str">
        <x:f>IF(H87="","",TEXT(H87,"mm/dd/yy"))</x:f>
      </x:c>
      <x:c r="F87" s="11" t="str">
        <x:f>IF(OR(H87="",SUMIF('Backlog'!$B$6:$B$25,"S2",'Backlog'!$E$6:$E$25)=0,Burndown!$B$6="",Burndown!$C$6=""),"",MAX(0,SUMIF('Backlog'!$B$6:$B$25,"S2",'Backlog'!$E$6:$E$25)-SUMIFS('Work Log'!$D$6:$D$205,'Work Log'!$E$6:$E$205,"S2",'Work Log'!$A$6:$A$205,"&lt;="&amp;H87)))</x:f>
      </x:c>
      <x:c r="G87" s="11" t="str">
        <x:f>IF(OR(H87="",SUMIF('Backlog'!$B$6:$B$25,"S2",'Backlog'!$E$6:$E$25)=0,Burndown!$B$6="",Burndown!$C$6="",Burndown!$C$6&lt;=Burndown!$B$6),"",MAX(0,SUMIF('Backlog'!$B$6:$B$25,"S2",'Backlog'!$E$6:$E$25)*(Burndown!$C$6-H87)/(Burndown!$C$6-Burndown!$B$6)))</x:f>
      </x:c>
      <x:c r="H87" s="10" t="str">
        <x:f>IF(OR('Work Log'!$E$90&lt;&gt;"S2",'Work Log'!$A$90=""),"",'Work Log'!$A$90)</x:f>
      </x:c>
      <x:c r="I87" t="str">
        <x:f>IF(L87="","",TEXT(L87,"mm/dd/yy"))</x:f>
      </x:c>
      <x:c r="J87" s="11" t="str">
        <x:f>IF(OR(L87="",SUMIF('Backlog'!$B$6:$B$25,"S3",'Backlog'!$E$6:$E$25)=0,Burndown!$B$7="",Burndown!$C$7=""),"",MAX(0,SUMIF('Backlog'!$B$6:$B$25,"S3",'Backlog'!$E$6:$E$25)-SUMIFS('Work Log'!$D$6:$D$205,'Work Log'!$E$6:$E$205,"S3",'Work Log'!$A$6:$A$205,"&lt;="&amp;L87)))</x:f>
      </x:c>
      <x:c r="K87" s="11" t="str">
        <x:f>IF(OR(L87="",SUMIF('Backlog'!$B$6:$B$25,"S3",'Backlog'!$E$6:$E$25)=0,Burndown!$B$7="",Burndown!$C$7="",Burndown!$C$7&lt;=Burndown!$B$7),"",MAX(0,SUMIF('Backlog'!$B$6:$B$25,"S3",'Backlog'!$E$6:$E$25)*(Burndown!$C$7-L87)/(Burndown!$C$7-Burndown!$B$7)))</x:f>
      </x:c>
      <x:c r="L87" s="10" t="str">
        <x:f>IF(OR('Work Log'!$E$90&lt;&gt;"S3",'Work Log'!$A$90=""),"",'Work Log'!$A$90)</x:f>
      </x:c>
      <x:c r="M87" t="str">
        <x:f>IF(P87="","",TEXT(P87,"mm/dd/yy"))</x:f>
      </x:c>
      <x:c r="N87" s="11" t="str">
        <x:f>IF(OR(P87="",SUMIF('Backlog'!$B$6:$B$25,"S4",'Backlog'!$E$6:$E$25)=0,Burndown!$B$8="",Burndown!$C$8=""),"",MAX(0,SUMIF('Backlog'!$B$6:$B$25,"S4",'Backlog'!$E$6:$E$25)-SUMIFS('Work Log'!$D$6:$D$205,'Work Log'!$E$6:$E$205,"S4",'Work Log'!$A$6:$A$205,"&lt;="&amp;P87)))</x:f>
      </x:c>
      <x:c r="O87" s="11" t="str">
        <x:f>IF(OR(P87="",SUMIF('Backlog'!$B$6:$B$25,"S4",'Backlog'!$E$6:$E$25)=0,Burndown!$B$8="",Burndown!$C$8="",Burndown!$C$8&lt;=Burndown!$B$8),"",MAX(0,SUMIF('Backlog'!$B$6:$B$25,"S4",'Backlog'!$E$6:$E$25)*(Burndown!$C$8-P87)/(Burndown!$C$8-Burndown!$B$8)))</x:f>
      </x:c>
      <x:c r="P87" s="10" t="str">
        <x:f>IF(OR('Work Log'!$E$90&lt;&gt;"S4",'Work Log'!$A$90=""),"",'Work Log'!$A$90)</x:f>
      </x:c>
      <x:c r="Q87" t="str">
        <x:f>IF(T87="","",TEXT(T87,"mm/dd/yy"))</x:f>
      </x:c>
      <x:c r="R87" s="11" t="str">
        <x:f>IF(OR(T87="",SUMIF('Backlog'!$B$6:$B$25,"S5",'Backlog'!$E$6:$E$25)=0,Burndown!$B$9="",Burndown!$C$9=""),"",MAX(0,SUMIF('Backlog'!$B$6:$B$25,"S5",'Backlog'!$E$6:$E$25)-SUMIFS('Work Log'!$D$6:$D$205,'Work Log'!$E$6:$E$205,"S5",'Work Log'!$A$6:$A$205,"&lt;="&amp;T87)))</x:f>
      </x:c>
      <x:c r="S87" s="11" t="str">
        <x:f>IF(OR(T87="",SUMIF('Backlog'!$B$6:$B$25,"S5",'Backlog'!$E$6:$E$25)=0,Burndown!$B$9="",Burndown!$C$9="",Burndown!$C$9&lt;=Burndown!$B$9),"",MAX(0,SUMIF('Backlog'!$B$6:$B$25,"S5",'Backlog'!$E$6:$E$25)*(Burndown!$C$9-T87)/(Burndown!$C$9-Burndown!$B$9)))</x:f>
      </x:c>
      <x:c r="T87" s="10" t="str">
        <x:f>IF(OR('Work Log'!$E$90&lt;&gt;"S5",'Work Log'!$A$90=""),"",'Work Log'!$A$90)</x:f>
      </x:c>
    </x:row>
    <x:row r="88">
      <x:c r="A88" t="str">
        <x:f>IF(D88="","",TEXT(D88,"mm/dd/yy"))</x:f>
      </x:c>
      <x:c r="B88" s="11" t="str">
        <x:f>IF(OR(D88="",SUMIF('Backlog'!$B$6:$B$25,"S1",'Backlog'!$E$6:$E$25)=0,Burndown!$B$5="",Burndown!$C$5=""),"",MAX(0,SUMIF('Backlog'!$B$6:$B$25,"S1",'Backlog'!$E$6:$E$25)-SUMIFS('Work Log'!$D$6:$D$205,'Work Log'!$E$6:$E$205,"S1",'Work Log'!$A$6:$A$205,"&lt;="&amp;D88)))</x:f>
      </x:c>
      <x:c r="C88" s="11" t="str">
        <x:f>IF(OR(D88="",SUMIF('Backlog'!$B$6:$B$25,"S1",'Backlog'!$E$6:$E$25)=0,Burndown!$B$5="",Burndown!$C$5="",Burndown!$C$5&lt;=Burndown!$B$5),"",MAX(0,SUMIF('Backlog'!$B$6:$B$25,"S1",'Backlog'!$E$6:$E$25)*(Burndown!$C$5-D88)/(Burndown!$C$5-Burndown!$B$5)))</x:f>
      </x:c>
      <x:c r="D88" s="10" t="str">
        <x:f>IF(OR('Work Log'!$E$91&lt;&gt;"S1",'Work Log'!$A$91=""),"",'Work Log'!$A$91)</x:f>
      </x:c>
      <x:c r="E88" t="str">
        <x:f>IF(H88="","",TEXT(H88,"mm/dd/yy"))</x:f>
      </x:c>
      <x:c r="F88" s="11" t="str">
        <x:f>IF(OR(H88="",SUMIF('Backlog'!$B$6:$B$25,"S2",'Backlog'!$E$6:$E$25)=0,Burndown!$B$6="",Burndown!$C$6=""),"",MAX(0,SUMIF('Backlog'!$B$6:$B$25,"S2",'Backlog'!$E$6:$E$25)-SUMIFS('Work Log'!$D$6:$D$205,'Work Log'!$E$6:$E$205,"S2",'Work Log'!$A$6:$A$205,"&lt;="&amp;H88)))</x:f>
      </x:c>
      <x:c r="G88" s="11" t="str">
        <x:f>IF(OR(H88="",SUMIF('Backlog'!$B$6:$B$25,"S2",'Backlog'!$E$6:$E$25)=0,Burndown!$B$6="",Burndown!$C$6="",Burndown!$C$6&lt;=Burndown!$B$6),"",MAX(0,SUMIF('Backlog'!$B$6:$B$25,"S2",'Backlog'!$E$6:$E$25)*(Burndown!$C$6-H88)/(Burndown!$C$6-Burndown!$B$6)))</x:f>
      </x:c>
      <x:c r="H88" s="10" t="str">
        <x:f>IF(OR('Work Log'!$E$91&lt;&gt;"S2",'Work Log'!$A$91=""),"",'Work Log'!$A$91)</x:f>
      </x:c>
      <x:c r="I88" t="str">
        <x:f>IF(L88="","",TEXT(L88,"mm/dd/yy"))</x:f>
      </x:c>
      <x:c r="J88" s="11" t="str">
        <x:f>IF(OR(L88="",SUMIF('Backlog'!$B$6:$B$25,"S3",'Backlog'!$E$6:$E$25)=0,Burndown!$B$7="",Burndown!$C$7=""),"",MAX(0,SUMIF('Backlog'!$B$6:$B$25,"S3",'Backlog'!$E$6:$E$25)-SUMIFS('Work Log'!$D$6:$D$205,'Work Log'!$E$6:$E$205,"S3",'Work Log'!$A$6:$A$205,"&lt;="&amp;L88)))</x:f>
      </x:c>
      <x:c r="K88" s="11" t="str">
        <x:f>IF(OR(L88="",SUMIF('Backlog'!$B$6:$B$25,"S3",'Backlog'!$E$6:$E$25)=0,Burndown!$B$7="",Burndown!$C$7="",Burndown!$C$7&lt;=Burndown!$B$7),"",MAX(0,SUMIF('Backlog'!$B$6:$B$25,"S3",'Backlog'!$E$6:$E$25)*(Burndown!$C$7-L88)/(Burndown!$C$7-Burndown!$B$7)))</x:f>
      </x:c>
      <x:c r="L88" s="10" t="str">
        <x:f>IF(OR('Work Log'!$E$91&lt;&gt;"S3",'Work Log'!$A$91=""),"",'Work Log'!$A$91)</x:f>
      </x:c>
      <x:c r="M88" t="str">
        <x:f>IF(P88="","",TEXT(P88,"mm/dd/yy"))</x:f>
      </x:c>
      <x:c r="N88" s="11" t="str">
        <x:f>IF(OR(P88="",SUMIF('Backlog'!$B$6:$B$25,"S4",'Backlog'!$E$6:$E$25)=0,Burndown!$B$8="",Burndown!$C$8=""),"",MAX(0,SUMIF('Backlog'!$B$6:$B$25,"S4",'Backlog'!$E$6:$E$25)-SUMIFS('Work Log'!$D$6:$D$205,'Work Log'!$E$6:$E$205,"S4",'Work Log'!$A$6:$A$205,"&lt;="&amp;P88)))</x:f>
      </x:c>
      <x:c r="O88" s="11" t="str">
        <x:f>IF(OR(P88="",SUMIF('Backlog'!$B$6:$B$25,"S4",'Backlog'!$E$6:$E$25)=0,Burndown!$B$8="",Burndown!$C$8="",Burndown!$C$8&lt;=Burndown!$B$8),"",MAX(0,SUMIF('Backlog'!$B$6:$B$25,"S4",'Backlog'!$E$6:$E$25)*(Burndown!$C$8-P88)/(Burndown!$C$8-Burndown!$B$8)))</x:f>
      </x:c>
      <x:c r="P88" s="10" t="str">
        <x:f>IF(OR('Work Log'!$E$91&lt;&gt;"S4",'Work Log'!$A$91=""),"",'Work Log'!$A$91)</x:f>
      </x:c>
      <x:c r="Q88" t="str">
        <x:f>IF(T88="","",TEXT(T88,"mm/dd/yy"))</x:f>
      </x:c>
      <x:c r="R88" s="11" t="str">
        <x:f>IF(OR(T88="",SUMIF('Backlog'!$B$6:$B$25,"S5",'Backlog'!$E$6:$E$25)=0,Burndown!$B$9="",Burndown!$C$9=""),"",MAX(0,SUMIF('Backlog'!$B$6:$B$25,"S5",'Backlog'!$E$6:$E$25)-SUMIFS('Work Log'!$D$6:$D$205,'Work Log'!$E$6:$E$205,"S5",'Work Log'!$A$6:$A$205,"&lt;="&amp;T88)))</x:f>
      </x:c>
      <x:c r="S88" s="11" t="str">
        <x:f>IF(OR(T88="",SUMIF('Backlog'!$B$6:$B$25,"S5",'Backlog'!$E$6:$E$25)=0,Burndown!$B$9="",Burndown!$C$9="",Burndown!$C$9&lt;=Burndown!$B$9),"",MAX(0,SUMIF('Backlog'!$B$6:$B$25,"S5",'Backlog'!$E$6:$E$25)*(Burndown!$C$9-T88)/(Burndown!$C$9-Burndown!$B$9)))</x:f>
      </x:c>
      <x:c r="T88" s="10" t="str">
        <x:f>IF(OR('Work Log'!$E$91&lt;&gt;"S5",'Work Log'!$A$91=""),"",'Work Log'!$A$91)</x:f>
      </x:c>
    </x:row>
    <x:row r="89">
      <x:c r="A89" t="str">
        <x:f>IF(D89="","",TEXT(D89,"mm/dd/yy"))</x:f>
      </x:c>
      <x:c r="B89" s="11" t="str">
        <x:f>IF(OR(D89="",SUMIF('Backlog'!$B$6:$B$25,"S1",'Backlog'!$E$6:$E$25)=0,Burndown!$B$5="",Burndown!$C$5=""),"",MAX(0,SUMIF('Backlog'!$B$6:$B$25,"S1",'Backlog'!$E$6:$E$25)-SUMIFS('Work Log'!$D$6:$D$205,'Work Log'!$E$6:$E$205,"S1",'Work Log'!$A$6:$A$205,"&lt;="&amp;D89)))</x:f>
      </x:c>
      <x:c r="C89" s="11" t="str">
        <x:f>IF(OR(D89="",SUMIF('Backlog'!$B$6:$B$25,"S1",'Backlog'!$E$6:$E$25)=0,Burndown!$B$5="",Burndown!$C$5="",Burndown!$C$5&lt;=Burndown!$B$5),"",MAX(0,SUMIF('Backlog'!$B$6:$B$25,"S1",'Backlog'!$E$6:$E$25)*(Burndown!$C$5-D89)/(Burndown!$C$5-Burndown!$B$5)))</x:f>
      </x:c>
      <x:c r="D89" s="10" t="str">
        <x:f>IF(OR('Work Log'!$E$92&lt;&gt;"S1",'Work Log'!$A$92=""),"",'Work Log'!$A$92)</x:f>
      </x:c>
      <x:c r="E89" t="str">
        <x:f>IF(H89="","",TEXT(H89,"mm/dd/yy"))</x:f>
      </x:c>
      <x:c r="F89" s="11" t="str">
        <x:f>IF(OR(H89="",SUMIF('Backlog'!$B$6:$B$25,"S2",'Backlog'!$E$6:$E$25)=0,Burndown!$B$6="",Burndown!$C$6=""),"",MAX(0,SUMIF('Backlog'!$B$6:$B$25,"S2",'Backlog'!$E$6:$E$25)-SUMIFS('Work Log'!$D$6:$D$205,'Work Log'!$E$6:$E$205,"S2",'Work Log'!$A$6:$A$205,"&lt;="&amp;H89)))</x:f>
      </x:c>
      <x:c r="G89" s="11" t="str">
        <x:f>IF(OR(H89="",SUMIF('Backlog'!$B$6:$B$25,"S2",'Backlog'!$E$6:$E$25)=0,Burndown!$B$6="",Burndown!$C$6="",Burndown!$C$6&lt;=Burndown!$B$6),"",MAX(0,SUMIF('Backlog'!$B$6:$B$25,"S2",'Backlog'!$E$6:$E$25)*(Burndown!$C$6-H89)/(Burndown!$C$6-Burndown!$B$6)))</x:f>
      </x:c>
      <x:c r="H89" s="10" t="str">
        <x:f>IF(OR('Work Log'!$E$92&lt;&gt;"S2",'Work Log'!$A$92=""),"",'Work Log'!$A$92)</x:f>
      </x:c>
      <x:c r="I89" t="str">
        <x:f>IF(L89="","",TEXT(L89,"mm/dd/yy"))</x:f>
      </x:c>
      <x:c r="J89" s="11" t="str">
        <x:f>IF(OR(L89="",SUMIF('Backlog'!$B$6:$B$25,"S3",'Backlog'!$E$6:$E$25)=0,Burndown!$B$7="",Burndown!$C$7=""),"",MAX(0,SUMIF('Backlog'!$B$6:$B$25,"S3",'Backlog'!$E$6:$E$25)-SUMIFS('Work Log'!$D$6:$D$205,'Work Log'!$E$6:$E$205,"S3",'Work Log'!$A$6:$A$205,"&lt;="&amp;L89)))</x:f>
      </x:c>
      <x:c r="K89" s="11" t="str">
        <x:f>IF(OR(L89="",SUMIF('Backlog'!$B$6:$B$25,"S3",'Backlog'!$E$6:$E$25)=0,Burndown!$B$7="",Burndown!$C$7="",Burndown!$C$7&lt;=Burndown!$B$7),"",MAX(0,SUMIF('Backlog'!$B$6:$B$25,"S3",'Backlog'!$E$6:$E$25)*(Burndown!$C$7-L89)/(Burndown!$C$7-Burndown!$B$7)))</x:f>
      </x:c>
      <x:c r="L89" s="10" t="str">
        <x:f>IF(OR('Work Log'!$E$92&lt;&gt;"S3",'Work Log'!$A$92=""),"",'Work Log'!$A$92)</x:f>
      </x:c>
      <x:c r="M89" t="str">
        <x:f>IF(P89="","",TEXT(P89,"mm/dd/yy"))</x:f>
      </x:c>
      <x:c r="N89" s="11" t="str">
        <x:f>IF(OR(P89="",SUMIF('Backlog'!$B$6:$B$25,"S4",'Backlog'!$E$6:$E$25)=0,Burndown!$B$8="",Burndown!$C$8=""),"",MAX(0,SUMIF('Backlog'!$B$6:$B$25,"S4",'Backlog'!$E$6:$E$25)-SUMIFS('Work Log'!$D$6:$D$205,'Work Log'!$E$6:$E$205,"S4",'Work Log'!$A$6:$A$205,"&lt;="&amp;P89)))</x:f>
      </x:c>
      <x:c r="O89" s="11" t="str">
        <x:f>IF(OR(P89="",SUMIF('Backlog'!$B$6:$B$25,"S4",'Backlog'!$E$6:$E$25)=0,Burndown!$B$8="",Burndown!$C$8="",Burndown!$C$8&lt;=Burndown!$B$8),"",MAX(0,SUMIF('Backlog'!$B$6:$B$25,"S4",'Backlog'!$E$6:$E$25)*(Burndown!$C$8-P89)/(Burndown!$C$8-Burndown!$B$8)))</x:f>
      </x:c>
      <x:c r="P89" s="10" t="str">
        <x:f>IF(OR('Work Log'!$E$92&lt;&gt;"S4",'Work Log'!$A$92=""),"",'Work Log'!$A$92)</x:f>
      </x:c>
      <x:c r="Q89" t="str">
        <x:f>IF(T89="","",TEXT(T89,"mm/dd/yy"))</x:f>
      </x:c>
      <x:c r="R89" s="11" t="str">
        <x:f>IF(OR(T89="",SUMIF('Backlog'!$B$6:$B$25,"S5",'Backlog'!$E$6:$E$25)=0,Burndown!$B$9="",Burndown!$C$9=""),"",MAX(0,SUMIF('Backlog'!$B$6:$B$25,"S5",'Backlog'!$E$6:$E$25)-SUMIFS('Work Log'!$D$6:$D$205,'Work Log'!$E$6:$E$205,"S5",'Work Log'!$A$6:$A$205,"&lt;="&amp;T89)))</x:f>
      </x:c>
      <x:c r="S89" s="11" t="str">
        <x:f>IF(OR(T89="",SUMIF('Backlog'!$B$6:$B$25,"S5",'Backlog'!$E$6:$E$25)=0,Burndown!$B$9="",Burndown!$C$9="",Burndown!$C$9&lt;=Burndown!$B$9),"",MAX(0,SUMIF('Backlog'!$B$6:$B$25,"S5",'Backlog'!$E$6:$E$25)*(Burndown!$C$9-T89)/(Burndown!$C$9-Burndown!$B$9)))</x:f>
      </x:c>
      <x:c r="T89" s="10" t="str">
        <x:f>IF(OR('Work Log'!$E$92&lt;&gt;"S5",'Work Log'!$A$92=""),"",'Work Log'!$A$92)</x:f>
      </x:c>
    </x:row>
    <x:row r="90">
      <x:c r="A90" t="str">
        <x:f>IF(D90="","",TEXT(D90,"mm/dd/yy"))</x:f>
      </x:c>
      <x:c r="B90" s="11" t="str">
        <x:f>IF(OR(D90="",SUMIF('Backlog'!$B$6:$B$25,"S1",'Backlog'!$E$6:$E$25)=0,Burndown!$B$5="",Burndown!$C$5=""),"",MAX(0,SUMIF('Backlog'!$B$6:$B$25,"S1",'Backlog'!$E$6:$E$25)-SUMIFS('Work Log'!$D$6:$D$205,'Work Log'!$E$6:$E$205,"S1",'Work Log'!$A$6:$A$205,"&lt;="&amp;D90)))</x:f>
      </x:c>
      <x:c r="C90" s="11" t="str">
        <x:f>IF(OR(D90="",SUMIF('Backlog'!$B$6:$B$25,"S1",'Backlog'!$E$6:$E$25)=0,Burndown!$B$5="",Burndown!$C$5="",Burndown!$C$5&lt;=Burndown!$B$5),"",MAX(0,SUMIF('Backlog'!$B$6:$B$25,"S1",'Backlog'!$E$6:$E$25)*(Burndown!$C$5-D90)/(Burndown!$C$5-Burndown!$B$5)))</x:f>
      </x:c>
      <x:c r="D90" s="10" t="str">
        <x:f>IF(OR('Work Log'!$E$93&lt;&gt;"S1",'Work Log'!$A$93=""),"",'Work Log'!$A$93)</x:f>
      </x:c>
      <x:c r="E90" t="str">
        <x:f>IF(H90="","",TEXT(H90,"mm/dd/yy"))</x:f>
      </x:c>
      <x:c r="F90" s="11" t="str">
        <x:f>IF(OR(H90="",SUMIF('Backlog'!$B$6:$B$25,"S2",'Backlog'!$E$6:$E$25)=0,Burndown!$B$6="",Burndown!$C$6=""),"",MAX(0,SUMIF('Backlog'!$B$6:$B$25,"S2",'Backlog'!$E$6:$E$25)-SUMIFS('Work Log'!$D$6:$D$205,'Work Log'!$E$6:$E$205,"S2",'Work Log'!$A$6:$A$205,"&lt;="&amp;H90)))</x:f>
      </x:c>
      <x:c r="G90" s="11" t="str">
        <x:f>IF(OR(H90="",SUMIF('Backlog'!$B$6:$B$25,"S2",'Backlog'!$E$6:$E$25)=0,Burndown!$B$6="",Burndown!$C$6="",Burndown!$C$6&lt;=Burndown!$B$6),"",MAX(0,SUMIF('Backlog'!$B$6:$B$25,"S2",'Backlog'!$E$6:$E$25)*(Burndown!$C$6-H90)/(Burndown!$C$6-Burndown!$B$6)))</x:f>
      </x:c>
      <x:c r="H90" s="10" t="str">
        <x:f>IF(OR('Work Log'!$E$93&lt;&gt;"S2",'Work Log'!$A$93=""),"",'Work Log'!$A$93)</x:f>
      </x:c>
      <x:c r="I90" t="str">
        <x:f>IF(L90="","",TEXT(L90,"mm/dd/yy"))</x:f>
      </x:c>
      <x:c r="J90" s="11" t="str">
        <x:f>IF(OR(L90="",SUMIF('Backlog'!$B$6:$B$25,"S3",'Backlog'!$E$6:$E$25)=0,Burndown!$B$7="",Burndown!$C$7=""),"",MAX(0,SUMIF('Backlog'!$B$6:$B$25,"S3",'Backlog'!$E$6:$E$25)-SUMIFS('Work Log'!$D$6:$D$205,'Work Log'!$E$6:$E$205,"S3",'Work Log'!$A$6:$A$205,"&lt;="&amp;L90)))</x:f>
      </x:c>
      <x:c r="K90" s="11" t="str">
        <x:f>IF(OR(L90="",SUMIF('Backlog'!$B$6:$B$25,"S3",'Backlog'!$E$6:$E$25)=0,Burndown!$B$7="",Burndown!$C$7="",Burndown!$C$7&lt;=Burndown!$B$7),"",MAX(0,SUMIF('Backlog'!$B$6:$B$25,"S3",'Backlog'!$E$6:$E$25)*(Burndown!$C$7-L90)/(Burndown!$C$7-Burndown!$B$7)))</x:f>
      </x:c>
      <x:c r="L90" s="10" t="str">
        <x:f>IF(OR('Work Log'!$E$93&lt;&gt;"S3",'Work Log'!$A$93=""),"",'Work Log'!$A$93)</x:f>
      </x:c>
      <x:c r="M90" t="str">
        <x:f>IF(P90="","",TEXT(P90,"mm/dd/yy"))</x:f>
      </x:c>
      <x:c r="N90" s="11" t="str">
        <x:f>IF(OR(P90="",SUMIF('Backlog'!$B$6:$B$25,"S4",'Backlog'!$E$6:$E$25)=0,Burndown!$B$8="",Burndown!$C$8=""),"",MAX(0,SUMIF('Backlog'!$B$6:$B$25,"S4",'Backlog'!$E$6:$E$25)-SUMIFS('Work Log'!$D$6:$D$205,'Work Log'!$E$6:$E$205,"S4",'Work Log'!$A$6:$A$205,"&lt;="&amp;P90)))</x:f>
      </x:c>
      <x:c r="O90" s="11" t="str">
        <x:f>IF(OR(P90="",SUMIF('Backlog'!$B$6:$B$25,"S4",'Backlog'!$E$6:$E$25)=0,Burndown!$B$8="",Burndown!$C$8="",Burndown!$C$8&lt;=Burndown!$B$8),"",MAX(0,SUMIF('Backlog'!$B$6:$B$25,"S4",'Backlog'!$E$6:$E$25)*(Burndown!$C$8-P90)/(Burndown!$C$8-Burndown!$B$8)))</x:f>
      </x:c>
      <x:c r="P90" s="10" t="str">
        <x:f>IF(OR('Work Log'!$E$93&lt;&gt;"S4",'Work Log'!$A$93=""),"",'Work Log'!$A$93)</x:f>
      </x:c>
      <x:c r="Q90" t="str">
        <x:f>IF(T90="","",TEXT(T90,"mm/dd/yy"))</x:f>
      </x:c>
      <x:c r="R90" s="11" t="str">
        <x:f>IF(OR(T90="",SUMIF('Backlog'!$B$6:$B$25,"S5",'Backlog'!$E$6:$E$25)=0,Burndown!$B$9="",Burndown!$C$9=""),"",MAX(0,SUMIF('Backlog'!$B$6:$B$25,"S5",'Backlog'!$E$6:$E$25)-SUMIFS('Work Log'!$D$6:$D$205,'Work Log'!$E$6:$E$205,"S5",'Work Log'!$A$6:$A$205,"&lt;="&amp;T90)))</x:f>
      </x:c>
      <x:c r="S90" s="11" t="str">
        <x:f>IF(OR(T90="",SUMIF('Backlog'!$B$6:$B$25,"S5",'Backlog'!$E$6:$E$25)=0,Burndown!$B$9="",Burndown!$C$9="",Burndown!$C$9&lt;=Burndown!$B$9),"",MAX(0,SUMIF('Backlog'!$B$6:$B$25,"S5",'Backlog'!$E$6:$E$25)*(Burndown!$C$9-T90)/(Burndown!$C$9-Burndown!$B$9)))</x:f>
      </x:c>
      <x:c r="T90" s="10" t="str">
        <x:f>IF(OR('Work Log'!$E$93&lt;&gt;"S5",'Work Log'!$A$93=""),"",'Work Log'!$A$93)</x:f>
      </x:c>
    </x:row>
    <x:row r="91">
      <x:c r="A91" t="str">
        <x:f>IF(D91="","",TEXT(D91,"mm/dd/yy"))</x:f>
      </x:c>
      <x:c r="B91" s="11" t="str">
        <x:f>IF(OR(D91="",SUMIF('Backlog'!$B$6:$B$25,"S1",'Backlog'!$E$6:$E$25)=0,Burndown!$B$5="",Burndown!$C$5=""),"",MAX(0,SUMIF('Backlog'!$B$6:$B$25,"S1",'Backlog'!$E$6:$E$25)-SUMIFS('Work Log'!$D$6:$D$205,'Work Log'!$E$6:$E$205,"S1",'Work Log'!$A$6:$A$205,"&lt;="&amp;D91)))</x:f>
      </x:c>
      <x:c r="C91" s="11" t="str">
        <x:f>IF(OR(D91="",SUMIF('Backlog'!$B$6:$B$25,"S1",'Backlog'!$E$6:$E$25)=0,Burndown!$B$5="",Burndown!$C$5="",Burndown!$C$5&lt;=Burndown!$B$5),"",MAX(0,SUMIF('Backlog'!$B$6:$B$25,"S1",'Backlog'!$E$6:$E$25)*(Burndown!$C$5-D91)/(Burndown!$C$5-Burndown!$B$5)))</x:f>
      </x:c>
      <x:c r="D91" s="10" t="str">
        <x:f>IF(OR('Work Log'!$E$94&lt;&gt;"S1",'Work Log'!$A$94=""),"",'Work Log'!$A$94)</x:f>
      </x:c>
      <x:c r="E91" t="str">
        <x:f>IF(H91="","",TEXT(H91,"mm/dd/yy"))</x:f>
      </x:c>
      <x:c r="F91" s="11" t="str">
        <x:f>IF(OR(H91="",SUMIF('Backlog'!$B$6:$B$25,"S2",'Backlog'!$E$6:$E$25)=0,Burndown!$B$6="",Burndown!$C$6=""),"",MAX(0,SUMIF('Backlog'!$B$6:$B$25,"S2",'Backlog'!$E$6:$E$25)-SUMIFS('Work Log'!$D$6:$D$205,'Work Log'!$E$6:$E$205,"S2",'Work Log'!$A$6:$A$205,"&lt;="&amp;H91)))</x:f>
      </x:c>
      <x:c r="G91" s="11" t="str">
        <x:f>IF(OR(H91="",SUMIF('Backlog'!$B$6:$B$25,"S2",'Backlog'!$E$6:$E$25)=0,Burndown!$B$6="",Burndown!$C$6="",Burndown!$C$6&lt;=Burndown!$B$6),"",MAX(0,SUMIF('Backlog'!$B$6:$B$25,"S2",'Backlog'!$E$6:$E$25)*(Burndown!$C$6-H91)/(Burndown!$C$6-Burndown!$B$6)))</x:f>
      </x:c>
      <x:c r="H91" s="10" t="str">
        <x:f>IF(OR('Work Log'!$E$94&lt;&gt;"S2",'Work Log'!$A$94=""),"",'Work Log'!$A$94)</x:f>
      </x:c>
      <x:c r="I91" t="str">
        <x:f>IF(L91="","",TEXT(L91,"mm/dd/yy"))</x:f>
      </x:c>
      <x:c r="J91" s="11" t="str">
        <x:f>IF(OR(L91="",SUMIF('Backlog'!$B$6:$B$25,"S3",'Backlog'!$E$6:$E$25)=0,Burndown!$B$7="",Burndown!$C$7=""),"",MAX(0,SUMIF('Backlog'!$B$6:$B$25,"S3",'Backlog'!$E$6:$E$25)-SUMIFS('Work Log'!$D$6:$D$205,'Work Log'!$E$6:$E$205,"S3",'Work Log'!$A$6:$A$205,"&lt;="&amp;L91)))</x:f>
      </x:c>
      <x:c r="K91" s="11" t="str">
        <x:f>IF(OR(L91="",SUMIF('Backlog'!$B$6:$B$25,"S3",'Backlog'!$E$6:$E$25)=0,Burndown!$B$7="",Burndown!$C$7="",Burndown!$C$7&lt;=Burndown!$B$7),"",MAX(0,SUMIF('Backlog'!$B$6:$B$25,"S3",'Backlog'!$E$6:$E$25)*(Burndown!$C$7-L91)/(Burndown!$C$7-Burndown!$B$7)))</x:f>
      </x:c>
      <x:c r="L91" s="10" t="str">
        <x:f>IF(OR('Work Log'!$E$94&lt;&gt;"S3",'Work Log'!$A$94=""),"",'Work Log'!$A$94)</x:f>
      </x:c>
      <x:c r="M91" t="str">
        <x:f>IF(P91="","",TEXT(P91,"mm/dd/yy"))</x:f>
      </x:c>
      <x:c r="N91" s="11" t="str">
        <x:f>IF(OR(P91="",SUMIF('Backlog'!$B$6:$B$25,"S4",'Backlog'!$E$6:$E$25)=0,Burndown!$B$8="",Burndown!$C$8=""),"",MAX(0,SUMIF('Backlog'!$B$6:$B$25,"S4",'Backlog'!$E$6:$E$25)-SUMIFS('Work Log'!$D$6:$D$205,'Work Log'!$E$6:$E$205,"S4",'Work Log'!$A$6:$A$205,"&lt;="&amp;P91)))</x:f>
      </x:c>
      <x:c r="O91" s="11" t="str">
        <x:f>IF(OR(P91="",SUMIF('Backlog'!$B$6:$B$25,"S4",'Backlog'!$E$6:$E$25)=0,Burndown!$B$8="",Burndown!$C$8="",Burndown!$C$8&lt;=Burndown!$B$8),"",MAX(0,SUMIF('Backlog'!$B$6:$B$25,"S4",'Backlog'!$E$6:$E$25)*(Burndown!$C$8-P91)/(Burndown!$C$8-Burndown!$B$8)))</x:f>
      </x:c>
      <x:c r="P91" s="10" t="str">
        <x:f>IF(OR('Work Log'!$E$94&lt;&gt;"S4",'Work Log'!$A$94=""),"",'Work Log'!$A$94)</x:f>
      </x:c>
      <x:c r="Q91" t="str">
        <x:f>IF(T91="","",TEXT(T91,"mm/dd/yy"))</x:f>
      </x:c>
      <x:c r="R91" s="11" t="str">
        <x:f>IF(OR(T91="",SUMIF('Backlog'!$B$6:$B$25,"S5",'Backlog'!$E$6:$E$25)=0,Burndown!$B$9="",Burndown!$C$9=""),"",MAX(0,SUMIF('Backlog'!$B$6:$B$25,"S5",'Backlog'!$E$6:$E$25)-SUMIFS('Work Log'!$D$6:$D$205,'Work Log'!$E$6:$E$205,"S5",'Work Log'!$A$6:$A$205,"&lt;="&amp;T91)))</x:f>
      </x:c>
      <x:c r="S91" s="11" t="str">
        <x:f>IF(OR(T91="",SUMIF('Backlog'!$B$6:$B$25,"S5",'Backlog'!$E$6:$E$25)=0,Burndown!$B$9="",Burndown!$C$9="",Burndown!$C$9&lt;=Burndown!$B$9),"",MAX(0,SUMIF('Backlog'!$B$6:$B$25,"S5",'Backlog'!$E$6:$E$25)*(Burndown!$C$9-T91)/(Burndown!$C$9-Burndown!$B$9)))</x:f>
      </x:c>
      <x:c r="T91" s="10" t="str">
        <x:f>IF(OR('Work Log'!$E$94&lt;&gt;"S5",'Work Log'!$A$94=""),"",'Work Log'!$A$94)</x:f>
      </x:c>
    </x:row>
    <x:row r="92">
      <x:c r="A92" t="str">
        <x:f>IF(D92="","",TEXT(D92,"mm/dd/yy"))</x:f>
      </x:c>
      <x:c r="B92" s="11" t="str">
        <x:f>IF(OR(D92="",SUMIF('Backlog'!$B$6:$B$25,"S1",'Backlog'!$E$6:$E$25)=0,Burndown!$B$5="",Burndown!$C$5=""),"",MAX(0,SUMIF('Backlog'!$B$6:$B$25,"S1",'Backlog'!$E$6:$E$25)-SUMIFS('Work Log'!$D$6:$D$205,'Work Log'!$E$6:$E$205,"S1",'Work Log'!$A$6:$A$205,"&lt;="&amp;D92)))</x:f>
      </x:c>
      <x:c r="C92" s="11" t="str">
        <x:f>IF(OR(D92="",SUMIF('Backlog'!$B$6:$B$25,"S1",'Backlog'!$E$6:$E$25)=0,Burndown!$B$5="",Burndown!$C$5="",Burndown!$C$5&lt;=Burndown!$B$5),"",MAX(0,SUMIF('Backlog'!$B$6:$B$25,"S1",'Backlog'!$E$6:$E$25)*(Burndown!$C$5-D92)/(Burndown!$C$5-Burndown!$B$5)))</x:f>
      </x:c>
      <x:c r="D92" s="10" t="str">
        <x:f>IF(OR('Work Log'!$E$95&lt;&gt;"S1",'Work Log'!$A$95=""),"",'Work Log'!$A$95)</x:f>
      </x:c>
      <x:c r="E92" t="str">
        <x:f>IF(H92="","",TEXT(H92,"mm/dd/yy"))</x:f>
      </x:c>
      <x:c r="F92" s="11" t="str">
        <x:f>IF(OR(H92="",SUMIF('Backlog'!$B$6:$B$25,"S2",'Backlog'!$E$6:$E$25)=0,Burndown!$B$6="",Burndown!$C$6=""),"",MAX(0,SUMIF('Backlog'!$B$6:$B$25,"S2",'Backlog'!$E$6:$E$25)-SUMIFS('Work Log'!$D$6:$D$205,'Work Log'!$E$6:$E$205,"S2",'Work Log'!$A$6:$A$205,"&lt;="&amp;H92)))</x:f>
      </x:c>
      <x:c r="G92" s="11" t="str">
        <x:f>IF(OR(H92="",SUMIF('Backlog'!$B$6:$B$25,"S2",'Backlog'!$E$6:$E$25)=0,Burndown!$B$6="",Burndown!$C$6="",Burndown!$C$6&lt;=Burndown!$B$6),"",MAX(0,SUMIF('Backlog'!$B$6:$B$25,"S2",'Backlog'!$E$6:$E$25)*(Burndown!$C$6-H92)/(Burndown!$C$6-Burndown!$B$6)))</x:f>
      </x:c>
      <x:c r="H92" s="10" t="str">
        <x:f>IF(OR('Work Log'!$E$95&lt;&gt;"S2",'Work Log'!$A$95=""),"",'Work Log'!$A$95)</x:f>
      </x:c>
      <x:c r="I92" t="str">
        <x:f>IF(L92="","",TEXT(L92,"mm/dd/yy"))</x:f>
      </x:c>
      <x:c r="J92" s="11" t="str">
        <x:f>IF(OR(L92="",SUMIF('Backlog'!$B$6:$B$25,"S3",'Backlog'!$E$6:$E$25)=0,Burndown!$B$7="",Burndown!$C$7=""),"",MAX(0,SUMIF('Backlog'!$B$6:$B$25,"S3",'Backlog'!$E$6:$E$25)-SUMIFS('Work Log'!$D$6:$D$205,'Work Log'!$E$6:$E$205,"S3",'Work Log'!$A$6:$A$205,"&lt;="&amp;L92)))</x:f>
      </x:c>
      <x:c r="K92" s="11" t="str">
        <x:f>IF(OR(L92="",SUMIF('Backlog'!$B$6:$B$25,"S3",'Backlog'!$E$6:$E$25)=0,Burndown!$B$7="",Burndown!$C$7="",Burndown!$C$7&lt;=Burndown!$B$7),"",MAX(0,SUMIF('Backlog'!$B$6:$B$25,"S3",'Backlog'!$E$6:$E$25)*(Burndown!$C$7-L92)/(Burndown!$C$7-Burndown!$B$7)))</x:f>
      </x:c>
      <x:c r="L92" s="10" t="str">
        <x:f>IF(OR('Work Log'!$E$95&lt;&gt;"S3",'Work Log'!$A$95=""),"",'Work Log'!$A$95)</x:f>
      </x:c>
      <x:c r="M92" t="str">
        <x:f>IF(P92="","",TEXT(P92,"mm/dd/yy"))</x:f>
      </x:c>
      <x:c r="N92" s="11" t="str">
        <x:f>IF(OR(P92="",SUMIF('Backlog'!$B$6:$B$25,"S4",'Backlog'!$E$6:$E$25)=0,Burndown!$B$8="",Burndown!$C$8=""),"",MAX(0,SUMIF('Backlog'!$B$6:$B$25,"S4",'Backlog'!$E$6:$E$25)-SUMIFS('Work Log'!$D$6:$D$205,'Work Log'!$E$6:$E$205,"S4",'Work Log'!$A$6:$A$205,"&lt;="&amp;P92)))</x:f>
      </x:c>
      <x:c r="O92" s="11" t="str">
        <x:f>IF(OR(P92="",SUMIF('Backlog'!$B$6:$B$25,"S4",'Backlog'!$E$6:$E$25)=0,Burndown!$B$8="",Burndown!$C$8="",Burndown!$C$8&lt;=Burndown!$B$8),"",MAX(0,SUMIF('Backlog'!$B$6:$B$25,"S4",'Backlog'!$E$6:$E$25)*(Burndown!$C$8-P92)/(Burndown!$C$8-Burndown!$B$8)))</x:f>
      </x:c>
      <x:c r="P92" s="10" t="str">
        <x:f>IF(OR('Work Log'!$E$95&lt;&gt;"S4",'Work Log'!$A$95=""),"",'Work Log'!$A$95)</x:f>
      </x:c>
      <x:c r="Q92" t="str">
        <x:f>IF(T92="","",TEXT(T92,"mm/dd/yy"))</x:f>
      </x:c>
      <x:c r="R92" s="11" t="str">
        <x:f>IF(OR(T92="",SUMIF('Backlog'!$B$6:$B$25,"S5",'Backlog'!$E$6:$E$25)=0,Burndown!$B$9="",Burndown!$C$9=""),"",MAX(0,SUMIF('Backlog'!$B$6:$B$25,"S5",'Backlog'!$E$6:$E$25)-SUMIFS('Work Log'!$D$6:$D$205,'Work Log'!$E$6:$E$205,"S5",'Work Log'!$A$6:$A$205,"&lt;="&amp;T92)))</x:f>
      </x:c>
      <x:c r="S92" s="11" t="str">
        <x:f>IF(OR(T92="",SUMIF('Backlog'!$B$6:$B$25,"S5",'Backlog'!$E$6:$E$25)=0,Burndown!$B$9="",Burndown!$C$9="",Burndown!$C$9&lt;=Burndown!$B$9),"",MAX(0,SUMIF('Backlog'!$B$6:$B$25,"S5",'Backlog'!$E$6:$E$25)*(Burndown!$C$9-T92)/(Burndown!$C$9-Burndown!$B$9)))</x:f>
      </x:c>
      <x:c r="T92" s="10" t="str">
        <x:f>IF(OR('Work Log'!$E$95&lt;&gt;"S5",'Work Log'!$A$95=""),"",'Work Log'!$A$95)</x:f>
      </x:c>
    </x:row>
    <x:row r="93">
      <x:c r="A93" t="str">
        <x:f>IF(D93="","",TEXT(D93,"mm/dd/yy"))</x:f>
      </x:c>
      <x:c r="B93" s="11" t="str">
        <x:f>IF(OR(D93="",SUMIF('Backlog'!$B$6:$B$25,"S1",'Backlog'!$E$6:$E$25)=0,Burndown!$B$5="",Burndown!$C$5=""),"",MAX(0,SUMIF('Backlog'!$B$6:$B$25,"S1",'Backlog'!$E$6:$E$25)-SUMIFS('Work Log'!$D$6:$D$205,'Work Log'!$E$6:$E$205,"S1",'Work Log'!$A$6:$A$205,"&lt;="&amp;D93)))</x:f>
      </x:c>
      <x:c r="C93" s="11" t="str">
        <x:f>IF(OR(D93="",SUMIF('Backlog'!$B$6:$B$25,"S1",'Backlog'!$E$6:$E$25)=0,Burndown!$B$5="",Burndown!$C$5="",Burndown!$C$5&lt;=Burndown!$B$5),"",MAX(0,SUMIF('Backlog'!$B$6:$B$25,"S1",'Backlog'!$E$6:$E$25)*(Burndown!$C$5-D93)/(Burndown!$C$5-Burndown!$B$5)))</x:f>
      </x:c>
      <x:c r="D93" s="10" t="str">
        <x:f>IF(OR('Work Log'!$E$96&lt;&gt;"S1",'Work Log'!$A$96=""),"",'Work Log'!$A$96)</x:f>
      </x:c>
      <x:c r="E93" t="str">
        <x:f>IF(H93="","",TEXT(H93,"mm/dd/yy"))</x:f>
      </x:c>
      <x:c r="F93" s="11" t="str">
        <x:f>IF(OR(H93="",SUMIF('Backlog'!$B$6:$B$25,"S2",'Backlog'!$E$6:$E$25)=0,Burndown!$B$6="",Burndown!$C$6=""),"",MAX(0,SUMIF('Backlog'!$B$6:$B$25,"S2",'Backlog'!$E$6:$E$25)-SUMIFS('Work Log'!$D$6:$D$205,'Work Log'!$E$6:$E$205,"S2",'Work Log'!$A$6:$A$205,"&lt;="&amp;H93)))</x:f>
      </x:c>
      <x:c r="G93" s="11" t="str">
        <x:f>IF(OR(H93="",SUMIF('Backlog'!$B$6:$B$25,"S2",'Backlog'!$E$6:$E$25)=0,Burndown!$B$6="",Burndown!$C$6="",Burndown!$C$6&lt;=Burndown!$B$6),"",MAX(0,SUMIF('Backlog'!$B$6:$B$25,"S2",'Backlog'!$E$6:$E$25)*(Burndown!$C$6-H93)/(Burndown!$C$6-Burndown!$B$6)))</x:f>
      </x:c>
      <x:c r="H93" s="10" t="str">
        <x:f>IF(OR('Work Log'!$E$96&lt;&gt;"S2",'Work Log'!$A$96=""),"",'Work Log'!$A$96)</x:f>
      </x:c>
      <x:c r="I93" t="str">
        <x:f>IF(L93="","",TEXT(L93,"mm/dd/yy"))</x:f>
      </x:c>
      <x:c r="J93" s="11" t="str">
        <x:f>IF(OR(L93="",SUMIF('Backlog'!$B$6:$B$25,"S3",'Backlog'!$E$6:$E$25)=0,Burndown!$B$7="",Burndown!$C$7=""),"",MAX(0,SUMIF('Backlog'!$B$6:$B$25,"S3",'Backlog'!$E$6:$E$25)-SUMIFS('Work Log'!$D$6:$D$205,'Work Log'!$E$6:$E$205,"S3",'Work Log'!$A$6:$A$205,"&lt;="&amp;L93)))</x:f>
      </x:c>
      <x:c r="K93" s="11" t="str">
        <x:f>IF(OR(L93="",SUMIF('Backlog'!$B$6:$B$25,"S3",'Backlog'!$E$6:$E$25)=0,Burndown!$B$7="",Burndown!$C$7="",Burndown!$C$7&lt;=Burndown!$B$7),"",MAX(0,SUMIF('Backlog'!$B$6:$B$25,"S3",'Backlog'!$E$6:$E$25)*(Burndown!$C$7-L93)/(Burndown!$C$7-Burndown!$B$7)))</x:f>
      </x:c>
      <x:c r="L93" s="10" t="str">
        <x:f>IF(OR('Work Log'!$E$96&lt;&gt;"S3",'Work Log'!$A$96=""),"",'Work Log'!$A$96)</x:f>
      </x:c>
      <x:c r="M93" t="str">
        <x:f>IF(P93="","",TEXT(P93,"mm/dd/yy"))</x:f>
      </x:c>
      <x:c r="N93" s="11" t="str">
        <x:f>IF(OR(P93="",SUMIF('Backlog'!$B$6:$B$25,"S4",'Backlog'!$E$6:$E$25)=0,Burndown!$B$8="",Burndown!$C$8=""),"",MAX(0,SUMIF('Backlog'!$B$6:$B$25,"S4",'Backlog'!$E$6:$E$25)-SUMIFS('Work Log'!$D$6:$D$205,'Work Log'!$E$6:$E$205,"S4",'Work Log'!$A$6:$A$205,"&lt;="&amp;P93)))</x:f>
      </x:c>
      <x:c r="O93" s="11" t="str">
        <x:f>IF(OR(P93="",SUMIF('Backlog'!$B$6:$B$25,"S4",'Backlog'!$E$6:$E$25)=0,Burndown!$B$8="",Burndown!$C$8="",Burndown!$C$8&lt;=Burndown!$B$8),"",MAX(0,SUMIF('Backlog'!$B$6:$B$25,"S4",'Backlog'!$E$6:$E$25)*(Burndown!$C$8-P93)/(Burndown!$C$8-Burndown!$B$8)))</x:f>
      </x:c>
      <x:c r="P93" s="10" t="str">
        <x:f>IF(OR('Work Log'!$E$96&lt;&gt;"S4",'Work Log'!$A$96=""),"",'Work Log'!$A$96)</x:f>
      </x:c>
      <x:c r="Q93" t="str">
        <x:f>IF(T93="","",TEXT(T93,"mm/dd/yy"))</x:f>
      </x:c>
      <x:c r="R93" s="11" t="str">
        <x:f>IF(OR(T93="",SUMIF('Backlog'!$B$6:$B$25,"S5",'Backlog'!$E$6:$E$25)=0,Burndown!$B$9="",Burndown!$C$9=""),"",MAX(0,SUMIF('Backlog'!$B$6:$B$25,"S5",'Backlog'!$E$6:$E$25)-SUMIFS('Work Log'!$D$6:$D$205,'Work Log'!$E$6:$E$205,"S5",'Work Log'!$A$6:$A$205,"&lt;="&amp;T93)))</x:f>
      </x:c>
      <x:c r="S93" s="11" t="str">
        <x:f>IF(OR(T93="",SUMIF('Backlog'!$B$6:$B$25,"S5",'Backlog'!$E$6:$E$25)=0,Burndown!$B$9="",Burndown!$C$9="",Burndown!$C$9&lt;=Burndown!$B$9),"",MAX(0,SUMIF('Backlog'!$B$6:$B$25,"S5",'Backlog'!$E$6:$E$25)*(Burndown!$C$9-T93)/(Burndown!$C$9-Burndown!$B$9)))</x:f>
      </x:c>
      <x:c r="T93" s="10" t="str">
        <x:f>IF(OR('Work Log'!$E$96&lt;&gt;"S5",'Work Log'!$A$96=""),"",'Work Log'!$A$96)</x:f>
      </x:c>
    </x:row>
    <x:row r="94">
      <x:c r="A94" t="str">
        <x:f>IF(D94="","",TEXT(D94,"mm/dd/yy"))</x:f>
      </x:c>
      <x:c r="B94" s="11" t="str">
        <x:f>IF(OR(D94="",SUMIF('Backlog'!$B$6:$B$25,"S1",'Backlog'!$E$6:$E$25)=0,Burndown!$B$5="",Burndown!$C$5=""),"",MAX(0,SUMIF('Backlog'!$B$6:$B$25,"S1",'Backlog'!$E$6:$E$25)-SUMIFS('Work Log'!$D$6:$D$205,'Work Log'!$E$6:$E$205,"S1",'Work Log'!$A$6:$A$205,"&lt;="&amp;D94)))</x:f>
      </x:c>
      <x:c r="C94" s="11" t="str">
        <x:f>IF(OR(D94="",SUMIF('Backlog'!$B$6:$B$25,"S1",'Backlog'!$E$6:$E$25)=0,Burndown!$B$5="",Burndown!$C$5="",Burndown!$C$5&lt;=Burndown!$B$5),"",MAX(0,SUMIF('Backlog'!$B$6:$B$25,"S1",'Backlog'!$E$6:$E$25)*(Burndown!$C$5-D94)/(Burndown!$C$5-Burndown!$B$5)))</x:f>
      </x:c>
      <x:c r="D94" s="10" t="str">
        <x:f>IF(OR('Work Log'!$E$97&lt;&gt;"S1",'Work Log'!$A$97=""),"",'Work Log'!$A$97)</x:f>
      </x:c>
      <x:c r="E94" t="str">
        <x:f>IF(H94="","",TEXT(H94,"mm/dd/yy"))</x:f>
      </x:c>
      <x:c r="F94" s="11" t="str">
        <x:f>IF(OR(H94="",SUMIF('Backlog'!$B$6:$B$25,"S2",'Backlog'!$E$6:$E$25)=0,Burndown!$B$6="",Burndown!$C$6=""),"",MAX(0,SUMIF('Backlog'!$B$6:$B$25,"S2",'Backlog'!$E$6:$E$25)-SUMIFS('Work Log'!$D$6:$D$205,'Work Log'!$E$6:$E$205,"S2",'Work Log'!$A$6:$A$205,"&lt;="&amp;H94)))</x:f>
      </x:c>
      <x:c r="G94" s="11" t="str">
        <x:f>IF(OR(H94="",SUMIF('Backlog'!$B$6:$B$25,"S2",'Backlog'!$E$6:$E$25)=0,Burndown!$B$6="",Burndown!$C$6="",Burndown!$C$6&lt;=Burndown!$B$6),"",MAX(0,SUMIF('Backlog'!$B$6:$B$25,"S2",'Backlog'!$E$6:$E$25)*(Burndown!$C$6-H94)/(Burndown!$C$6-Burndown!$B$6)))</x:f>
      </x:c>
      <x:c r="H94" s="10" t="str">
        <x:f>IF(OR('Work Log'!$E$97&lt;&gt;"S2",'Work Log'!$A$97=""),"",'Work Log'!$A$97)</x:f>
      </x:c>
      <x:c r="I94" t="str">
        <x:f>IF(L94="","",TEXT(L94,"mm/dd/yy"))</x:f>
      </x:c>
      <x:c r="J94" s="11" t="str">
        <x:f>IF(OR(L94="",SUMIF('Backlog'!$B$6:$B$25,"S3",'Backlog'!$E$6:$E$25)=0,Burndown!$B$7="",Burndown!$C$7=""),"",MAX(0,SUMIF('Backlog'!$B$6:$B$25,"S3",'Backlog'!$E$6:$E$25)-SUMIFS('Work Log'!$D$6:$D$205,'Work Log'!$E$6:$E$205,"S3",'Work Log'!$A$6:$A$205,"&lt;="&amp;L94)))</x:f>
      </x:c>
      <x:c r="K94" s="11" t="str">
        <x:f>IF(OR(L94="",SUMIF('Backlog'!$B$6:$B$25,"S3",'Backlog'!$E$6:$E$25)=0,Burndown!$B$7="",Burndown!$C$7="",Burndown!$C$7&lt;=Burndown!$B$7),"",MAX(0,SUMIF('Backlog'!$B$6:$B$25,"S3",'Backlog'!$E$6:$E$25)*(Burndown!$C$7-L94)/(Burndown!$C$7-Burndown!$B$7)))</x:f>
      </x:c>
      <x:c r="L94" s="10" t="str">
        <x:f>IF(OR('Work Log'!$E$97&lt;&gt;"S3",'Work Log'!$A$97=""),"",'Work Log'!$A$97)</x:f>
      </x:c>
      <x:c r="M94" t="str">
        <x:f>IF(P94="","",TEXT(P94,"mm/dd/yy"))</x:f>
      </x:c>
      <x:c r="N94" s="11" t="str">
        <x:f>IF(OR(P94="",SUMIF('Backlog'!$B$6:$B$25,"S4",'Backlog'!$E$6:$E$25)=0,Burndown!$B$8="",Burndown!$C$8=""),"",MAX(0,SUMIF('Backlog'!$B$6:$B$25,"S4",'Backlog'!$E$6:$E$25)-SUMIFS('Work Log'!$D$6:$D$205,'Work Log'!$E$6:$E$205,"S4",'Work Log'!$A$6:$A$205,"&lt;="&amp;P94)))</x:f>
      </x:c>
      <x:c r="O94" s="11" t="str">
        <x:f>IF(OR(P94="",SUMIF('Backlog'!$B$6:$B$25,"S4",'Backlog'!$E$6:$E$25)=0,Burndown!$B$8="",Burndown!$C$8="",Burndown!$C$8&lt;=Burndown!$B$8),"",MAX(0,SUMIF('Backlog'!$B$6:$B$25,"S4",'Backlog'!$E$6:$E$25)*(Burndown!$C$8-P94)/(Burndown!$C$8-Burndown!$B$8)))</x:f>
      </x:c>
      <x:c r="P94" s="10" t="str">
        <x:f>IF(OR('Work Log'!$E$97&lt;&gt;"S4",'Work Log'!$A$97=""),"",'Work Log'!$A$97)</x:f>
      </x:c>
      <x:c r="Q94" t="str">
        <x:f>IF(T94="","",TEXT(T94,"mm/dd/yy"))</x:f>
      </x:c>
      <x:c r="R94" s="11" t="str">
        <x:f>IF(OR(T94="",SUMIF('Backlog'!$B$6:$B$25,"S5",'Backlog'!$E$6:$E$25)=0,Burndown!$B$9="",Burndown!$C$9=""),"",MAX(0,SUMIF('Backlog'!$B$6:$B$25,"S5",'Backlog'!$E$6:$E$25)-SUMIFS('Work Log'!$D$6:$D$205,'Work Log'!$E$6:$E$205,"S5",'Work Log'!$A$6:$A$205,"&lt;="&amp;T94)))</x:f>
      </x:c>
      <x:c r="S94" s="11" t="str">
        <x:f>IF(OR(T94="",SUMIF('Backlog'!$B$6:$B$25,"S5",'Backlog'!$E$6:$E$25)=0,Burndown!$B$9="",Burndown!$C$9="",Burndown!$C$9&lt;=Burndown!$B$9),"",MAX(0,SUMIF('Backlog'!$B$6:$B$25,"S5",'Backlog'!$E$6:$E$25)*(Burndown!$C$9-T94)/(Burndown!$C$9-Burndown!$B$9)))</x:f>
      </x:c>
      <x:c r="T94" s="10" t="str">
        <x:f>IF(OR('Work Log'!$E$97&lt;&gt;"S5",'Work Log'!$A$97=""),"",'Work Log'!$A$97)</x:f>
      </x:c>
    </x:row>
    <x:row r="95">
      <x:c r="A95" t="str">
        <x:f>IF(D95="","",TEXT(D95,"mm/dd/yy"))</x:f>
      </x:c>
      <x:c r="B95" s="11" t="str">
        <x:f>IF(OR(D95="",SUMIF('Backlog'!$B$6:$B$25,"S1",'Backlog'!$E$6:$E$25)=0,Burndown!$B$5="",Burndown!$C$5=""),"",MAX(0,SUMIF('Backlog'!$B$6:$B$25,"S1",'Backlog'!$E$6:$E$25)-SUMIFS('Work Log'!$D$6:$D$205,'Work Log'!$E$6:$E$205,"S1",'Work Log'!$A$6:$A$205,"&lt;="&amp;D95)))</x:f>
      </x:c>
      <x:c r="C95" s="11" t="str">
        <x:f>IF(OR(D95="",SUMIF('Backlog'!$B$6:$B$25,"S1",'Backlog'!$E$6:$E$25)=0,Burndown!$B$5="",Burndown!$C$5="",Burndown!$C$5&lt;=Burndown!$B$5),"",MAX(0,SUMIF('Backlog'!$B$6:$B$25,"S1",'Backlog'!$E$6:$E$25)*(Burndown!$C$5-D95)/(Burndown!$C$5-Burndown!$B$5)))</x:f>
      </x:c>
      <x:c r="D95" s="10" t="str">
        <x:f>IF(OR('Work Log'!$E$98&lt;&gt;"S1",'Work Log'!$A$98=""),"",'Work Log'!$A$98)</x:f>
      </x:c>
      <x:c r="E95" t="str">
        <x:f>IF(H95="","",TEXT(H95,"mm/dd/yy"))</x:f>
      </x:c>
      <x:c r="F95" s="11" t="str">
        <x:f>IF(OR(H95="",SUMIF('Backlog'!$B$6:$B$25,"S2",'Backlog'!$E$6:$E$25)=0,Burndown!$B$6="",Burndown!$C$6=""),"",MAX(0,SUMIF('Backlog'!$B$6:$B$25,"S2",'Backlog'!$E$6:$E$25)-SUMIFS('Work Log'!$D$6:$D$205,'Work Log'!$E$6:$E$205,"S2",'Work Log'!$A$6:$A$205,"&lt;="&amp;H95)))</x:f>
      </x:c>
      <x:c r="G95" s="11" t="str">
        <x:f>IF(OR(H95="",SUMIF('Backlog'!$B$6:$B$25,"S2",'Backlog'!$E$6:$E$25)=0,Burndown!$B$6="",Burndown!$C$6="",Burndown!$C$6&lt;=Burndown!$B$6),"",MAX(0,SUMIF('Backlog'!$B$6:$B$25,"S2",'Backlog'!$E$6:$E$25)*(Burndown!$C$6-H95)/(Burndown!$C$6-Burndown!$B$6)))</x:f>
      </x:c>
      <x:c r="H95" s="10" t="str">
        <x:f>IF(OR('Work Log'!$E$98&lt;&gt;"S2",'Work Log'!$A$98=""),"",'Work Log'!$A$98)</x:f>
      </x:c>
      <x:c r="I95" t="str">
        <x:f>IF(L95="","",TEXT(L95,"mm/dd/yy"))</x:f>
      </x:c>
      <x:c r="J95" s="11" t="str">
        <x:f>IF(OR(L95="",SUMIF('Backlog'!$B$6:$B$25,"S3",'Backlog'!$E$6:$E$25)=0,Burndown!$B$7="",Burndown!$C$7=""),"",MAX(0,SUMIF('Backlog'!$B$6:$B$25,"S3",'Backlog'!$E$6:$E$25)-SUMIFS('Work Log'!$D$6:$D$205,'Work Log'!$E$6:$E$205,"S3",'Work Log'!$A$6:$A$205,"&lt;="&amp;L95)))</x:f>
      </x:c>
      <x:c r="K95" s="11" t="str">
        <x:f>IF(OR(L95="",SUMIF('Backlog'!$B$6:$B$25,"S3",'Backlog'!$E$6:$E$25)=0,Burndown!$B$7="",Burndown!$C$7="",Burndown!$C$7&lt;=Burndown!$B$7),"",MAX(0,SUMIF('Backlog'!$B$6:$B$25,"S3",'Backlog'!$E$6:$E$25)*(Burndown!$C$7-L95)/(Burndown!$C$7-Burndown!$B$7)))</x:f>
      </x:c>
      <x:c r="L95" s="10" t="str">
        <x:f>IF(OR('Work Log'!$E$98&lt;&gt;"S3",'Work Log'!$A$98=""),"",'Work Log'!$A$98)</x:f>
      </x:c>
      <x:c r="M95" t="str">
        <x:f>IF(P95="","",TEXT(P95,"mm/dd/yy"))</x:f>
      </x:c>
      <x:c r="N95" s="11" t="str">
        <x:f>IF(OR(P95="",SUMIF('Backlog'!$B$6:$B$25,"S4",'Backlog'!$E$6:$E$25)=0,Burndown!$B$8="",Burndown!$C$8=""),"",MAX(0,SUMIF('Backlog'!$B$6:$B$25,"S4",'Backlog'!$E$6:$E$25)-SUMIFS('Work Log'!$D$6:$D$205,'Work Log'!$E$6:$E$205,"S4",'Work Log'!$A$6:$A$205,"&lt;="&amp;P95)))</x:f>
      </x:c>
      <x:c r="O95" s="11" t="str">
        <x:f>IF(OR(P95="",SUMIF('Backlog'!$B$6:$B$25,"S4",'Backlog'!$E$6:$E$25)=0,Burndown!$B$8="",Burndown!$C$8="",Burndown!$C$8&lt;=Burndown!$B$8),"",MAX(0,SUMIF('Backlog'!$B$6:$B$25,"S4",'Backlog'!$E$6:$E$25)*(Burndown!$C$8-P95)/(Burndown!$C$8-Burndown!$B$8)))</x:f>
      </x:c>
      <x:c r="P95" s="10" t="str">
        <x:f>IF(OR('Work Log'!$E$98&lt;&gt;"S4",'Work Log'!$A$98=""),"",'Work Log'!$A$98)</x:f>
      </x:c>
      <x:c r="Q95" t="str">
        <x:f>IF(T95="","",TEXT(T95,"mm/dd/yy"))</x:f>
      </x:c>
      <x:c r="R95" s="11" t="str">
        <x:f>IF(OR(T95="",SUMIF('Backlog'!$B$6:$B$25,"S5",'Backlog'!$E$6:$E$25)=0,Burndown!$B$9="",Burndown!$C$9=""),"",MAX(0,SUMIF('Backlog'!$B$6:$B$25,"S5",'Backlog'!$E$6:$E$25)-SUMIFS('Work Log'!$D$6:$D$205,'Work Log'!$E$6:$E$205,"S5",'Work Log'!$A$6:$A$205,"&lt;="&amp;T95)))</x:f>
      </x:c>
      <x:c r="S95" s="11" t="str">
        <x:f>IF(OR(T95="",SUMIF('Backlog'!$B$6:$B$25,"S5",'Backlog'!$E$6:$E$25)=0,Burndown!$B$9="",Burndown!$C$9="",Burndown!$C$9&lt;=Burndown!$B$9),"",MAX(0,SUMIF('Backlog'!$B$6:$B$25,"S5",'Backlog'!$E$6:$E$25)*(Burndown!$C$9-T95)/(Burndown!$C$9-Burndown!$B$9)))</x:f>
      </x:c>
      <x:c r="T95" s="10" t="str">
        <x:f>IF(OR('Work Log'!$E$98&lt;&gt;"S5",'Work Log'!$A$98=""),"",'Work Log'!$A$98)</x:f>
      </x:c>
    </x:row>
    <x:row r="96">
      <x:c r="A96" t="str">
        <x:f>IF(D96="","",TEXT(D96,"mm/dd/yy"))</x:f>
      </x:c>
      <x:c r="B96" s="11" t="str">
        <x:f>IF(OR(D96="",SUMIF('Backlog'!$B$6:$B$25,"S1",'Backlog'!$E$6:$E$25)=0,Burndown!$B$5="",Burndown!$C$5=""),"",MAX(0,SUMIF('Backlog'!$B$6:$B$25,"S1",'Backlog'!$E$6:$E$25)-SUMIFS('Work Log'!$D$6:$D$205,'Work Log'!$E$6:$E$205,"S1",'Work Log'!$A$6:$A$205,"&lt;="&amp;D96)))</x:f>
      </x:c>
      <x:c r="C96" s="11" t="str">
        <x:f>IF(OR(D96="",SUMIF('Backlog'!$B$6:$B$25,"S1",'Backlog'!$E$6:$E$25)=0,Burndown!$B$5="",Burndown!$C$5="",Burndown!$C$5&lt;=Burndown!$B$5),"",MAX(0,SUMIF('Backlog'!$B$6:$B$25,"S1",'Backlog'!$E$6:$E$25)*(Burndown!$C$5-D96)/(Burndown!$C$5-Burndown!$B$5)))</x:f>
      </x:c>
      <x:c r="D96" s="10" t="str">
        <x:f>IF(OR('Work Log'!$E$99&lt;&gt;"S1",'Work Log'!$A$99=""),"",'Work Log'!$A$99)</x:f>
      </x:c>
      <x:c r="E96" t="str">
        <x:f>IF(H96="","",TEXT(H96,"mm/dd/yy"))</x:f>
      </x:c>
      <x:c r="F96" s="11" t="str">
        <x:f>IF(OR(H96="",SUMIF('Backlog'!$B$6:$B$25,"S2",'Backlog'!$E$6:$E$25)=0,Burndown!$B$6="",Burndown!$C$6=""),"",MAX(0,SUMIF('Backlog'!$B$6:$B$25,"S2",'Backlog'!$E$6:$E$25)-SUMIFS('Work Log'!$D$6:$D$205,'Work Log'!$E$6:$E$205,"S2",'Work Log'!$A$6:$A$205,"&lt;="&amp;H96)))</x:f>
      </x:c>
      <x:c r="G96" s="11" t="str">
        <x:f>IF(OR(H96="",SUMIF('Backlog'!$B$6:$B$25,"S2",'Backlog'!$E$6:$E$25)=0,Burndown!$B$6="",Burndown!$C$6="",Burndown!$C$6&lt;=Burndown!$B$6),"",MAX(0,SUMIF('Backlog'!$B$6:$B$25,"S2",'Backlog'!$E$6:$E$25)*(Burndown!$C$6-H96)/(Burndown!$C$6-Burndown!$B$6)))</x:f>
      </x:c>
      <x:c r="H96" s="10" t="str">
        <x:f>IF(OR('Work Log'!$E$99&lt;&gt;"S2",'Work Log'!$A$99=""),"",'Work Log'!$A$99)</x:f>
      </x:c>
      <x:c r="I96" t="str">
        <x:f>IF(L96="","",TEXT(L96,"mm/dd/yy"))</x:f>
      </x:c>
      <x:c r="J96" s="11" t="str">
        <x:f>IF(OR(L96="",SUMIF('Backlog'!$B$6:$B$25,"S3",'Backlog'!$E$6:$E$25)=0,Burndown!$B$7="",Burndown!$C$7=""),"",MAX(0,SUMIF('Backlog'!$B$6:$B$25,"S3",'Backlog'!$E$6:$E$25)-SUMIFS('Work Log'!$D$6:$D$205,'Work Log'!$E$6:$E$205,"S3",'Work Log'!$A$6:$A$205,"&lt;="&amp;L96)))</x:f>
      </x:c>
      <x:c r="K96" s="11" t="str">
        <x:f>IF(OR(L96="",SUMIF('Backlog'!$B$6:$B$25,"S3",'Backlog'!$E$6:$E$25)=0,Burndown!$B$7="",Burndown!$C$7="",Burndown!$C$7&lt;=Burndown!$B$7),"",MAX(0,SUMIF('Backlog'!$B$6:$B$25,"S3",'Backlog'!$E$6:$E$25)*(Burndown!$C$7-L96)/(Burndown!$C$7-Burndown!$B$7)))</x:f>
      </x:c>
      <x:c r="L96" s="10" t="str">
        <x:f>IF(OR('Work Log'!$E$99&lt;&gt;"S3",'Work Log'!$A$99=""),"",'Work Log'!$A$99)</x:f>
      </x:c>
      <x:c r="M96" t="str">
        <x:f>IF(P96="","",TEXT(P96,"mm/dd/yy"))</x:f>
      </x:c>
      <x:c r="N96" s="11" t="str">
        <x:f>IF(OR(P96="",SUMIF('Backlog'!$B$6:$B$25,"S4",'Backlog'!$E$6:$E$25)=0,Burndown!$B$8="",Burndown!$C$8=""),"",MAX(0,SUMIF('Backlog'!$B$6:$B$25,"S4",'Backlog'!$E$6:$E$25)-SUMIFS('Work Log'!$D$6:$D$205,'Work Log'!$E$6:$E$205,"S4",'Work Log'!$A$6:$A$205,"&lt;="&amp;P96)))</x:f>
      </x:c>
      <x:c r="O96" s="11" t="str">
        <x:f>IF(OR(P96="",SUMIF('Backlog'!$B$6:$B$25,"S4",'Backlog'!$E$6:$E$25)=0,Burndown!$B$8="",Burndown!$C$8="",Burndown!$C$8&lt;=Burndown!$B$8),"",MAX(0,SUMIF('Backlog'!$B$6:$B$25,"S4",'Backlog'!$E$6:$E$25)*(Burndown!$C$8-P96)/(Burndown!$C$8-Burndown!$B$8)))</x:f>
      </x:c>
      <x:c r="P96" s="10" t="str">
        <x:f>IF(OR('Work Log'!$E$99&lt;&gt;"S4",'Work Log'!$A$99=""),"",'Work Log'!$A$99)</x:f>
      </x:c>
      <x:c r="Q96" t="str">
        <x:f>IF(T96="","",TEXT(T96,"mm/dd/yy"))</x:f>
      </x:c>
      <x:c r="R96" s="11" t="str">
        <x:f>IF(OR(T96="",SUMIF('Backlog'!$B$6:$B$25,"S5",'Backlog'!$E$6:$E$25)=0,Burndown!$B$9="",Burndown!$C$9=""),"",MAX(0,SUMIF('Backlog'!$B$6:$B$25,"S5",'Backlog'!$E$6:$E$25)-SUMIFS('Work Log'!$D$6:$D$205,'Work Log'!$E$6:$E$205,"S5",'Work Log'!$A$6:$A$205,"&lt;="&amp;T96)))</x:f>
      </x:c>
      <x:c r="S96" s="11" t="str">
        <x:f>IF(OR(T96="",SUMIF('Backlog'!$B$6:$B$25,"S5",'Backlog'!$E$6:$E$25)=0,Burndown!$B$9="",Burndown!$C$9="",Burndown!$C$9&lt;=Burndown!$B$9),"",MAX(0,SUMIF('Backlog'!$B$6:$B$25,"S5",'Backlog'!$E$6:$E$25)*(Burndown!$C$9-T96)/(Burndown!$C$9-Burndown!$B$9)))</x:f>
      </x:c>
      <x:c r="T96" s="10" t="str">
        <x:f>IF(OR('Work Log'!$E$99&lt;&gt;"S5",'Work Log'!$A$99=""),"",'Work Log'!$A$99)</x:f>
      </x:c>
    </x:row>
    <x:row r="97">
      <x:c r="A97" t="str">
        <x:f>IF(D97="","",TEXT(D97,"mm/dd/yy"))</x:f>
      </x:c>
      <x:c r="B97" s="11" t="str">
        <x:f>IF(OR(D97="",SUMIF('Backlog'!$B$6:$B$25,"S1",'Backlog'!$E$6:$E$25)=0,Burndown!$B$5="",Burndown!$C$5=""),"",MAX(0,SUMIF('Backlog'!$B$6:$B$25,"S1",'Backlog'!$E$6:$E$25)-SUMIFS('Work Log'!$D$6:$D$205,'Work Log'!$E$6:$E$205,"S1",'Work Log'!$A$6:$A$205,"&lt;="&amp;D97)))</x:f>
      </x:c>
      <x:c r="C97" s="11" t="str">
        <x:f>IF(OR(D97="",SUMIF('Backlog'!$B$6:$B$25,"S1",'Backlog'!$E$6:$E$25)=0,Burndown!$B$5="",Burndown!$C$5="",Burndown!$C$5&lt;=Burndown!$B$5),"",MAX(0,SUMIF('Backlog'!$B$6:$B$25,"S1",'Backlog'!$E$6:$E$25)*(Burndown!$C$5-D97)/(Burndown!$C$5-Burndown!$B$5)))</x:f>
      </x:c>
      <x:c r="D97" s="10" t="str">
        <x:f>IF(OR('Work Log'!$E$100&lt;&gt;"S1",'Work Log'!$A$100=""),"",'Work Log'!$A$100)</x:f>
      </x:c>
      <x:c r="E97" t="str">
        <x:f>IF(H97="","",TEXT(H97,"mm/dd/yy"))</x:f>
      </x:c>
      <x:c r="F97" s="11" t="str">
        <x:f>IF(OR(H97="",SUMIF('Backlog'!$B$6:$B$25,"S2",'Backlog'!$E$6:$E$25)=0,Burndown!$B$6="",Burndown!$C$6=""),"",MAX(0,SUMIF('Backlog'!$B$6:$B$25,"S2",'Backlog'!$E$6:$E$25)-SUMIFS('Work Log'!$D$6:$D$205,'Work Log'!$E$6:$E$205,"S2",'Work Log'!$A$6:$A$205,"&lt;="&amp;H97)))</x:f>
      </x:c>
      <x:c r="G97" s="11" t="str">
        <x:f>IF(OR(H97="",SUMIF('Backlog'!$B$6:$B$25,"S2",'Backlog'!$E$6:$E$25)=0,Burndown!$B$6="",Burndown!$C$6="",Burndown!$C$6&lt;=Burndown!$B$6),"",MAX(0,SUMIF('Backlog'!$B$6:$B$25,"S2",'Backlog'!$E$6:$E$25)*(Burndown!$C$6-H97)/(Burndown!$C$6-Burndown!$B$6)))</x:f>
      </x:c>
      <x:c r="H97" s="10" t="str">
        <x:f>IF(OR('Work Log'!$E$100&lt;&gt;"S2",'Work Log'!$A$100=""),"",'Work Log'!$A$100)</x:f>
      </x:c>
      <x:c r="I97" t="str">
        <x:f>IF(L97="","",TEXT(L97,"mm/dd/yy"))</x:f>
      </x:c>
      <x:c r="J97" s="11" t="str">
        <x:f>IF(OR(L97="",SUMIF('Backlog'!$B$6:$B$25,"S3",'Backlog'!$E$6:$E$25)=0,Burndown!$B$7="",Burndown!$C$7=""),"",MAX(0,SUMIF('Backlog'!$B$6:$B$25,"S3",'Backlog'!$E$6:$E$25)-SUMIFS('Work Log'!$D$6:$D$205,'Work Log'!$E$6:$E$205,"S3",'Work Log'!$A$6:$A$205,"&lt;="&amp;L97)))</x:f>
      </x:c>
      <x:c r="K97" s="11" t="str">
        <x:f>IF(OR(L97="",SUMIF('Backlog'!$B$6:$B$25,"S3",'Backlog'!$E$6:$E$25)=0,Burndown!$B$7="",Burndown!$C$7="",Burndown!$C$7&lt;=Burndown!$B$7),"",MAX(0,SUMIF('Backlog'!$B$6:$B$25,"S3",'Backlog'!$E$6:$E$25)*(Burndown!$C$7-L97)/(Burndown!$C$7-Burndown!$B$7)))</x:f>
      </x:c>
      <x:c r="L97" s="10" t="str">
        <x:f>IF(OR('Work Log'!$E$100&lt;&gt;"S3",'Work Log'!$A$100=""),"",'Work Log'!$A$100)</x:f>
      </x:c>
      <x:c r="M97" t="str">
        <x:f>IF(P97="","",TEXT(P97,"mm/dd/yy"))</x:f>
      </x:c>
      <x:c r="N97" s="11" t="str">
        <x:f>IF(OR(P97="",SUMIF('Backlog'!$B$6:$B$25,"S4",'Backlog'!$E$6:$E$25)=0,Burndown!$B$8="",Burndown!$C$8=""),"",MAX(0,SUMIF('Backlog'!$B$6:$B$25,"S4",'Backlog'!$E$6:$E$25)-SUMIFS('Work Log'!$D$6:$D$205,'Work Log'!$E$6:$E$205,"S4",'Work Log'!$A$6:$A$205,"&lt;="&amp;P97)))</x:f>
      </x:c>
      <x:c r="O97" s="11" t="str">
        <x:f>IF(OR(P97="",SUMIF('Backlog'!$B$6:$B$25,"S4",'Backlog'!$E$6:$E$25)=0,Burndown!$B$8="",Burndown!$C$8="",Burndown!$C$8&lt;=Burndown!$B$8),"",MAX(0,SUMIF('Backlog'!$B$6:$B$25,"S4",'Backlog'!$E$6:$E$25)*(Burndown!$C$8-P97)/(Burndown!$C$8-Burndown!$B$8)))</x:f>
      </x:c>
      <x:c r="P97" s="10" t="str">
        <x:f>IF(OR('Work Log'!$E$100&lt;&gt;"S4",'Work Log'!$A$100=""),"",'Work Log'!$A$100)</x:f>
      </x:c>
      <x:c r="Q97" t="str">
        <x:f>IF(T97="","",TEXT(T97,"mm/dd/yy"))</x:f>
      </x:c>
      <x:c r="R97" s="11" t="str">
        <x:f>IF(OR(T97="",SUMIF('Backlog'!$B$6:$B$25,"S5",'Backlog'!$E$6:$E$25)=0,Burndown!$B$9="",Burndown!$C$9=""),"",MAX(0,SUMIF('Backlog'!$B$6:$B$25,"S5",'Backlog'!$E$6:$E$25)-SUMIFS('Work Log'!$D$6:$D$205,'Work Log'!$E$6:$E$205,"S5",'Work Log'!$A$6:$A$205,"&lt;="&amp;T97)))</x:f>
      </x:c>
      <x:c r="S97" s="11" t="str">
        <x:f>IF(OR(T97="",SUMIF('Backlog'!$B$6:$B$25,"S5",'Backlog'!$E$6:$E$25)=0,Burndown!$B$9="",Burndown!$C$9="",Burndown!$C$9&lt;=Burndown!$B$9),"",MAX(0,SUMIF('Backlog'!$B$6:$B$25,"S5",'Backlog'!$E$6:$E$25)*(Burndown!$C$9-T97)/(Burndown!$C$9-Burndown!$B$9)))</x:f>
      </x:c>
      <x:c r="T97" s="10" t="str">
        <x:f>IF(OR('Work Log'!$E$100&lt;&gt;"S5",'Work Log'!$A$100=""),"",'Work Log'!$A$100)</x:f>
      </x:c>
    </x:row>
    <x:row r="98">
      <x:c r="A98" t="str">
        <x:f>IF(D98="","",TEXT(D98,"mm/dd/yy"))</x:f>
      </x:c>
      <x:c r="B98" s="11" t="str">
        <x:f>IF(OR(D98="",SUMIF('Backlog'!$B$6:$B$25,"S1",'Backlog'!$E$6:$E$25)=0,Burndown!$B$5="",Burndown!$C$5=""),"",MAX(0,SUMIF('Backlog'!$B$6:$B$25,"S1",'Backlog'!$E$6:$E$25)-SUMIFS('Work Log'!$D$6:$D$205,'Work Log'!$E$6:$E$205,"S1",'Work Log'!$A$6:$A$205,"&lt;="&amp;D98)))</x:f>
      </x:c>
      <x:c r="C98" s="11" t="str">
        <x:f>IF(OR(D98="",SUMIF('Backlog'!$B$6:$B$25,"S1",'Backlog'!$E$6:$E$25)=0,Burndown!$B$5="",Burndown!$C$5="",Burndown!$C$5&lt;=Burndown!$B$5),"",MAX(0,SUMIF('Backlog'!$B$6:$B$25,"S1",'Backlog'!$E$6:$E$25)*(Burndown!$C$5-D98)/(Burndown!$C$5-Burndown!$B$5)))</x:f>
      </x:c>
      <x:c r="D98" s="10" t="str">
        <x:f>IF(OR('Work Log'!$E$101&lt;&gt;"S1",'Work Log'!$A$101=""),"",'Work Log'!$A$101)</x:f>
      </x:c>
      <x:c r="E98" t="str">
        <x:f>IF(H98="","",TEXT(H98,"mm/dd/yy"))</x:f>
      </x:c>
      <x:c r="F98" s="11" t="str">
        <x:f>IF(OR(H98="",SUMIF('Backlog'!$B$6:$B$25,"S2",'Backlog'!$E$6:$E$25)=0,Burndown!$B$6="",Burndown!$C$6=""),"",MAX(0,SUMIF('Backlog'!$B$6:$B$25,"S2",'Backlog'!$E$6:$E$25)-SUMIFS('Work Log'!$D$6:$D$205,'Work Log'!$E$6:$E$205,"S2",'Work Log'!$A$6:$A$205,"&lt;="&amp;H98)))</x:f>
      </x:c>
      <x:c r="G98" s="11" t="str">
        <x:f>IF(OR(H98="",SUMIF('Backlog'!$B$6:$B$25,"S2",'Backlog'!$E$6:$E$25)=0,Burndown!$B$6="",Burndown!$C$6="",Burndown!$C$6&lt;=Burndown!$B$6),"",MAX(0,SUMIF('Backlog'!$B$6:$B$25,"S2",'Backlog'!$E$6:$E$25)*(Burndown!$C$6-H98)/(Burndown!$C$6-Burndown!$B$6)))</x:f>
      </x:c>
      <x:c r="H98" s="10" t="str">
        <x:f>IF(OR('Work Log'!$E$101&lt;&gt;"S2",'Work Log'!$A$101=""),"",'Work Log'!$A$101)</x:f>
      </x:c>
      <x:c r="I98" t="str">
        <x:f>IF(L98="","",TEXT(L98,"mm/dd/yy"))</x:f>
      </x:c>
      <x:c r="J98" s="11" t="str">
        <x:f>IF(OR(L98="",SUMIF('Backlog'!$B$6:$B$25,"S3",'Backlog'!$E$6:$E$25)=0,Burndown!$B$7="",Burndown!$C$7=""),"",MAX(0,SUMIF('Backlog'!$B$6:$B$25,"S3",'Backlog'!$E$6:$E$25)-SUMIFS('Work Log'!$D$6:$D$205,'Work Log'!$E$6:$E$205,"S3",'Work Log'!$A$6:$A$205,"&lt;="&amp;L98)))</x:f>
      </x:c>
      <x:c r="K98" s="11" t="str">
        <x:f>IF(OR(L98="",SUMIF('Backlog'!$B$6:$B$25,"S3",'Backlog'!$E$6:$E$25)=0,Burndown!$B$7="",Burndown!$C$7="",Burndown!$C$7&lt;=Burndown!$B$7),"",MAX(0,SUMIF('Backlog'!$B$6:$B$25,"S3",'Backlog'!$E$6:$E$25)*(Burndown!$C$7-L98)/(Burndown!$C$7-Burndown!$B$7)))</x:f>
      </x:c>
      <x:c r="L98" s="10" t="str">
        <x:f>IF(OR('Work Log'!$E$101&lt;&gt;"S3",'Work Log'!$A$101=""),"",'Work Log'!$A$101)</x:f>
      </x:c>
      <x:c r="M98" t="str">
        <x:f>IF(P98="","",TEXT(P98,"mm/dd/yy"))</x:f>
      </x:c>
      <x:c r="N98" s="11" t="str">
        <x:f>IF(OR(P98="",SUMIF('Backlog'!$B$6:$B$25,"S4",'Backlog'!$E$6:$E$25)=0,Burndown!$B$8="",Burndown!$C$8=""),"",MAX(0,SUMIF('Backlog'!$B$6:$B$25,"S4",'Backlog'!$E$6:$E$25)-SUMIFS('Work Log'!$D$6:$D$205,'Work Log'!$E$6:$E$205,"S4",'Work Log'!$A$6:$A$205,"&lt;="&amp;P98)))</x:f>
      </x:c>
      <x:c r="O98" s="11" t="str">
        <x:f>IF(OR(P98="",SUMIF('Backlog'!$B$6:$B$25,"S4",'Backlog'!$E$6:$E$25)=0,Burndown!$B$8="",Burndown!$C$8="",Burndown!$C$8&lt;=Burndown!$B$8),"",MAX(0,SUMIF('Backlog'!$B$6:$B$25,"S4",'Backlog'!$E$6:$E$25)*(Burndown!$C$8-P98)/(Burndown!$C$8-Burndown!$B$8)))</x:f>
      </x:c>
      <x:c r="P98" s="10" t="str">
        <x:f>IF(OR('Work Log'!$E$101&lt;&gt;"S4",'Work Log'!$A$101=""),"",'Work Log'!$A$101)</x:f>
      </x:c>
      <x:c r="Q98" t="str">
        <x:f>IF(T98="","",TEXT(T98,"mm/dd/yy"))</x:f>
      </x:c>
      <x:c r="R98" s="11" t="str">
        <x:f>IF(OR(T98="",SUMIF('Backlog'!$B$6:$B$25,"S5",'Backlog'!$E$6:$E$25)=0,Burndown!$B$9="",Burndown!$C$9=""),"",MAX(0,SUMIF('Backlog'!$B$6:$B$25,"S5",'Backlog'!$E$6:$E$25)-SUMIFS('Work Log'!$D$6:$D$205,'Work Log'!$E$6:$E$205,"S5",'Work Log'!$A$6:$A$205,"&lt;="&amp;T98)))</x:f>
      </x:c>
      <x:c r="S98" s="11" t="str">
        <x:f>IF(OR(T98="",SUMIF('Backlog'!$B$6:$B$25,"S5",'Backlog'!$E$6:$E$25)=0,Burndown!$B$9="",Burndown!$C$9="",Burndown!$C$9&lt;=Burndown!$B$9),"",MAX(0,SUMIF('Backlog'!$B$6:$B$25,"S5",'Backlog'!$E$6:$E$25)*(Burndown!$C$9-T98)/(Burndown!$C$9-Burndown!$B$9)))</x:f>
      </x:c>
      <x:c r="T98" s="10" t="str">
        <x:f>IF(OR('Work Log'!$E$101&lt;&gt;"S5",'Work Log'!$A$101=""),"",'Work Log'!$A$101)</x:f>
      </x:c>
    </x:row>
    <x:row r="99">
      <x:c r="A99" t="str">
        <x:f>IF(D99="","",TEXT(D99,"mm/dd/yy"))</x:f>
      </x:c>
      <x:c r="B99" s="11" t="str">
        <x:f>IF(OR(D99="",SUMIF('Backlog'!$B$6:$B$25,"S1",'Backlog'!$E$6:$E$25)=0,Burndown!$B$5="",Burndown!$C$5=""),"",MAX(0,SUMIF('Backlog'!$B$6:$B$25,"S1",'Backlog'!$E$6:$E$25)-SUMIFS('Work Log'!$D$6:$D$205,'Work Log'!$E$6:$E$205,"S1",'Work Log'!$A$6:$A$205,"&lt;="&amp;D99)))</x:f>
      </x:c>
      <x:c r="C99" s="11" t="str">
        <x:f>IF(OR(D99="",SUMIF('Backlog'!$B$6:$B$25,"S1",'Backlog'!$E$6:$E$25)=0,Burndown!$B$5="",Burndown!$C$5="",Burndown!$C$5&lt;=Burndown!$B$5),"",MAX(0,SUMIF('Backlog'!$B$6:$B$25,"S1",'Backlog'!$E$6:$E$25)*(Burndown!$C$5-D99)/(Burndown!$C$5-Burndown!$B$5)))</x:f>
      </x:c>
      <x:c r="D99" s="10" t="str">
        <x:f>IF(OR('Work Log'!$E$102&lt;&gt;"S1",'Work Log'!$A$102=""),"",'Work Log'!$A$102)</x:f>
      </x:c>
      <x:c r="E99" t="str">
        <x:f>IF(H99="","",TEXT(H99,"mm/dd/yy"))</x:f>
      </x:c>
      <x:c r="F99" s="11" t="str">
        <x:f>IF(OR(H99="",SUMIF('Backlog'!$B$6:$B$25,"S2",'Backlog'!$E$6:$E$25)=0,Burndown!$B$6="",Burndown!$C$6=""),"",MAX(0,SUMIF('Backlog'!$B$6:$B$25,"S2",'Backlog'!$E$6:$E$25)-SUMIFS('Work Log'!$D$6:$D$205,'Work Log'!$E$6:$E$205,"S2",'Work Log'!$A$6:$A$205,"&lt;="&amp;H99)))</x:f>
      </x:c>
      <x:c r="G99" s="11" t="str">
        <x:f>IF(OR(H99="",SUMIF('Backlog'!$B$6:$B$25,"S2",'Backlog'!$E$6:$E$25)=0,Burndown!$B$6="",Burndown!$C$6="",Burndown!$C$6&lt;=Burndown!$B$6),"",MAX(0,SUMIF('Backlog'!$B$6:$B$25,"S2",'Backlog'!$E$6:$E$25)*(Burndown!$C$6-H99)/(Burndown!$C$6-Burndown!$B$6)))</x:f>
      </x:c>
      <x:c r="H99" s="10" t="str">
        <x:f>IF(OR('Work Log'!$E$102&lt;&gt;"S2",'Work Log'!$A$102=""),"",'Work Log'!$A$102)</x:f>
      </x:c>
      <x:c r="I99" t="str">
        <x:f>IF(L99="","",TEXT(L99,"mm/dd/yy"))</x:f>
      </x:c>
      <x:c r="J99" s="11" t="str">
        <x:f>IF(OR(L99="",SUMIF('Backlog'!$B$6:$B$25,"S3",'Backlog'!$E$6:$E$25)=0,Burndown!$B$7="",Burndown!$C$7=""),"",MAX(0,SUMIF('Backlog'!$B$6:$B$25,"S3",'Backlog'!$E$6:$E$25)-SUMIFS('Work Log'!$D$6:$D$205,'Work Log'!$E$6:$E$205,"S3",'Work Log'!$A$6:$A$205,"&lt;="&amp;L99)))</x:f>
      </x:c>
      <x:c r="K99" s="11" t="str">
        <x:f>IF(OR(L99="",SUMIF('Backlog'!$B$6:$B$25,"S3",'Backlog'!$E$6:$E$25)=0,Burndown!$B$7="",Burndown!$C$7="",Burndown!$C$7&lt;=Burndown!$B$7),"",MAX(0,SUMIF('Backlog'!$B$6:$B$25,"S3",'Backlog'!$E$6:$E$25)*(Burndown!$C$7-L99)/(Burndown!$C$7-Burndown!$B$7)))</x:f>
      </x:c>
      <x:c r="L99" s="10" t="str">
        <x:f>IF(OR('Work Log'!$E$102&lt;&gt;"S3",'Work Log'!$A$102=""),"",'Work Log'!$A$102)</x:f>
      </x:c>
      <x:c r="M99" t="str">
        <x:f>IF(P99="","",TEXT(P99,"mm/dd/yy"))</x:f>
      </x:c>
      <x:c r="N99" s="11" t="str">
        <x:f>IF(OR(P99="",SUMIF('Backlog'!$B$6:$B$25,"S4",'Backlog'!$E$6:$E$25)=0,Burndown!$B$8="",Burndown!$C$8=""),"",MAX(0,SUMIF('Backlog'!$B$6:$B$25,"S4",'Backlog'!$E$6:$E$25)-SUMIFS('Work Log'!$D$6:$D$205,'Work Log'!$E$6:$E$205,"S4",'Work Log'!$A$6:$A$205,"&lt;="&amp;P99)))</x:f>
      </x:c>
      <x:c r="O99" s="11" t="str">
        <x:f>IF(OR(P99="",SUMIF('Backlog'!$B$6:$B$25,"S4",'Backlog'!$E$6:$E$25)=0,Burndown!$B$8="",Burndown!$C$8="",Burndown!$C$8&lt;=Burndown!$B$8),"",MAX(0,SUMIF('Backlog'!$B$6:$B$25,"S4",'Backlog'!$E$6:$E$25)*(Burndown!$C$8-P99)/(Burndown!$C$8-Burndown!$B$8)))</x:f>
      </x:c>
      <x:c r="P99" s="10" t="str">
        <x:f>IF(OR('Work Log'!$E$102&lt;&gt;"S4",'Work Log'!$A$102=""),"",'Work Log'!$A$102)</x:f>
      </x:c>
      <x:c r="Q99" t="str">
        <x:f>IF(T99="","",TEXT(T99,"mm/dd/yy"))</x:f>
      </x:c>
      <x:c r="R99" s="11" t="str">
        <x:f>IF(OR(T99="",SUMIF('Backlog'!$B$6:$B$25,"S5",'Backlog'!$E$6:$E$25)=0,Burndown!$B$9="",Burndown!$C$9=""),"",MAX(0,SUMIF('Backlog'!$B$6:$B$25,"S5",'Backlog'!$E$6:$E$25)-SUMIFS('Work Log'!$D$6:$D$205,'Work Log'!$E$6:$E$205,"S5",'Work Log'!$A$6:$A$205,"&lt;="&amp;T99)))</x:f>
      </x:c>
      <x:c r="S99" s="11" t="str">
        <x:f>IF(OR(T99="",SUMIF('Backlog'!$B$6:$B$25,"S5",'Backlog'!$E$6:$E$25)=0,Burndown!$B$9="",Burndown!$C$9="",Burndown!$C$9&lt;=Burndown!$B$9),"",MAX(0,SUMIF('Backlog'!$B$6:$B$25,"S5",'Backlog'!$E$6:$E$25)*(Burndown!$C$9-T99)/(Burndown!$C$9-Burndown!$B$9)))</x:f>
      </x:c>
      <x:c r="T99" s="10" t="str">
        <x:f>IF(OR('Work Log'!$E$102&lt;&gt;"S5",'Work Log'!$A$102=""),"",'Work Log'!$A$102)</x:f>
      </x:c>
    </x:row>
    <x:row r="100">
      <x:c r="A100" t="str">
        <x:f>IF(D100="","",TEXT(D100,"mm/dd/yy"))</x:f>
      </x:c>
      <x:c r="B100" s="11" t="str">
        <x:f>IF(OR(D100="",SUMIF('Backlog'!$B$6:$B$25,"S1",'Backlog'!$E$6:$E$25)=0,Burndown!$B$5="",Burndown!$C$5=""),"",MAX(0,SUMIF('Backlog'!$B$6:$B$25,"S1",'Backlog'!$E$6:$E$25)-SUMIFS('Work Log'!$D$6:$D$205,'Work Log'!$E$6:$E$205,"S1",'Work Log'!$A$6:$A$205,"&lt;="&amp;D100)))</x:f>
      </x:c>
      <x:c r="C100" s="11" t="str">
        <x:f>IF(OR(D100="",SUMIF('Backlog'!$B$6:$B$25,"S1",'Backlog'!$E$6:$E$25)=0,Burndown!$B$5="",Burndown!$C$5="",Burndown!$C$5&lt;=Burndown!$B$5),"",MAX(0,SUMIF('Backlog'!$B$6:$B$25,"S1",'Backlog'!$E$6:$E$25)*(Burndown!$C$5-D100)/(Burndown!$C$5-Burndown!$B$5)))</x:f>
      </x:c>
      <x:c r="D100" s="10" t="str">
        <x:f>IF(OR('Work Log'!$E$103&lt;&gt;"S1",'Work Log'!$A$103=""),"",'Work Log'!$A$103)</x:f>
      </x:c>
      <x:c r="E100" t="str">
        <x:f>IF(H100="","",TEXT(H100,"mm/dd/yy"))</x:f>
      </x:c>
      <x:c r="F100" s="11" t="str">
        <x:f>IF(OR(H100="",SUMIF('Backlog'!$B$6:$B$25,"S2",'Backlog'!$E$6:$E$25)=0,Burndown!$B$6="",Burndown!$C$6=""),"",MAX(0,SUMIF('Backlog'!$B$6:$B$25,"S2",'Backlog'!$E$6:$E$25)-SUMIFS('Work Log'!$D$6:$D$205,'Work Log'!$E$6:$E$205,"S2",'Work Log'!$A$6:$A$205,"&lt;="&amp;H100)))</x:f>
      </x:c>
      <x:c r="G100" s="11" t="str">
        <x:f>IF(OR(H100="",SUMIF('Backlog'!$B$6:$B$25,"S2",'Backlog'!$E$6:$E$25)=0,Burndown!$B$6="",Burndown!$C$6="",Burndown!$C$6&lt;=Burndown!$B$6),"",MAX(0,SUMIF('Backlog'!$B$6:$B$25,"S2",'Backlog'!$E$6:$E$25)*(Burndown!$C$6-H100)/(Burndown!$C$6-Burndown!$B$6)))</x:f>
      </x:c>
      <x:c r="H100" s="10" t="str">
        <x:f>IF(OR('Work Log'!$E$103&lt;&gt;"S2",'Work Log'!$A$103=""),"",'Work Log'!$A$103)</x:f>
      </x:c>
      <x:c r="I100" t="str">
        <x:f>IF(L100="","",TEXT(L100,"mm/dd/yy"))</x:f>
      </x:c>
      <x:c r="J100" s="11" t="str">
        <x:f>IF(OR(L100="",SUMIF('Backlog'!$B$6:$B$25,"S3",'Backlog'!$E$6:$E$25)=0,Burndown!$B$7="",Burndown!$C$7=""),"",MAX(0,SUMIF('Backlog'!$B$6:$B$25,"S3",'Backlog'!$E$6:$E$25)-SUMIFS('Work Log'!$D$6:$D$205,'Work Log'!$E$6:$E$205,"S3",'Work Log'!$A$6:$A$205,"&lt;="&amp;L100)))</x:f>
      </x:c>
      <x:c r="K100" s="11" t="str">
        <x:f>IF(OR(L100="",SUMIF('Backlog'!$B$6:$B$25,"S3",'Backlog'!$E$6:$E$25)=0,Burndown!$B$7="",Burndown!$C$7="",Burndown!$C$7&lt;=Burndown!$B$7),"",MAX(0,SUMIF('Backlog'!$B$6:$B$25,"S3",'Backlog'!$E$6:$E$25)*(Burndown!$C$7-L100)/(Burndown!$C$7-Burndown!$B$7)))</x:f>
      </x:c>
      <x:c r="L100" s="10" t="str">
        <x:f>IF(OR('Work Log'!$E$103&lt;&gt;"S3",'Work Log'!$A$103=""),"",'Work Log'!$A$103)</x:f>
      </x:c>
      <x:c r="M100" t="str">
        <x:f>IF(P100="","",TEXT(P100,"mm/dd/yy"))</x:f>
      </x:c>
      <x:c r="N100" s="11" t="str">
        <x:f>IF(OR(P100="",SUMIF('Backlog'!$B$6:$B$25,"S4",'Backlog'!$E$6:$E$25)=0,Burndown!$B$8="",Burndown!$C$8=""),"",MAX(0,SUMIF('Backlog'!$B$6:$B$25,"S4",'Backlog'!$E$6:$E$25)-SUMIFS('Work Log'!$D$6:$D$205,'Work Log'!$E$6:$E$205,"S4",'Work Log'!$A$6:$A$205,"&lt;="&amp;P100)))</x:f>
      </x:c>
      <x:c r="O100" s="11" t="str">
        <x:f>IF(OR(P100="",SUMIF('Backlog'!$B$6:$B$25,"S4",'Backlog'!$E$6:$E$25)=0,Burndown!$B$8="",Burndown!$C$8="",Burndown!$C$8&lt;=Burndown!$B$8),"",MAX(0,SUMIF('Backlog'!$B$6:$B$25,"S4",'Backlog'!$E$6:$E$25)*(Burndown!$C$8-P100)/(Burndown!$C$8-Burndown!$B$8)))</x:f>
      </x:c>
      <x:c r="P100" s="10" t="str">
        <x:f>IF(OR('Work Log'!$E$103&lt;&gt;"S4",'Work Log'!$A$103=""),"",'Work Log'!$A$103)</x:f>
      </x:c>
      <x:c r="Q100" t="str">
        <x:f>IF(T100="","",TEXT(T100,"mm/dd/yy"))</x:f>
      </x:c>
      <x:c r="R100" s="11" t="str">
        <x:f>IF(OR(T100="",SUMIF('Backlog'!$B$6:$B$25,"S5",'Backlog'!$E$6:$E$25)=0,Burndown!$B$9="",Burndown!$C$9=""),"",MAX(0,SUMIF('Backlog'!$B$6:$B$25,"S5",'Backlog'!$E$6:$E$25)-SUMIFS('Work Log'!$D$6:$D$205,'Work Log'!$E$6:$E$205,"S5",'Work Log'!$A$6:$A$205,"&lt;="&amp;T100)))</x:f>
      </x:c>
      <x:c r="S100" s="11" t="str">
        <x:f>IF(OR(T100="",SUMIF('Backlog'!$B$6:$B$25,"S5",'Backlog'!$E$6:$E$25)=0,Burndown!$B$9="",Burndown!$C$9="",Burndown!$C$9&lt;=Burndown!$B$9),"",MAX(0,SUMIF('Backlog'!$B$6:$B$25,"S5",'Backlog'!$E$6:$E$25)*(Burndown!$C$9-T100)/(Burndown!$C$9-Burndown!$B$9)))</x:f>
      </x:c>
      <x:c r="T100" s="10" t="str">
        <x:f>IF(OR('Work Log'!$E$103&lt;&gt;"S5",'Work Log'!$A$103=""),"",'Work Log'!$A$103)</x:f>
      </x:c>
    </x:row>
    <x:row r="101">
      <x:c r="A101" t="str">
        <x:f>IF(D101="","",TEXT(D101,"mm/dd/yy"))</x:f>
      </x:c>
      <x:c r="B101" s="11" t="str">
        <x:f>IF(OR(D101="",SUMIF('Backlog'!$B$6:$B$25,"S1",'Backlog'!$E$6:$E$25)=0,Burndown!$B$5="",Burndown!$C$5=""),"",MAX(0,SUMIF('Backlog'!$B$6:$B$25,"S1",'Backlog'!$E$6:$E$25)-SUMIFS('Work Log'!$D$6:$D$205,'Work Log'!$E$6:$E$205,"S1",'Work Log'!$A$6:$A$205,"&lt;="&amp;D101)))</x:f>
      </x:c>
      <x:c r="C101" s="11" t="str">
        <x:f>IF(OR(D101="",SUMIF('Backlog'!$B$6:$B$25,"S1",'Backlog'!$E$6:$E$25)=0,Burndown!$B$5="",Burndown!$C$5="",Burndown!$C$5&lt;=Burndown!$B$5),"",MAX(0,SUMIF('Backlog'!$B$6:$B$25,"S1",'Backlog'!$E$6:$E$25)*(Burndown!$C$5-D101)/(Burndown!$C$5-Burndown!$B$5)))</x:f>
      </x:c>
      <x:c r="D101" s="10" t="str">
        <x:f>IF(OR('Work Log'!$E$104&lt;&gt;"S1",'Work Log'!$A$104=""),"",'Work Log'!$A$104)</x:f>
      </x:c>
      <x:c r="E101" t="str">
        <x:f>IF(H101="","",TEXT(H101,"mm/dd/yy"))</x:f>
      </x:c>
      <x:c r="F101" s="11" t="str">
        <x:f>IF(OR(H101="",SUMIF('Backlog'!$B$6:$B$25,"S2",'Backlog'!$E$6:$E$25)=0,Burndown!$B$6="",Burndown!$C$6=""),"",MAX(0,SUMIF('Backlog'!$B$6:$B$25,"S2",'Backlog'!$E$6:$E$25)-SUMIFS('Work Log'!$D$6:$D$205,'Work Log'!$E$6:$E$205,"S2",'Work Log'!$A$6:$A$205,"&lt;="&amp;H101)))</x:f>
      </x:c>
      <x:c r="G101" s="11" t="str">
        <x:f>IF(OR(H101="",SUMIF('Backlog'!$B$6:$B$25,"S2",'Backlog'!$E$6:$E$25)=0,Burndown!$B$6="",Burndown!$C$6="",Burndown!$C$6&lt;=Burndown!$B$6),"",MAX(0,SUMIF('Backlog'!$B$6:$B$25,"S2",'Backlog'!$E$6:$E$25)*(Burndown!$C$6-H101)/(Burndown!$C$6-Burndown!$B$6)))</x:f>
      </x:c>
      <x:c r="H101" s="10" t="str">
        <x:f>IF(OR('Work Log'!$E$104&lt;&gt;"S2",'Work Log'!$A$104=""),"",'Work Log'!$A$104)</x:f>
      </x:c>
      <x:c r="I101" t="str">
        <x:f>IF(L101="","",TEXT(L101,"mm/dd/yy"))</x:f>
      </x:c>
      <x:c r="J101" s="11" t="str">
        <x:f>IF(OR(L101="",SUMIF('Backlog'!$B$6:$B$25,"S3",'Backlog'!$E$6:$E$25)=0,Burndown!$B$7="",Burndown!$C$7=""),"",MAX(0,SUMIF('Backlog'!$B$6:$B$25,"S3",'Backlog'!$E$6:$E$25)-SUMIFS('Work Log'!$D$6:$D$205,'Work Log'!$E$6:$E$205,"S3",'Work Log'!$A$6:$A$205,"&lt;="&amp;L101)))</x:f>
      </x:c>
      <x:c r="K101" s="11" t="str">
        <x:f>IF(OR(L101="",SUMIF('Backlog'!$B$6:$B$25,"S3",'Backlog'!$E$6:$E$25)=0,Burndown!$B$7="",Burndown!$C$7="",Burndown!$C$7&lt;=Burndown!$B$7),"",MAX(0,SUMIF('Backlog'!$B$6:$B$25,"S3",'Backlog'!$E$6:$E$25)*(Burndown!$C$7-L101)/(Burndown!$C$7-Burndown!$B$7)))</x:f>
      </x:c>
      <x:c r="L101" s="10" t="str">
        <x:f>IF(OR('Work Log'!$E$104&lt;&gt;"S3",'Work Log'!$A$104=""),"",'Work Log'!$A$104)</x:f>
      </x:c>
      <x:c r="M101" t="str">
        <x:f>IF(P101="","",TEXT(P101,"mm/dd/yy"))</x:f>
      </x:c>
      <x:c r="N101" s="11" t="str">
        <x:f>IF(OR(P101="",SUMIF('Backlog'!$B$6:$B$25,"S4",'Backlog'!$E$6:$E$25)=0,Burndown!$B$8="",Burndown!$C$8=""),"",MAX(0,SUMIF('Backlog'!$B$6:$B$25,"S4",'Backlog'!$E$6:$E$25)-SUMIFS('Work Log'!$D$6:$D$205,'Work Log'!$E$6:$E$205,"S4",'Work Log'!$A$6:$A$205,"&lt;="&amp;P101)))</x:f>
      </x:c>
      <x:c r="O101" s="11" t="str">
        <x:f>IF(OR(P101="",SUMIF('Backlog'!$B$6:$B$25,"S4",'Backlog'!$E$6:$E$25)=0,Burndown!$B$8="",Burndown!$C$8="",Burndown!$C$8&lt;=Burndown!$B$8),"",MAX(0,SUMIF('Backlog'!$B$6:$B$25,"S4",'Backlog'!$E$6:$E$25)*(Burndown!$C$8-P101)/(Burndown!$C$8-Burndown!$B$8)))</x:f>
      </x:c>
      <x:c r="P101" s="10" t="str">
        <x:f>IF(OR('Work Log'!$E$104&lt;&gt;"S4",'Work Log'!$A$104=""),"",'Work Log'!$A$104)</x:f>
      </x:c>
      <x:c r="Q101" t="str">
        <x:f>IF(T101="","",TEXT(T101,"mm/dd/yy"))</x:f>
      </x:c>
      <x:c r="R101" s="11" t="str">
        <x:f>IF(OR(T101="",SUMIF('Backlog'!$B$6:$B$25,"S5",'Backlog'!$E$6:$E$25)=0,Burndown!$B$9="",Burndown!$C$9=""),"",MAX(0,SUMIF('Backlog'!$B$6:$B$25,"S5",'Backlog'!$E$6:$E$25)-SUMIFS('Work Log'!$D$6:$D$205,'Work Log'!$E$6:$E$205,"S5",'Work Log'!$A$6:$A$205,"&lt;="&amp;T101)))</x:f>
      </x:c>
      <x:c r="S101" s="11" t="str">
        <x:f>IF(OR(T101="",SUMIF('Backlog'!$B$6:$B$25,"S5",'Backlog'!$E$6:$E$25)=0,Burndown!$B$9="",Burndown!$C$9="",Burndown!$C$9&lt;=Burndown!$B$9),"",MAX(0,SUMIF('Backlog'!$B$6:$B$25,"S5",'Backlog'!$E$6:$E$25)*(Burndown!$C$9-T101)/(Burndown!$C$9-Burndown!$B$9)))</x:f>
      </x:c>
      <x:c r="T101" s="10" t="str">
        <x:f>IF(OR('Work Log'!$E$104&lt;&gt;"S5",'Work Log'!$A$104=""),"",'Work Log'!$A$104)</x:f>
      </x:c>
    </x:row>
    <x:row r="102">
      <x:c r="A102" t="str">
        <x:f>IF(D102="","",TEXT(D102,"mm/dd/yy"))</x:f>
      </x:c>
      <x:c r="B102" s="11" t="str">
        <x:f>IF(OR(D102="",SUMIF('Backlog'!$B$6:$B$25,"S1",'Backlog'!$E$6:$E$25)=0,Burndown!$B$5="",Burndown!$C$5=""),"",MAX(0,SUMIF('Backlog'!$B$6:$B$25,"S1",'Backlog'!$E$6:$E$25)-SUMIFS('Work Log'!$D$6:$D$205,'Work Log'!$E$6:$E$205,"S1",'Work Log'!$A$6:$A$205,"&lt;="&amp;D102)))</x:f>
      </x:c>
      <x:c r="C102" s="11" t="str">
        <x:f>IF(OR(D102="",SUMIF('Backlog'!$B$6:$B$25,"S1",'Backlog'!$E$6:$E$25)=0,Burndown!$B$5="",Burndown!$C$5="",Burndown!$C$5&lt;=Burndown!$B$5),"",MAX(0,SUMIF('Backlog'!$B$6:$B$25,"S1",'Backlog'!$E$6:$E$25)*(Burndown!$C$5-D102)/(Burndown!$C$5-Burndown!$B$5)))</x:f>
      </x:c>
      <x:c r="D102" s="10" t="str">
        <x:f>IF(OR('Work Log'!$E$105&lt;&gt;"S1",'Work Log'!$A$105=""),"",'Work Log'!$A$105)</x:f>
      </x:c>
      <x:c r="E102" t="str">
        <x:f>IF(H102="","",TEXT(H102,"mm/dd/yy"))</x:f>
      </x:c>
      <x:c r="F102" s="11" t="str">
        <x:f>IF(OR(H102="",SUMIF('Backlog'!$B$6:$B$25,"S2",'Backlog'!$E$6:$E$25)=0,Burndown!$B$6="",Burndown!$C$6=""),"",MAX(0,SUMIF('Backlog'!$B$6:$B$25,"S2",'Backlog'!$E$6:$E$25)-SUMIFS('Work Log'!$D$6:$D$205,'Work Log'!$E$6:$E$205,"S2",'Work Log'!$A$6:$A$205,"&lt;="&amp;H102)))</x:f>
      </x:c>
      <x:c r="G102" s="11" t="str">
        <x:f>IF(OR(H102="",SUMIF('Backlog'!$B$6:$B$25,"S2",'Backlog'!$E$6:$E$25)=0,Burndown!$B$6="",Burndown!$C$6="",Burndown!$C$6&lt;=Burndown!$B$6),"",MAX(0,SUMIF('Backlog'!$B$6:$B$25,"S2",'Backlog'!$E$6:$E$25)*(Burndown!$C$6-H102)/(Burndown!$C$6-Burndown!$B$6)))</x:f>
      </x:c>
      <x:c r="H102" s="10" t="str">
        <x:f>IF(OR('Work Log'!$E$105&lt;&gt;"S2",'Work Log'!$A$105=""),"",'Work Log'!$A$105)</x:f>
      </x:c>
      <x:c r="I102" t="str">
        <x:f>IF(L102="","",TEXT(L102,"mm/dd/yy"))</x:f>
      </x:c>
      <x:c r="J102" s="11" t="str">
        <x:f>IF(OR(L102="",SUMIF('Backlog'!$B$6:$B$25,"S3",'Backlog'!$E$6:$E$25)=0,Burndown!$B$7="",Burndown!$C$7=""),"",MAX(0,SUMIF('Backlog'!$B$6:$B$25,"S3",'Backlog'!$E$6:$E$25)-SUMIFS('Work Log'!$D$6:$D$205,'Work Log'!$E$6:$E$205,"S3",'Work Log'!$A$6:$A$205,"&lt;="&amp;L102)))</x:f>
      </x:c>
      <x:c r="K102" s="11" t="str">
        <x:f>IF(OR(L102="",SUMIF('Backlog'!$B$6:$B$25,"S3",'Backlog'!$E$6:$E$25)=0,Burndown!$B$7="",Burndown!$C$7="",Burndown!$C$7&lt;=Burndown!$B$7),"",MAX(0,SUMIF('Backlog'!$B$6:$B$25,"S3",'Backlog'!$E$6:$E$25)*(Burndown!$C$7-L102)/(Burndown!$C$7-Burndown!$B$7)))</x:f>
      </x:c>
      <x:c r="L102" s="10" t="str">
        <x:f>IF(OR('Work Log'!$E$105&lt;&gt;"S3",'Work Log'!$A$105=""),"",'Work Log'!$A$105)</x:f>
      </x:c>
      <x:c r="M102" t="str">
        <x:f>IF(P102="","",TEXT(P102,"mm/dd/yy"))</x:f>
      </x:c>
      <x:c r="N102" s="11" t="str">
        <x:f>IF(OR(P102="",SUMIF('Backlog'!$B$6:$B$25,"S4",'Backlog'!$E$6:$E$25)=0,Burndown!$B$8="",Burndown!$C$8=""),"",MAX(0,SUMIF('Backlog'!$B$6:$B$25,"S4",'Backlog'!$E$6:$E$25)-SUMIFS('Work Log'!$D$6:$D$205,'Work Log'!$E$6:$E$205,"S4",'Work Log'!$A$6:$A$205,"&lt;="&amp;P102)))</x:f>
      </x:c>
      <x:c r="O102" s="11" t="str">
        <x:f>IF(OR(P102="",SUMIF('Backlog'!$B$6:$B$25,"S4",'Backlog'!$E$6:$E$25)=0,Burndown!$B$8="",Burndown!$C$8="",Burndown!$C$8&lt;=Burndown!$B$8),"",MAX(0,SUMIF('Backlog'!$B$6:$B$25,"S4",'Backlog'!$E$6:$E$25)*(Burndown!$C$8-P102)/(Burndown!$C$8-Burndown!$B$8)))</x:f>
      </x:c>
      <x:c r="P102" s="10" t="str">
        <x:f>IF(OR('Work Log'!$E$105&lt;&gt;"S4",'Work Log'!$A$105=""),"",'Work Log'!$A$105)</x:f>
      </x:c>
      <x:c r="Q102" t="str">
        <x:f>IF(T102="","",TEXT(T102,"mm/dd/yy"))</x:f>
      </x:c>
      <x:c r="R102" s="11" t="str">
        <x:f>IF(OR(T102="",SUMIF('Backlog'!$B$6:$B$25,"S5",'Backlog'!$E$6:$E$25)=0,Burndown!$B$9="",Burndown!$C$9=""),"",MAX(0,SUMIF('Backlog'!$B$6:$B$25,"S5",'Backlog'!$E$6:$E$25)-SUMIFS('Work Log'!$D$6:$D$205,'Work Log'!$E$6:$E$205,"S5",'Work Log'!$A$6:$A$205,"&lt;="&amp;T102)))</x:f>
      </x:c>
      <x:c r="S102" s="11" t="str">
        <x:f>IF(OR(T102="",SUMIF('Backlog'!$B$6:$B$25,"S5",'Backlog'!$E$6:$E$25)=0,Burndown!$B$9="",Burndown!$C$9="",Burndown!$C$9&lt;=Burndown!$B$9),"",MAX(0,SUMIF('Backlog'!$B$6:$B$25,"S5",'Backlog'!$E$6:$E$25)*(Burndown!$C$9-T102)/(Burndown!$C$9-Burndown!$B$9)))</x:f>
      </x:c>
      <x:c r="T102" s="10" t="str">
        <x:f>IF(OR('Work Log'!$E$105&lt;&gt;"S5",'Work Log'!$A$105=""),"",'Work Log'!$A$105)</x:f>
      </x:c>
    </x:row>
    <x:row r="103">
      <x:c r="A103" t="str">
        <x:f>IF(D103="","",TEXT(D103,"mm/dd/yy"))</x:f>
      </x:c>
      <x:c r="B103" s="11" t="str">
        <x:f>IF(OR(D103="",SUMIF('Backlog'!$B$6:$B$25,"S1",'Backlog'!$E$6:$E$25)=0,Burndown!$B$5="",Burndown!$C$5=""),"",MAX(0,SUMIF('Backlog'!$B$6:$B$25,"S1",'Backlog'!$E$6:$E$25)-SUMIFS('Work Log'!$D$6:$D$205,'Work Log'!$E$6:$E$205,"S1",'Work Log'!$A$6:$A$205,"&lt;="&amp;D103)))</x:f>
      </x:c>
      <x:c r="C103" s="11" t="str">
        <x:f>IF(OR(D103="",SUMIF('Backlog'!$B$6:$B$25,"S1",'Backlog'!$E$6:$E$25)=0,Burndown!$B$5="",Burndown!$C$5="",Burndown!$C$5&lt;=Burndown!$B$5),"",MAX(0,SUMIF('Backlog'!$B$6:$B$25,"S1",'Backlog'!$E$6:$E$25)*(Burndown!$C$5-D103)/(Burndown!$C$5-Burndown!$B$5)))</x:f>
      </x:c>
      <x:c r="D103" s="10" t="str">
        <x:f>IF(OR('Work Log'!$E$106&lt;&gt;"S1",'Work Log'!$A$106=""),"",'Work Log'!$A$106)</x:f>
      </x:c>
      <x:c r="E103" t="str">
        <x:f>IF(H103="","",TEXT(H103,"mm/dd/yy"))</x:f>
      </x:c>
      <x:c r="F103" s="11" t="str">
        <x:f>IF(OR(H103="",SUMIF('Backlog'!$B$6:$B$25,"S2",'Backlog'!$E$6:$E$25)=0,Burndown!$B$6="",Burndown!$C$6=""),"",MAX(0,SUMIF('Backlog'!$B$6:$B$25,"S2",'Backlog'!$E$6:$E$25)-SUMIFS('Work Log'!$D$6:$D$205,'Work Log'!$E$6:$E$205,"S2",'Work Log'!$A$6:$A$205,"&lt;="&amp;H103)))</x:f>
      </x:c>
      <x:c r="G103" s="11" t="str">
        <x:f>IF(OR(H103="",SUMIF('Backlog'!$B$6:$B$25,"S2",'Backlog'!$E$6:$E$25)=0,Burndown!$B$6="",Burndown!$C$6="",Burndown!$C$6&lt;=Burndown!$B$6),"",MAX(0,SUMIF('Backlog'!$B$6:$B$25,"S2",'Backlog'!$E$6:$E$25)*(Burndown!$C$6-H103)/(Burndown!$C$6-Burndown!$B$6)))</x:f>
      </x:c>
      <x:c r="H103" s="10" t="str">
        <x:f>IF(OR('Work Log'!$E$106&lt;&gt;"S2",'Work Log'!$A$106=""),"",'Work Log'!$A$106)</x:f>
      </x:c>
      <x:c r="I103" t="str">
        <x:f>IF(L103="","",TEXT(L103,"mm/dd/yy"))</x:f>
      </x:c>
      <x:c r="J103" s="11" t="str">
        <x:f>IF(OR(L103="",SUMIF('Backlog'!$B$6:$B$25,"S3",'Backlog'!$E$6:$E$25)=0,Burndown!$B$7="",Burndown!$C$7=""),"",MAX(0,SUMIF('Backlog'!$B$6:$B$25,"S3",'Backlog'!$E$6:$E$25)-SUMIFS('Work Log'!$D$6:$D$205,'Work Log'!$E$6:$E$205,"S3",'Work Log'!$A$6:$A$205,"&lt;="&amp;L103)))</x:f>
      </x:c>
      <x:c r="K103" s="11" t="str">
        <x:f>IF(OR(L103="",SUMIF('Backlog'!$B$6:$B$25,"S3",'Backlog'!$E$6:$E$25)=0,Burndown!$B$7="",Burndown!$C$7="",Burndown!$C$7&lt;=Burndown!$B$7),"",MAX(0,SUMIF('Backlog'!$B$6:$B$25,"S3",'Backlog'!$E$6:$E$25)*(Burndown!$C$7-L103)/(Burndown!$C$7-Burndown!$B$7)))</x:f>
      </x:c>
      <x:c r="L103" s="10" t="str">
        <x:f>IF(OR('Work Log'!$E$106&lt;&gt;"S3",'Work Log'!$A$106=""),"",'Work Log'!$A$106)</x:f>
      </x:c>
      <x:c r="M103" t="str">
        <x:f>IF(P103="","",TEXT(P103,"mm/dd/yy"))</x:f>
      </x:c>
      <x:c r="N103" s="11" t="str">
        <x:f>IF(OR(P103="",SUMIF('Backlog'!$B$6:$B$25,"S4",'Backlog'!$E$6:$E$25)=0,Burndown!$B$8="",Burndown!$C$8=""),"",MAX(0,SUMIF('Backlog'!$B$6:$B$25,"S4",'Backlog'!$E$6:$E$25)-SUMIFS('Work Log'!$D$6:$D$205,'Work Log'!$E$6:$E$205,"S4",'Work Log'!$A$6:$A$205,"&lt;="&amp;P103)))</x:f>
      </x:c>
      <x:c r="O103" s="11" t="str">
        <x:f>IF(OR(P103="",SUMIF('Backlog'!$B$6:$B$25,"S4",'Backlog'!$E$6:$E$25)=0,Burndown!$B$8="",Burndown!$C$8="",Burndown!$C$8&lt;=Burndown!$B$8),"",MAX(0,SUMIF('Backlog'!$B$6:$B$25,"S4",'Backlog'!$E$6:$E$25)*(Burndown!$C$8-P103)/(Burndown!$C$8-Burndown!$B$8)))</x:f>
      </x:c>
      <x:c r="P103" s="10" t="str">
        <x:f>IF(OR('Work Log'!$E$106&lt;&gt;"S4",'Work Log'!$A$106=""),"",'Work Log'!$A$106)</x:f>
      </x:c>
      <x:c r="Q103" t="str">
        <x:f>IF(T103="","",TEXT(T103,"mm/dd/yy"))</x:f>
      </x:c>
      <x:c r="R103" s="11" t="str">
        <x:f>IF(OR(T103="",SUMIF('Backlog'!$B$6:$B$25,"S5",'Backlog'!$E$6:$E$25)=0,Burndown!$B$9="",Burndown!$C$9=""),"",MAX(0,SUMIF('Backlog'!$B$6:$B$25,"S5",'Backlog'!$E$6:$E$25)-SUMIFS('Work Log'!$D$6:$D$205,'Work Log'!$E$6:$E$205,"S5",'Work Log'!$A$6:$A$205,"&lt;="&amp;T103)))</x:f>
      </x:c>
      <x:c r="S103" s="11" t="str">
        <x:f>IF(OR(T103="",SUMIF('Backlog'!$B$6:$B$25,"S5",'Backlog'!$E$6:$E$25)=0,Burndown!$B$9="",Burndown!$C$9="",Burndown!$C$9&lt;=Burndown!$B$9),"",MAX(0,SUMIF('Backlog'!$B$6:$B$25,"S5",'Backlog'!$E$6:$E$25)*(Burndown!$C$9-T103)/(Burndown!$C$9-Burndown!$B$9)))</x:f>
      </x:c>
      <x:c r="T103" s="10" t="str">
        <x:f>IF(OR('Work Log'!$E$106&lt;&gt;"S5",'Work Log'!$A$106=""),"",'Work Log'!$A$106)</x:f>
      </x:c>
    </x:row>
    <x:row r="104">
      <x:c r="A104" t="str">
        <x:f>IF(D104="","",TEXT(D104,"mm/dd/yy"))</x:f>
      </x:c>
      <x:c r="B104" s="11" t="str">
        <x:f>IF(OR(D104="",SUMIF('Backlog'!$B$6:$B$25,"S1",'Backlog'!$E$6:$E$25)=0,Burndown!$B$5="",Burndown!$C$5=""),"",MAX(0,SUMIF('Backlog'!$B$6:$B$25,"S1",'Backlog'!$E$6:$E$25)-SUMIFS('Work Log'!$D$6:$D$205,'Work Log'!$E$6:$E$205,"S1",'Work Log'!$A$6:$A$205,"&lt;="&amp;D104)))</x:f>
      </x:c>
      <x:c r="C104" s="11" t="str">
        <x:f>IF(OR(D104="",SUMIF('Backlog'!$B$6:$B$25,"S1",'Backlog'!$E$6:$E$25)=0,Burndown!$B$5="",Burndown!$C$5="",Burndown!$C$5&lt;=Burndown!$B$5),"",MAX(0,SUMIF('Backlog'!$B$6:$B$25,"S1",'Backlog'!$E$6:$E$25)*(Burndown!$C$5-D104)/(Burndown!$C$5-Burndown!$B$5)))</x:f>
      </x:c>
      <x:c r="D104" s="10" t="str">
        <x:f>IF(OR('Work Log'!$E$107&lt;&gt;"S1",'Work Log'!$A$107=""),"",'Work Log'!$A$107)</x:f>
      </x:c>
      <x:c r="E104" t="str">
        <x:f>IF(H104="","",TEXT(H104,"mm/dd/yy"))</x:f>
      </x:c>
      <x:c r="F104" s="11" t="str">
        <x:f>IF(OR(H104="",SUMIF('Backlog'!$B$6:$B$25,"S2",'Backlog'!$E$6:$E$25)=0,Burndown!$B$6="",Burndown!$C$6=""),"",MAX(0,SUMIF('Backlog'!$B$6:$B$25,"S2",'Backlog'!$E$6:$E$25)-SUMIFS('Work Log'!$D$6:$D$205,'Work Log'!$E$6:$E$205,"S2",'Work Log'!$A$6:$A$205,"&lt;="&amp;H104)))</x:f>
      </x:c>
      <x:c r="G104" s="11" t="str">
        <x:f>IF(OR(H104="",SUMIF('Backlog'!$B$6:$B$25,"S2",'Backlog'!$E$6:$E$25)=0,Burndown!$B$6="",Burndown!$C$6="",Burndown!$C$6&lt;=Burndown!$B$6),"",MAX(0,SUMIF('Backlog'!$B$6:$B$25,"S2",'Backlog'!$E$6:$E$25)*(Burndown!$C$6-H104)/(Burndown!$C$6-Burndown!$B$6)))</x:f>
      </x:c>
      <x:c r="H104" s="10" t="str">
        <x:f>IF(OR('Work Log'!$E$107&lt;&gt;"S2",'Work Log'!$A$107=""),"",'Work Log'!$A$107)</x:f>
      </x:c>
      <x:c r="I104" t="str">
        <x:f>IF(L104="","",TEXT(L104,"mm/dd/yy"))</x:f>
      </x:c>
      <x:c r="J104" s="11" t="str">
        <x:f>IF(OR(L104="",SUMIF('Backlog'!$B$6:$B$25,"S3",'Backlog'!$E$6:$E$25)=0,Burndown!$B$7="",Burndown!$C$7=""),"",MAX(0,SUMIF('Backlog'!$B$6:$B$25,"S3",'Backlog'!$E$6:$E$25)-SUMIFS('Work Log'!$D$6:$D$205,'Work Log'!$E$6:$E$205,"S3",'Work Log'!$A$6:$A$205,"&lt;="&amp;L104)))</x:f>
      </x:c>
      <x:c r="K104" s="11" t="str">
        <x:f>IF(OR(L104="",SUMIF('Backlog'!$B$6:$B$25,"S3",'Backlog'!$E$6:$E$25)=0,Burndown!$B$7="",Burndown!$C$7="",Burndown!$C$7&lt;=Burndown!$B$7),"",MAX(0,SUMIF('Backlog'!$B$6:$B$25,"S3",'Backlog'!$E$6:$E$25)*(Burndown!$C$7-L104)/(Burndown!$C$7-Burndown!$B$7)))</x:f>
      </x:c>
      <x:c r="L104" s="10" t="str">
        <x:f>IF(OR('Work Log'!$E$107&lt;&gt;"S3",'Work Log'!$A$107=""),"",'Work Log'!$A$107)</x:f>
      </x:c>
      <x:c r="M104" t="str">
        <x:f>IF(P104="","",TEXT(P104,"mm/dd/yy"))</x:f>
      </x:c>
      <x:c r="N104" s="11" t="str">
        <x:f>IF(OR(P104="",SUMIF('Backlog'!$B$6:$B$25,"S4",'Backlog'!$E$6:$E$25)=0,Burndown!$B$8="",Burndown!$C$8=""),"",MAX(0,SUMIF('Backlog'!$B$6:$B$25,"S4",'Backlog'!$E$6:$E$25)-SUMIFS('Work Log'!$D$6:$D$205,'Work Log'!$E$6:$E$205,"S4",'Work Log'!$A$6:$A$205,"&lt;="&amp;P104)))</x:f>
      </x:c>
      <x:c r="O104" s="11" t="str">
        <x:f>IF(OR(P104="",SUMIF('Backlog'!$B$6:$B$25,"S4",'Backlog'!$E$6:$E$25)=0,Burndown!$B$8="",Burndown!$C$8="",Burndown!$C$8&lt;=Burndown!$B$8),"",MAX(0,SUMIF('Backlog'!$B$6:$B$25,"S4",'Backlog'!$E$6:$E$25)*(Burndown!$C$8-P104)/(Burndown!$C$8-Burndown!$B$8)))</x:f>
      </x:c>
      <x:c r="P104" s="10" t="str">
        <x:f>IF(OR('Work Log'!$E$107&lt;&gt;"S4",'Work Log'!$A$107=""),"",'Work Log'!$A$107)</x:f>
      </x:c>
      <x:c r="Q104" t="str">
        <x:f>IF(T104="","",TEXT(T104,"mm/dd/yy"))</x:f>
      </x:c>
      <x:c r="R104" s="11" t="str">
        <x:f>IF(OR(T104="",SUMIF('Backlog'!$B$6:$B$25,"S5",'Backlog'!$E$6:$E$25)=0,Burndown!$B$9="",Burndown!$C$9=""),"",MAX(0,SUMIF('Backlog'!$B$6:$B$25,"S5",'Backlog'!$E$6:$E$25)-SUMIFS('Work Log'!$D$6:$D$205,'Work Log'!$E$6:$E$205,"S5",'Work Log'!$A$6:$A$205,"&lt;="&amp;T104)))</x:f>
      </x:c>
      <x:c r="S104" s="11" t="str">
        <x:f>IF(OR(T104="",SUMIF('Backlog'!$B$6:$B$25,"S5",'Backlog'!$E$6:$E$25)=0,Burndown!$B$9="",Burndown!$C$9="",Burndown!$C$9&lt;=Burndown!$B$9),"",MAX(0,SUMIF('Backlog'!$B$6:$B$25,"S5",'Backlog'!$E$6:$E$25)*(Burndown!$C$9-T104)/(Burndown!$C$9-Burndown!$B$9)))</x:f>
      </x:c>
      <x:c r="T104" s="10" t="str">
        <x:f>IF(OR('Work Log'!$E$107&lt;&gt;"S5",'Work Log'!$A$107=""),"",'Work Log'!$A$107)</x:f>
      </x:c>
    </x:row>
    <x:row r="105">
      <x:c r="A105" t="str">
        <x:f>IF(D105="","",TEXT(D105,"mm/dd/yy"))</x:f>
      </x:c>
      <x:c r="B105" s="11" t="str">
        <x:f>IF(OR(D105="",SUMIF('Backlog'!$B$6:$B$25,"S1",'Backlog'!$E$6:$E$25)=0,Burndown!$B$5="",Burndown!$C$5=""),"",MAX(0,SUMIF('Backlog'!$B$6:$B$25,"S1",'Backlog'!$E$6:$E$25)-SUMIFS('Work Log'!$D$6:$D$205,'Work Log'!$E$6:$E$205,"S1",'Work Log'!$A$6:$A$205,"&lt;="&amp;D105)))</x:f>
      </x:c>
      <x:c r="C105" s="11" t="str">
        <x:f>IF(OR(D105="",SUMIF('Backlog'!$B$6:$B$25,"S1",'Backlog'!$E$6:$E$25)=0,Burndown!$B$5="",Burndown!$C$5="",Burndown!$C$5&lt;=Burndown!$B$5),"",MAX(0,SUMIF('Backlog'!$B$6:$B$25,"S1",'Backlog'!$E$6:$E$25)*(Burndown!$C$5-D105)/(Burndown!$C$5-Burndown!$B$5)))</x:f>
      </x:c>
      <x:c r="D105" s="10" t="str">
        <x:f>IF(OR('Work Log'!$E$108&lt;&gt;"S1",'Work Log'!$A$108=""),"",'Work Log'!$A$108)</x:f>
      </x:c>
      <x:c r="E105" t="str">
        <x:f>IF(H105="","",TEXT(H105,"mm/dd/yy"))</x:f>
      </x:c>
      <x:c r="F105" s="11" t="str">
        <x:f>IF(OR(H105="",SUMIF('Backlog'!$B$6:$B$25,"S2",'Backlog'!$E$6:$E$25)=0,Burndown!$B$6="",Burndown!$C$6=""),"",MAX(0,SUMIF('Backlog'!$B$6:$B$25,"S2",'Backlog'!$E$6:$E$25)-SUMIFS('Work Log'!$D$6:$D$205,'Work Log'!$E$6:$E$205,"S2",'Work Log'!$A$6:$A$205,"&lt;="&amp;H105)))</x:f>
      </x:c>
      <x:c r="G105" s="11" t="str">
        <x:f>IF(OR(H105="",SUMIF('Backlog'!$B$6:$B$25,"S2",'Backlog'!$E$6:$E$25)=0,Burndown!$B$6="",Burndown!$C$6="",Burndown!$C$6&lt;=Burndown!$B$6),"",MAX(0,SUMIF('Backlog'!$B$6:$B$25,"S2",'Backlog'!$E$6:$E$25)*(Burndown!$C$6-H105)/(Burndown!$C$6-Burndown!$B$6)))</x:f>
      </x:c>
      <x:c r="H105" s="10" t="str">
        <x:f>IF(OR('Work Log'!$E$108&lt;&gt;"S2",'Work Log'!$A$108=""),"",'Work Log'!$A$108)</x:f>
      </x:c>
      <x:c r="I105" t="str">
        <x:f>IF(L105="","",TEXT(L105,"mm/dd/yy"))</x:f>
      </x:c>
      <x:c r="J105" s="11" t="str">
        <x:f>IF(OR(L105="",SUMIF('Backlog'!$B$6:$B$25,"S3",'Backlog'!$E$6:$E$25)=0,Burndown!$B$7="",Burndown!$C$7=""),"",MAX(0,SUMIF('Backlog'!$B$6:$B$25,"S3",'Backlog'!$E$6:$E$25)-SUMIFS('Work Log'!$D$6:$D$205,'Work Log'!$E$6:$E$205,"S3",'Work Log'!$A$6:$A$205,"&lt;="&amp;L105)))</x:f>
      </x:c>
      <x:c r="K105" s="11" t="str">
        <x:f>IF(OR(L105="",SUMIF('Backlog'!$B$6:$B$25,"S3",'Backlog'!$E$6:$E$25)=0,Burndown!$B$7="",Burndown!$C$7="",Burndown!$C$7&lt;=Burndown!$B$7),"",MAX(0,SUMIF('Backlog'!$B$6:$B$25,"S3",'Backlog'!$E$6:$E$25)*(Burndown!$C$7-L105)/(Burndown!$C$7-Burndown!$B$7)))</x:f>
      </x:c>
      <x:c r="L105" s="10" t="str">
        <x:f>IF(OR('Work Log'!$E$108&lt;&gt;"S3",'Work Log'!$A$108=""),"",'Work Log'!$A$108)</x:f>
      </x:c>
      <x:c r="M105" t="str">
        <x:f>IF(P105="","",TEXT(P105,"mm/dd/yy"))</x:f>
      </x:c>
      <x:c r="N105" s="11" t="str">
        <x:f>IF(OR(P105="",SUMIF('Backlog'!$B$6:$B$25,"S4",'Backlog'!$E$6:$E$25)=0,Burndown!$B$8="",Burndown!$C$8=""),"",MAX(0,SUMIF('Backlog'!$B$6:$B$25,"S4",'Backlog'!$E$6:$E$25)-SUMIFS('Work Log'!$D$6:$D$205,'Work Log'!$E$6:$E$205,"S4",'Work Log'!$A$6:$A$205,"&lt;="&amp;P105)))</x:f>
      </x:c>
      <x:c r="O105" s="11" t="str">
        <x:f>IF(OR(P105="",SUMIF('Backlog'!$B$6:$B$25,"S4",'Backlog'!$E$6:$E$25)=0,Burndown!$B$8="",Burndown!$C$8="",Burndown!$C$8&lt;=Burndown!$B$8),"",MAX(0,SUMIF('Backlog'!$B$6:$B$25,"S4",'Backlog'!$E$6:$E$25)*(Burndown!$C$8-P105)/(Burndown!$C$8-Burndown!$B$8)))</x:f>
      </x:c>
      <x:c r="P105" s="10" t="str">
        <x:f>IF(OR('Work Log'!$E$108&lt;&gt;"S4",'Work Log'!$A$108=""),"",'Work Log'!$A$108)</x:f>
      </x:c>
      <x:c r="Q105" t="str">
        <x:f>IF(T105="","",TEXT(T105,"mm/dd/yy"))</x:f>
      </x:c>
      <x:c r="R105" s="11" t="str">
        <x:f>IF(OR(T105="",SUMIF('Backlog'!$B$6:$B$25,"S5",'Backlog'!$E$6:$E$25)=0,Burndown!$B$9="",Burndown!$C$9=""),"",MAX(0,SUMIF('Backlog'!$B$6:$B$25,"S5",'Backlog'!$E$6:$E$25)-SUMIFS('Work Log'!$D$6:$D$205,'Work Log'!$E$6:$E$205,"S5",'Work Log'!$A$6:$A$205,"&lt;="&amp;T105)))</x:f>
      </x:c>
      <x:c r="S105" s="11" t="str">
        <x:f>IF(OR(T105="",SUMIF('Backlog'!$B$6:$B$25,"S5",'Backlog'!$E$6:$E$25)=0,Burndown!$B$9="",Burndown!$C$9="",Burndown!$C$9&lt;=Burndown!$B$9),"",MAX(0,SUMIF('Backlog'!$B$6:$B$25,"S5",'Backlog'!$E$6:$E$25)*(Burndown!$C$9-T105)/(Burndown!$C$9-Burndown!$B$9)))</x:f>
      </x:c>
      <x:c r="T105" s="10" t="str">
        <x:f>IF(OR('Work Log'!$E$108&lt;&gt;"S5",'Work Log'!$A$108=""),"",'Work Log'!$A$108)</x:f>
      </x:c>
    </x:row>
    <x:row r="106">
      <x:c r="A106" t="str">
        <x:f>IF(D106="","",TEXT(D106,"mm/dd/yy"))</x:f>
      </x:c>
      <x:c r="B106" s="11" t="str">
        <x:f>IF(OR(D106="",SUMIF('Backlog'!$B$6:$B$25,"S1",'Backlog'!$E$6:$E$25)=0,Burndown!$B$5="",Burndown!$C$5=""),"",MAX(0,SUMIF('Backlog'!$B$6:$B$25,"S1",'Backlog'!$E$6:$E$25)-SUMIFS('Work Log'!$D$6:$D$205,'Work Log'!$E$6:$E$205,"S1",'Work Log'!$A$6:$A$205,"&lt;="&amp;D106)))</x:f>
      </x:c>
      <x:c r="C106" s="11" t="str">
        <x:f>IF(OR(D106="",SUMIF('Backlog'!$B$6:$B$25,"S1",'Backlog'!$E$6:$E$25)=0,Burndown!$B$5="",Burndown!$C$5="",Burndown!$C$5&lt;=Burndown!$B$5),"",MAX(0,SUMIF('Backlog'!$B$6:$B$25,"S1",'Backlog'!$E$6:$E$25)*(Burndown!$C$5-D106)/(Burndown!$C$5-Burndown!$B$5)))</x:f>
      </x:c>
      <x:c r="D106" s="10" t="str">
        <x:f>IF(OR('Work Log'!$E$109&lt;&gt;"S1",'Work Log'!$A$109=""),"",'Work Log'!$A$109)</x:f>
      </x:c>
      <x:c r="E106" t="str">
        <x:f>IF(H106="","",TEXT(H106,"mm/dd/yy"))</x:f>
      </x:c>
      <x:c r="F106" s="11" t="str">
        <x:f>IF(OR(H106="",SUMIF('Backlog'!$B$6:$B$25,"S2",'Backlog'!$E$6:$E$25)=0,Burndown!$B$6="",Burndown!$C$6=""),"",MAX(0,SUMIF('Backlog'!$B$6:$B$25,"S2",'Backlog'!$E$6:$E$25)-SUMIFS('Work Log'!$D$6:$D$205,'Work Log'!$E$6:$E$205,"S2",'Work Log'!$A$6:$A$205,"&lt;="&amp;H106)))</x:f>
      </x:c>
      <x:c r="G106" s="11" t="str">
        <x:f>IF(OR(H106="",SUMIF('Backlog'!$B$6:$B$25,"S2",'Backlog'!$E$6:$E$25)=0,Burndown!$B$6="",Burndown!$C$6="",Burndown!$C$6&lt;=Burndown!$B$6),"",MAX(0,SUMIF('Backlog'!$B$6:$B$25,"S2",'Backlog'!$E$6:$E$25)*(Burndown!$C$6-H106)/(Burndown!$C$6-Burndown!$B$6)))</x:f>
      </x:c>
      <x:c r="H106" s="10" t="str">
        <x:f>IF(OR('Work Log'!$E$109&lt;&gt;"S2",'Work Log'!$A$109=""),"",'Work Log'!$A$109)</x:f>
      </x:c>
      <x:c r="I106" t="str">
        <x:f>IF(L106="","",TEXT(L106,"mm/dd/yy"))</x:f>
      </x:c>
      <x:c r="J106" s="11" t="str">
        <x:f>IF(OR(L106="",SUMIF('Backlog'!$B$6:$B$25,"S3",'Backlog'!$E$6:$E$25)=0,Burndown!$B$7="",Burndown!$C$7=""),"",MAX(0,SUMIF('Backlog'!$B$6:$B$25,"S3",'Backlog'!$E$6:$E$25)-SUMIFS('Work Log'!$D$6:$D$205,'Work Log'!$E$6:$E$205,"S3",'Work Log'!$A$6:$A$205,"&lt;="&amp;L106)))</x:f>
      </x:c>
      <x:c r="K106" s="11" t="str">
        <x:f>IF(OR(L106="",SUMIF('Backlog'!$B$6:$B$25,"S3",'Backlog'!$E$6:$E$25)=0,Burndown!$B$7="",Burndown!$C$7="",Burndown!$C$7&lt;=Burndown!$B$7),"",MAX(0,SUMIF('Backlog'!$B$6:$B$25,"S3",'Backlog'!$E$6:$E$25)*(Burndown!$C$7-L106)/(Burndown!$C$7-Burndown!$B$7)))</x:f>
      </x:c>
      <x:c r="L106" s="10" t="str">
        <x:f>IF(OR('Work Log'!$E$109&lt;&gt;"S3",'Work Log'!$A$109=""),"",'Work Log'!$A$109)</x:f>
      </x:c>
      <x:c r="M106" t="str">
        <x:f>IF(P106="","",TEXT(P106,"mm/dd/yy"))</x:f>
      </x:c>
      <x:c r="N106" s="11" t="str">
        <x:f>IF(OR(P106="",SUMIF('Backlog'!$B$6:$B$25,"S4",'Backlog'!$E$6:$E$25)=0,Burndown!$B$8="",Burndown!$C$8=""),"",MAX(0,SUMIF('Backlog'!$B$6:$B$25,"S4",'Backlog'!$E$6:$E$25)-SUMIFS('Work Log'!$D$6:$D$205,'Work Log'!$E$6:$E$205,"S4",'Work Log'!$A$6:$A$205,"&lt;="&amp;P106)))</x:f>
      </x:c>
      <x:c r="O106" s="11" t="str">
        <x:f>IF(OR(P106="",SUMIF('Backlog'!$B$6:$B$25,"S4",'Backlog'!$E$6:$E$25)=0,Burndown!$B$8="",Burndown!$C$8="",Burndown!$C$8&lt;=Burndown!$B$8),"",MAX(0,SUMIF('Backlog'!$B$6:$B$25,"S4",'Backlog'!$E$6:$E$25)*(Burndown!$C$8-P106)/(Burndown!$C$8-Burndown!$B$8)))</x:f>
      </x:c>
      <x:c r="P106" s="10" t="str">
        <x:f>IF(OR('Work Log'!$E$109&lt;&gt;"S4",'Work Log'!$A$109=""),"",'Work Log'!$A$109)</x:f>
      </x:c>
      <x:c r="Q106" t="str">
        <x:f>IF(T106="","",TEXT(T106,"mm/dd/yy"))</x:f>
      </x:c>
      <x:c r="R106" s="11" t="str">
        <x:f>IF(OR(T106="",SUMIF('Backlog'!$B$6:$B$25,"S5",'Backlog'!$E$6:$E$25)=0,Burndown!$B$9="",Burndown!$C$9=""),"",MAX(0,SUMIF('Backlog'!$B$6:$B$25,"S5",'Backlog'!$E$6:$E$25)-SUMIFS('Work Log'!$D$6:$D$205,'Work Log'!$E$6:$E$205,"S5",'Work Log'!$A$6:$A$205,"&lt;="&amp;T106)))</x:f>
      </x:c>
      <x:c r="S106" s="11" t="str">
        <x:f>IF(OR(T106="",SUMIF('Backlog'!$B$6:$B$25,"S5",'Backlog'!$E$6:$E$25)=0,Burndown!$B$9="",Burndown!$C$9="",Burndown!$C$9&lt;=Burndown!$B$9),"",MAX(0,SUMIF('Backlog'!$B$6:$B$25,"S5",'Backlog'!$E$6:$E$25)*(Burndown!$C$9-T106)/(Burndown!$C$9-Burndown!$B$9)))</x:f>
      </x:c>
      <x:c r="T106" s="10" t="str">
        <x:f>IF(OR('Work Log'!$E$109&lt;&gt;"S5",'Work Log'!$A$109=""),"",'Work Log'!$A$109)</x:f>
      </x:c>
    </x:row>
    <x:row r="107">
      <x:c r="A107" t="str">
        <x:f>IF(D107="","",TEXT(D107,"mm/dd/yy"))</x:f>
      </x:c>
      <x:c r="B107" s="11" t="str">
        <x:f>IF(OR(D107="",SUMIF('Backlog'!$B$6:$B$25,"S1",'Backlog'!$E$6:$E$25)=0,Burndown!$B$5="",Burndown!$C$5=""),"",MAX(0,SUMIF('Backlog'!$B$6:$B$25,"S1",'Backlog'!$E$6:$E$25)-SUMIFS('Work Log'!$D$6:$D$205,'Work Log'!$E$6:$E$205,"S1",'Work Log'!$A$6:$A$205,"&lt;="&amp;D107)))</x:f>
      </x:c>
      <x:c r="C107" s="11" t="str">
        <x:f>IF(OR(D107="",SUMIF('Backlog'!$B$6:$B$25,"S1",'Backlog'!$E$6:$E$25)=0,Burndown!$B$5="",Burndown!$C$5="",Burndown!$C$5&lt;=Burndown!$B$5),"",MAX(0,SUMIF('Backlog'!$B$6:$B$25,"S1",'Backlog'!$E$6:$E$25)*(Burndown!$C$5-D107)/(Burndown!$C$5-Burndown!$B$5)))</x:f>
      </x:c>
      <x:c r="D107" s="10" t="str">
        <x:f>IF(OR('Work Log'!$E$110&lt;&gt;"S1",'Work Log'!$A$110=""),"",'Work Log'!$A$110)</x:f>
      </x:c>
      <x:c r="E107" t="str">
        <x:f>IF(H107="","",TEXT(H107,"mm/dd/yy"))</x:f>
      </x:c>
      <x:c r="F107" s="11" t="str">
        <x:f>IF(OR(H107="",SUMIF('Backlog'!$B$6:$B$25,"S2",'Backlog'!$E$6:$E$25)=0,Burndown!$B$6="",Burndown!$C$6=""),"",MAX(0,SUMIF('Backlog'!$B$6:$B$25,"S2",'Backlog'!$E$6:$E$25)-SUMIFS('Work Log'!$D$6:$D$205,'Work Log'!$E$6:$E$205,"S2",'Work Log'!$A$6:$A$205,"&lt;="&amp;H107)))</x:f>
      </x:c>
      <x:c r="G107" s="11" t="str">
        <x:f>IF(OR(H107="",SUMIF('Backlog'!$B$6:$B$25,"S2",'Backlog'!$E$6:$E$25)=0,Burndown!$B$6="",Burndown!$C$6="",Burndown!$C$6&lt;=Burndown!$B$6),"",MAX(0,SUMIF('Backlog'!$B$6:$B$25,"S2",'Backlog'!$E$6:$E$25)*(Burndown!$C$6-H107)/(Burndown!$C$6-Burndown!$B$6)))</x:f>
      </x:c>
      <x:c r="H107" s="10" t="str">
        <x:f>IF(OR('Work Log'!$E$110&lt;&gt;"S2",'Work Log'!$A$110=""),"",'Work Log'!$A$110)</x:f>
      </x:c>
      <x:c r="I107" t="str">
        <x:f>IF(L107="","",TEXT(L107,"mm/dd/yy"))</x:f>
      </x:c>
      <x:c r="J107" s="11" t="str">
        <x:f>IF(OR(L107="",SUMIF('Backlog'!$B$6:$B$25,"S3",'Backlog'!$E$6:$E$25)=0,Burndown!$B$7="",Burndown!$C$7=""),"",MAX(0,SUMIF('Backlog'!$B$6:$B$25,"S3",'Backlog'!$E$6:$E$25)-SUMIFS('Work Log'!$D$6:$D$205,'Work Log'!$E$6:$E$205,"S3",'Work Log'!$A$6:$A$205,"&lt;="&amp;L107)))</x:f>
      </x:c>
      <x:c r="K107" s="11" t="str">
        <x:f>IF(OR(L107="",SUMIF('Backlog'!$B$6:$B$25,"S3",'Backlog'!$E$6:$E$25)=0,Burndown!$B$7="",Burndown!$C$7="",Burndown!$C$7&lt;=Burndown!$B$7),"",MAX(0,SUMIF('Backlog'!$B$6:$B$25,"S3",'Backlog'!$E$6:$E$25)*(Burndown!$C$7-L107)/(Burndown!$C$7-Burndown!$B$7)))</x:f>
      </x:c>
      <x:c r="L107" s="10" t="str">
        <x:f>IF(OR('Work Log'!$E$110&lt;&gt;"S3",'Work Log'!$A$110=""),"",'Work Log'!$A$110)</x:f>
      </x:c>
      <x:c r="M107" t="str">
        <x:f>IF(P107="","",TEXT(P107,"mm/dd/yy"))</x:f>
      </x:c>
      <x:c r="N107" s="11" t="str">
        <x:f>IF(OR(P107="",SUMIF('Backlog'!$B$6:$B$25,"S4",'Backlog'!$E$6:$E$25)=0,Burndown!$B$8="",Burndown!$C$8=""),"",MAX(0,SUMIF('Backlog'!$B$6:$B$25,"S4",'Backlog'!$E$6:$E$25)-SUMIFS('Work Log'!$D$6:$D$205,'Work Log'!$E$6:$E$205,"S4",'Work Log'!$A$6:$A$205,"&lt;="&amp;P107)))</x:f>
      </x:c>
      <x:c r="O107" s="11" t="str">
        <x:f>IF(OR(P107="",SUMIF('Backlog'!$B$6:$B$25,"S4",'Backlog'!$E$6:$E$25)=0,Burndown!$B$8="",Burndown!$C$8="",Burndown!$C$8&lt;=Burndown!$B$8),"",MAX(0,SUMIF('Backlog'!$B$6:$B$25,"S4",'Backlog'!$E$6:$E$25)*(Burndown!$C$8-P107)/(Burndown!$C$8-Burndown!$B$8)))</x:f>
      </x:c>
      <x:c r="P107" s="10" t="str">
        <x:f>IF(OR('Work Log'!$E$110&lt;&gt;"S4",'Work Log'!$A$110=""),"",'Work Log'!$A$110)</x:f>
      </x:c>
      <x:c r="Q107" t="str">
        <x:f>IF(T107="","",TEXT(T107,"mm/dd/yy"))</x:f>
      </x:c>
      <x:c r="R107" s="11" t="str">
        <x:f>IF(OR(T107="",SUMIF('Backlog'!$B$6:$B$25,"S5",'Backlog'!$E$6:$E$25)=0,Burndown!$B$9="",Burndown!$C$9=""),"",MAX(0,SUMIF('Backlog'!$B$6:$B$25,"S5",'Backlog'!$E$6:$E$25)-SUMIFS('Work Log'!$D$6:$D$205,'Work Log'!$E$6:$E$205,"S5",'Work Log'!$A$6:$A$205,"&lt;="&amp;T107)))</x:f>
      </x:c>
      <x:c r="S107" s="11" t="str">
        <x:f>IF(OR(T107="",SUMIF('Backlog'!$B$6:$B$25,"S5",'Backlog'!$E$6:$E$25)=0,Burndown!$B$9="",Burndown!$C$9="",Burndown!$C$9&lt;=Burndown!$B$9),"",MAX(0,SUMIF('Backlog'!$B$6:$B$25,"S5",'Backlog'!$E$6:$E$25)*(Burndown!$C$9-T107)/(Burndown!$C$9-Burndown!$B$9)))</x:f>
      </x:c>
      <x:c r="T107" s="10" t="str">
        <x:f>IF(OR('Work Log'!$E$110&lt;&gt;"S5",'Work Log'!$A$110=""),"",'Work Log'!$A$110)</x:f>
      </x:c>
    </x:row>
    <x:row r="108">
      <x:c r="A108" t="str">
        <x:f>IF(D108="","",TEXT(D108,"mm/dd/yy"))</x:f>
      </x:c>
      <x:c r="B108" s="11" t="str">
        <x:f>IF(OR(D108="",SUMIF('Backlog'!$B$6:$B$25,"S1",'Backlog'!$E$6:$E$25)=0,Burndown!$B$5="",Burndown!$C$5=""),"",MAX(0,SUMIF('Backlog'!$B$6:$B$25,"S1",'Backlog'!$E$6:$E$25)-SUMIFS('Work Log'!$D$6:$D$205,'Work Log'!$E$6:$E$205,"S1",'Work Log'!$A$6:$A$205,"&lt;="&amp;D108)))</x:f>
      </x:c>
      <x:c r="C108" s="11" t="str">
        <x:f>IF(OR(D108="",SUMIF('Backlog'!$B$6:$B$25,"S1",'Backlog'!$E$6:$E$25)=0,Burndown!$B$5="",Burndown!$C$5="",Burndown!$C$5&lt;=Burndown!$B$5),"",MAX(0,SUMIF('Backlog'!$B$6:$B$25,"S1",'Backlog'!$E$6:$E$25)*(Burndown!$C$5-D108)/(Burndown!$C$5-Burndown!$B$5)))</x:f>
      </x:c>
      <x:c r="D108" s="10" t="str">
        <x:f>IF(OR('Work Log'!$E$111&lt;&gt;"S1",'Work Log'!$A$111=""),"",'Work Log'!$A$111)</x:f>
      </x:c>
      <x:c r="E108" t="str">
        <x:f>IF(H108="","",TEXT(H108,"mm/dd/yy"))</x:f>
      </x:c>
      <x:c r="F108" s="11" t="str">
        <x:f>IF(OR(H108="",SUMIF('Backlog'!$B$6:$B$25,"S2",'Backlog'!$E$6:$E$25)=0,Burndown!$B$6="",Burndown!$C$6=""),"",MAX(0,SUMIF('Backlog'!$B$6:$B$25,"S2",'Backlog'!$E$6:$E$25)-SUMIFS('Work Log'!$D$6:$D$205,'Work Log'!$E$6:$E$205,"S2",'Work Log'!$A$6:$A$205,"&lt;="&amp;H108)))</x:f>
      </x:c>
      <x:c r="G108" s="11" t="str">
        <x:f>IF(OR(H108="",SUMIF('Backlog'!$B$6:$B$25,"S2",'Backlog'!$E$6:$E$25)=0,Burndown!$B$6="",Burndown!$C$6="",Burndown!$C$6&lt;=Burndown!$B$6),"",MAX(0,SUMIF('Backlog'!$B$6:$B$25,"S2",'Backlog'!$E$6:$E$25)*(Burndown!$C$6-H108)/(Burndown!$C$6-Burndown!$B$6)))</x:f>
      </x:c>
      <x:c r="H108" s="10" t="str">
        <x:f>IF(OR('Work Log'!$E$111&lt;&gt;"S2",'Work Log'!$A$111=""),"",'Work Log'!$A$111)</x:f>
      </x:c>
      <x:c r="I108" t="str">
        <x:f>IF(L108="","",TEXT(L108,"mm/dd/yy"))</x:f>
      </x:c>
      <x:c r="J108" s="11" t="str">
        <x:f>IF(OR(L108="",SUMIF('Backlog'!$B$6:$B$25,"S3",'Backlog'!$E$6:$E$25)=0,Burndown!$B$7="",Burndown!$C$7=""),"",MAX(0,SUMIF('Backlog'!$B$6:$B$25,"S3",'Backlog'!$E$6:$E$25)-SUMIFS('Work Log'!$D$6:$D$205,'Work Log'!$E$6:$E$205,"S3",'Work Log'!$A$6:$A$205,"&lt;="&amp;L108)))</x:f>
      </x:c>
      <x:c r="K108" s="11" t="str">
        <x:f>IF(OR(L108="",SUMIF('Backlog'!$B$6:$B$25,"S3",'Backlog'!$E$6:$E$25)=0,Burndown!$B$7="",Burndown!$C$7="",Burndown!$C$7&lt;=Burndown!$B$7),"",MAX(0,SUMIF('Backlog'!$B$6:$B$25,"S3",'Backlog'!$E$6:$E$25)*(Burndown!$C$7-L108)/(Burndown!$C$7-Burndown!$B$7)))</x:f>
      </x:c>
      <x:c r="L108" s="10" t="str">
        <x:f>IF(OR('Work Log'!$E$111&lt;&gt;"S3",'Work Log'!$A$111=""),"",'Work Log'!$A$111)</x:f>
      </x:c>
      <x:c r="M108" t="str">
        <x:f>IF(P108="","",TEXT(P108,"mm/dd/yy"))</x:f>
      </x:c>
      <x:c r="N108" s="11" t="str">
        <x:f>IF(OR(P108="",SUMIF('Backlog'!$B$6:$B$25,"S4",'Backlog'!$E$6:$E$25)=0,Burndown!$B$8="",Burndown!$C$8=""),"",MAX(0,SUMIF('Backlog'!$B$6:$B$25,"S4",'Backlog'!$E$6:$E$25)-SUMIFS('Work Log'!$D$6:$D$205,'Work Log'!$E$6:$E$205,"S4",'Work Log'!$A$6:$A$205,"&lt;="&amp;P108)))</x:f>
      </x:c>
      <x:c r="O108" s="11" t="str">
        <x:f>IF(OR(P108="",SUMIF('Backlog'!$B$6:$B$25,"S4",'Backlog'!$E$6:$E$25)=0,Burndown!$B$8="",Burndown!$C$8="",Burndown!$C$8&lt;=Burndown!$B$8),"",MAX(0,SUMIF('Backlog'!$B$6:$B$25,"S4",'Backlog'!$E$6:$E$25)*(Burndown!$C$8-P108)/(Burndown!$C$8-Burndown!$B$8)))</x:f>
      </x:c>
      <x:c r="P108" s="10" t="str">
        <x:f>IF(OR('Work Log'!$E$111&lt;&gt;"S4",'Work Log'!$A$111=""),"",'Work Log'!$A$111)</x:f>
      </x:c>
      <x:c r="Q108" t="str">
        <x:f>IF(T108="","",TEXT(T108,"mm/dd/yy"))</x:f>
      </x:c>
      <x:c r="R108" s="11" t="str">
        <x:f>IF(OR(T108="",SUMIF('Backlog'!$B$6:$B$25,"S5",'Backlog'!$E$6:$E$25)=0,Burndown!$B$9="",Burndown!$C$9=""),"",MAX(0,SUMIF('Backlog'!$B$6:$B$25,"S5",'Backlog'!$E$6:$E$25)-SUMIFS('Work Log'!$D$6:$D$205,'Work Log'!$E$6:$E$205,"S5",'Work Log'!$A$6:$A$205,"&lt;="&amp;T108)))</x:f>
      </x:c>
      <x:c r="S108" s="11" t="str">
        <x:f>IF(OR(T108="",SUMIF('Backlog'!$B$6:$B$25,"S5",'Backlog'!$E$6:$E$25)=0,Burndown!$B$9="",Burndown!$C$9="",Burndown!$C$9&lt;=Burndown!$B$9),"",MAX(0,SUMIF('Backlog'!$B$6:$B$25,"S5",'Backlog'!$E$6:$E$25)*(Burndown!$C$9-T108)/(Burndown!$C$9-Burndown!$B$9)))</x:f>
      </x:c>
      <x:c r="T108" s="10" t="str">
        <x:f>IF(OR('Work Log'!$E$111&lt;&gt;"S5",'Work Log'!$A$111=""),"",'Work Log'!$A$111)</x:f>
      </x:c>
    </x:row>
    <x:row r="109">
      <x:c r="A109" t="str">
        <x:f>IF(D109="","",TEXT(D109,"mm/dd/yy"))</x:f>
      </x:c>
      <x:c r="B109" s="11" t="str">
        <x:f>IF(OR(D109="",SUMIF('Backlog'!$B$6:$B$25,"S1",'Backlog'!$E$6:$E$25)=0,Burndown!$B$5="",Burndown!$C$5=""),"",MAX(0,SUMIF('Backlog'!$B$6:$B$25,"S1",'Backlog'!$E$6:$E$25)-SUMIFS('Work Log'!$D$6:$D$205,'Work Log'!$E$6:$E$205,"S1",'Work Log'!$A$6:$A$205,"&lt;="&amp;D109)))</x:f>
      </x:c>
      <x:c r="C109" s="11" t="str">
        <x:f>IF(OR(D109="",SUMIF('Backlog'!$B$6:$B$25,"S1",'Backlog'!$E$6:$E$25)=0,Burndown!$B$5="",Burndown!$C$5="",Burndown!$C$5&lt;=Burndown!$B$5),"",MAX(0,SUMIF('Backlog'!$B$6:$B$25,"S1",'Backlog'!$E$6:$E$25)*(Burndown!$C$5-D109)/(Burndown!$C$5-Burndown!$B$5)))</x:f>
      </x:c>
      <x:c r="D109" s="10" t="str">
        <x:f>IF(OR('Work Log'!$E$112&lt;&gt;"S1",'Work Log'!$A$112=""),"",'Work Log'!$A$112)</x:f>
      </x:c>
      <x:c r="E109" t="str">
        <x:f>IF(H109="","",TEXT(H109,"mm/dd/yy"))</x:f>
      </x:c>
      <x:c r="F109" s="11" t="str">
        <x:f>IF(OR(H109="",SUMIF('Backlog'!$B$6:$B$25,"S2",'Backlog'!$E$6:$E$25)=0,Burndown!$B$6="",Burndown!$C$6=""),"",MAX(0,SUMIF('Backlog'!$B$6:$B$25,"S2",'Backlog'!$E$6:$E$25)-SUMIFS('Work Log'!$D$6:$D$205,'Work Log'!$E$6:$E$205,"S2",'Work Log'!$A$6:$A$205,"&lt;="&amp;H109)))</x:f>
      </x:c>
      <x:c r="G109" s="11" t="str">
        <x:f>IF(OR(H109="",SUMIF('Backlog'!$B$6:$B$25,"S2",'Backlog'!$E$6:$E$25)=0,Burndown!$B$6="",Burndown!$C$6="",Burndown!$C$6&lt;=Burndown!$B$6),"",MAX(0,SUMIF('Backlog'!$B$6:$B$25,"S2",'Backlog'!$E$6:$E$25)*(Burndown!$C$6-H109)/(Burndown!$C$6-Burndown!$B$6)))</x:f>
      </x:c>
      <x:c r="H109" s="10" t="str">
        <x:f>IF(OR('Work Log'!$E$112&lt;&gt;"S2",'Work Log'!$A$112=""),"",'Work Log'!$A$112)</x:f>
      </x:c>
      <x:c r="I109" t="str">
        <x:f>IF(L109="","",TEXT(L109,"mm/dd/yy"))</x:f>
      </x:c>
      <x:c r="J109" s="11" t="str">
        <x:f>IF(OR(L109="",SUMIF('Backlog'!$B$6:$B$25,"S3",'Backlog'!$E$6:$E$25)=0,Burndown!$B$7="",Burndown!$C$7=""),"",MAX(0,SUMIF('Backlog'!$B$6:$B$25,"S3",'Backlog'!$E$6:$E$25)-SUMIFS('Work Log'!$D$6:$D$205,'Work Log'!$E$6:$E$205,"S3",'Work Log'!$A$6:$A$205,"&lt;="&amp;L109)))</x:f>
      </x:c>
      <x:c r="K109" s="11" t="str">
        <x:f>IF(OR(L109="",SUMIF('Backlog'!$B$6:$B$25,"S3",'Backlog'!$E$6:$E$25)=0,Burndown!$B$7="",Burndown!$C$7="",Burndown!$C$7&lt;=Burndown!$B$7),"",MAX(0,SUMIF('Backlog'!$B$6:$B$25,"S3",'Backlog'!$E$6:$E$25)*(Burndown!$C$7-L109)/(Burndown!$C$7-Burndown!$B$7)))</x:f>
      </x:c>
      <x:c r="L109" s="10" t="str">
        <x:f>IF(OR('Work Log'!$E$112&lt;&gt;"S3",'Work Log'!$A$112=""),"",'Work Log'!$A$112)</x:f>
      </x:c>
      <x:c r="M109" t="str">
        <x:f>IF(P109="","",TEXT(P109,"mm/dd/yy"))</x:f>
      </x:c>
      <x:c r="N109" s="11" t="str">
        <x:f>IF(OR(P109="",SUMIF('Backlog'!$B$6:$B$25,"S4",'Backlog'!$E$6:$E$25)=0,Burndown!$B$8="",Burndown!$C$8=""),"",MAX(0,SUMIF('Backlog'!$B$6:$B$25,"S4",'Backlog'!$E$6:$E$25)-SUMIFS('Work Log'!$D$6:$D$205,'Work Log'!$E$6:$E$205,"S4",'Work Log'!$A$6:$A$205,"&lt;="&amp;P109)))</x:f>
      </x:c>
      <x:c r="O109" s="11" t="str">
        <x:f>IF(OR(P109="",SUMIF('Backlog'!$B$6:$B$25,"S4",'Backlog'!$E$6:$E$25)=0,Burndown!$B$8="",Burndown!$C$8="",Burndown!$C$8&lt;=Burndown!$B$8),"",MAX(0,SUMIF('Backlog'!$B$6:$B$25,"S4",'Backlog'!$E$6:$E$25)*(Burndown!$C$8-P109)/(Burndown!$C$8-Burndown!$B$8)))</x:f>
      </x:c>
      <x:c r="P109" s="10" t="str">
        <x:f>IF(OR('Work Log'!$E$112&lt;&gt;"S4",'Work Log'!$A$112=""),"",'Work Log'!$A$112)</x:f>
      </x:c>
      <x:c r="Q109" t="str">
        <x:f>IF(T109="","",TEXT(T109,"mm/dd/yy"))</x:f>
      </x:c>
      <x:c r="R109" s="11" t="str">
        <x:f>IF(OR(T109="",SUMIF('Backlog'!$B$6:$B$25,"S5",'Backlog'!$E$6:$E$25)=0,Burndown!$B$9="",Burndown!$C$9=""),"",MAX(0,SUMIF('Backlog'!$B$6:$B$25,"S5",'Backlog'!$E$6:$E$25)-SUMIFS('Work Log'!$D$6:$D$205,'Work Log'!$E$6:$E$205,"S5",'Work Log'!$A$6:$A$205,"&lt;="&amp;T109)))</x:f>
      </x:c>
      <x:c r="S109" s="11" t="str">
        <x:f>IF(OR(T109="",SUMIF('Backlog'!$B$6:$B$25,"S5",'Backlog'!$E$6:$E$25)=0,Burndown!$B$9="",Burndown!$C$9="",Burndown!$C$9&lt;=Burndown!$B$9),"",MAX(0,SUMIF('Backlog'!$B$6:$B$25,"S5",'Backlog'!$E$6:$E$25)*(Burndown!$C$9-T109)/(Burndown!$C$9-Burndown!$B$9)))</x:f>
      </x:c>
      <x:c r="T109" s="10" t="str">
        <x:f>IF(OR('Work Log'!$E$112&lt;&gt;"S5",'Work Log'!$A$112=""),"",'Work Log'!$A$112)</x:f>
      </x:c>
    </x:row>
    <x:row r="110">
      <x:c r="A110" t="str">
        <x:f>IF(D110="","",TEXT(D110,"mm/dd/yy"))</x:f>
      </x:c>
      <x:c r="B110" s="11" t="str">
        <x:f>IF(OR(D110="",SUMIF('Backlog'!$B$6:$B$25,"S1",'Backlog'!$E$6:$E$25)=0,Burndown!$B$5="",Burndown!$C$5=""),"",MAX(0,SUMIF('Backlog'!$B$6:$B$25,"S1",'Backlog'!$E$6:$E$25)-SUMIFS('Work Log'!$D$6:$D$205,'Work Log'!$E$6:$E$205,"S1",'Work Log'!$A$6:$A$205,"&lt;="&amp;D110)))</x:f>
      </x:c>
      <x:c r="C110" s="11" t="str">
        <x:f>IF(OR(D110="",SUMIF('Backlog'!$B$6:$B$25,"S1",'Backlog'!$E$6:$E$25)=0,Burndown!$B$5="",Burndown!$C$5="",Burndown!$C$5&lt;=Burndown!$B$5),"",MAX(0,SUMIF('Backlog'!$B$6:$B$25,"S1",'Backlog'!$E$6:$E$25)*(Burndown!$C$5-D110)/(Burndown!$C$5-Burndown!$B$5)))</x:f>
      </x:c>
      <x:c r="D110" s="10" t="str">
        <x:f>IF(OR('Work Log'!$E$113&lt;&gt;"S1",'Work Log'!$A$113=""),"",'Work Log'!$A$113)</x:f>
      </x:c>
      <x:c r="E110" t="str">
        <x:f>IF(H110="","",TEXT(H110,"mm/dd/yy"))</x:f>
      </x:c>
      <x:c r="F110" s="11" t="str">
        <x:f>IF(OR(H110="",SUMIF('Backlog'!$B$6:$B$25,"S2",'Backlog'!$E$6:$E$25)=0,Burndown!$B$6="",Burndown!$C$6=""),"",MAX(0,SUMIF('Backlog'!$B$6:$B$25,"S2",'Backlog'!$E$6:$E$25)-SUMIFS('Work Log'!$D$6:$D$205,'Work Log'!$E$6:$E$205,"S2",'Work Log'!$A$6:$A$205,"&lt;="&amp;H110)))</x:f>
      </x:c>
      <x:c r="G110" s="11" t="str">
        <x:f>IF(OR(H110="",SUMIF('Backlog'!$B$6:$B$25,"S2",'Backlog'!$E$6:$E$25)=0,Burndown!$B$6="",Burndown!$C$6="",Burndown!$C$6&lt;=Burndown!$B$6),"",MAX(0,SUMIF('Backlog'!$B$6:$B$25,"S2",'Backlog'!$E$6:$E$25)*(Burndown!$C$6-H110)/(Burndown!$C$6-Burndown!$B$6)))</x:f>
      </x:c>
      <x:c r="H110" s="10" t="str">
        <x:f>IF(OR('Work Log'!$E$113&lt;&gt;"S2",'Work Log'!$A$113=""),"",'Work Log'!$A$113)</x:f>
      </x:c>
      <x:c r="I110" t="str">
        <x:f>IF(L110="","",TEXT(L110,"mm/dd/yy"))</x:f>
      </x:c>
      <x:c r="J110" s="11" t="str">
        <x:f>IF(OR(L110="",SUMIF('Backlog'!$B$6:$B$25,"S3",'Backlog'!$E$6:$E$25)=0,Burndown!$B$7="",Burndown!$C$7=""),"",MAX(0,SUMIF('Backlog'!$B$6:$B$25,"S3",'Backlog'!$E$6:$E$25)-SUMIFS('Work Log'!$D$6:$D$205,'Work Log'!$E$6:$E$205,"S3",'Work Log'!$A$6:$A$205,"&lt;="&amp;L110)))</x:f>
      </x:c>
      <x:c r="K110" s="11" t="str">
        <x:f>IF(OR(L110="",SUMIF('Backlog'!$B$6:$B$25,"S3",'Backlog'!$E$6:$E$25)=0,Burndown!$B$7="",Burndown!$C$7="",Burndown!$C$7&lt;=Burndown!$B$7),"",MAX(0,SUMIF('Backlog'!$B$6:$B$25,"S3",'Backlog'!$E$6:$E$25)*(Burndown!$C$7-L110)/(Burndown!$C$7-Burndown!$B$7)))</x:f>
      </x:c>
      <x:c r="L110" s="10" t="str">
        <x:f>IF(OR('Work Log'!$E$113&lt;&gt;"S3",'Work Log'!$A$113=""),"",'Work Log'!$A$113)</x:f>
      </x:c>
      <x:c r="M110" t="str">
        <x:f>IF(P110="","",TEXT(P110,"mm/dd/yy"))</x:f>
      </x:c>
      <x:c r="N110" s="11" t="str">
        <x:f>IF(OR(P110="",SUMIF('Backlog'!$B$6:$B$25,"S4",'Backlog'!$E$6:$E$25)=0,Burndown!$B$8="",Burndown!$C$8=""),"",MAX(0,SUMIF('Backlog'!$B$6:$B$25,"S4",'Backlog'!$E$6:$E$25)-SUMIFS('Work Log'!$D$6:$D$205,'Work Log'!$E$6:$E$205,"S4",'Work Log'!$A$6:$A$205,"&lt;="&amp;P110)))</x:f>
      </x:c>
      <x:c r="O110" s="11" t="str">
        <x:f>IF(OR(P110="",SUMIF('Backlog'!$B$6:$B$25,"S4",'Backlog'!$E$6:$E$25)=0,Burndown!$B$8="",Burndown!$C$8="",Burndown!$C$8&lt;=Burndown!$B$8),"",MAX(0,SUMIF('Backlog'!$B$6:$B$25,"S4",'Backlog'!$E$6:$E$25)*(Burndown!$C$8-P110)/(Burndown!$C$8-Burndown!$B$8)))</x:f>
      </x:c>
      <x:c r="P110" s="10" t="str">
        <x:f>IF(OR('Work Log'!$E$113&lt;&gt;"S4",'Work Log'!$A$113=""),"",'Work Log'!$A$113)</x:f>
      </x:c>
      <x:c r="Q110" t="str">
        <x:f>IF(T110="","",TEXT(T110,"mm/dd/yy"))</x:f>
      </x:c>
      <x:c r="R110" s="11" t="str">
        <x:f>IF(OR(T110="",SUMIF('Backlog'!$B$6:$B$25,"S5",'Backlog'!$E$6:$E$25)=0,Burndown!$B$9="",Burndown!$C$9=""),"",MAX(0,SUMIF('Backlog'!$B$6:$B$25,"S5",'Backlog'!$E$6:$E$25)-SUMIFS('Work Log'!$D$6:$D$205,'Work Log'!$E$6:$E$205,"S5",'Work Log'!$A$6:$A$205,"&lt;="&amp;T110)))</x:f>
      </x:c>
      <x:c r="S110" s="11" t="str">
        <x:f>IF(OR(T110="",SUMIF('Backlog'!$B$6:$B$25,"S5",'Backlog'!$E$6:$E$25)=0,Burndown!$B$9="",Burndown!$C$9="",Burndown!$C$9&lt;=Burndown!$B$9),"",MAX(0,SUMIF('Backlog'!$B$6:$B$25,"S5",'Backlog'!$E$6:$E$25)*(Burndown!$C$9-T110)/(Burndown!$C$9-Burndown!$B$9)))</x:f>
      </x:c>
      <x:c r="T110" s="10" t="str">
        <x:f>IF(OR('Work Log'!$E$113&lt;&gt;"S5",'Work Log'!$A$113=""),"",'Work Log'!$A$113)</x:f>
      </x:c>
    </x:row>
    <x:row r="111">
      <x:c r="A111" t="str">
        <x:f>IF(D111="","",TEXT(D111,"mm/dd/yy"))</x:f>
      </x:c>
      <x:c r="B111" s="11" t="str">
        <x:f>IF(OR(D111="",SUMIF('Backlog'!$B$6:$B$25,"S1",'Backlog'!$E$6:$E$25)=0,Burndown!$B$5="",Burndown!$C$5=""),"",MAX(0,SUMIF('Backlog'!$B$6:$B$25,"S1",'Backlog'!$E$6:$E$25)-SUMIFS('Work Log'!$D$6:$D$205,'Work Log'!$E$6:$E$205,"S1",'Work Log'!$A$6:$A$205,"&lt;="&amp;D111)))</x:f>
      </x:c>
      <x:c r="C111" s="11" t="str">
        <x:f>IF(OR(D111="",SUMIF('Backlog'!$B$6:$B$25,"S1",'Backlog'!$E$6:$E$25)=0,Burndown!$B$5="",Burndown!$C$5="",Burndown!$C$5&lt;=Burndown!$B$5),"",MAX(0,SUMIF('Backlog'!$B$6:$B$25,"S1",'Backlog'!$E$6:$E$25)*(Burndown!$C$5-D111)/(Burndown!$C$5-Burndown!$B$5)))</x:f>
      </x:c>
      <x:c r="D111" s="10" t="str">
        <x:f>IF(OR('Work Log'!$E$114&lt;&gt;"S1",'Work Log'!$A$114=""),"",'Work Log'!$A$114)</x:f>
      </x:c>
      <x:c r="E111" t="str">
        <x:f>IF(H111="","",TEXT(H111,"mm/dd/yy"))</x:f>
      </x:c>
      <x:c r="F111" s="11" t="str">
        <x:f>IF(OR(H111="",SUMIF('Backlog'!$B$6:$B$25,"S2",'Backlog'!$E$6:$E$25)=0,Burndown!$B$6="",Burndown!$C$6=""),"",MAX(0,SUMIF('Backlog'!$B$6:$B$25,"S2",'Backlog'!$E$6:$E$25)-SUMIFS('Work Log'!$D$6:$D$205,'Work Log'!$E$6:$E$205,"S2",'Work Log'!$A$6:$A$205,"&lt;="&amp;H111)))</x:f>
      </x:c>
      <x:c r="G111" s="11" t="str">
        <x:f>IF(OR(H111="",SUMIF('Backlog'!$B$6:$B$25,"S2",'Backlog'!$E$6:$E$25)=0,Burndown!$B$6="",Burndown!$C$6="",Burndown!$C$6&lt;=Burndown!$B$6),"",MAX(0,SUMIF('Backlog'!$B$6:$B$25,"S2",'Backlog'!$E$6:$E$25)*(Burndown!$C$6-H111)/(Burndown!$C$6-Burndown!$B$6)))</x:f>
      </x:c>
      <x:c r="H111" s="10" t="str">
        <x:f>IF(OR('Work Log'!$E$114&lt;&gt;"S2",'Work Log'!$A$114=""),"",'Work Log'!$A$114)</x:f>
      </x:c>
      <x:c r="I111" t="str">
        <x:f>IF(L111="","",TEXT(L111,"mm/dd/yy"))</x:f>
      </x:c>
      <x:c r="J111" s="11" t="str">
        <x:f>IF(OR(L111="",SUMIF('Backlog'!$B$6:$B$25,"S3",'Backlog'!$E$6:$E$25)=0,Burndown!$B$7="",Burndown!$C$7=""),"",MAX(0,SUMIF('Backlog'!$B$6:$B$25,"S3",'Backlog'!$E$6:$E$25)-SUMIFS('Work Log'!$D$6:$D$205,'Work Log'!$E$6:$E$205,"S3",'Work Log'!$A$6:$A$205,"&lt;="&amp;L111)))</x:f>
      </x:c>
      <x:c r="K111" s="11" t="str">
        <x:f>IF(OR(L111="",SUMIF('Backlog'!$B$6:$B$25,"S3",'Backlog'!$E$6:$E$25)=0,Burndown!$B$7="",Burndown!$C$7="",Burndown!$C$7&lt;=Burndown!$B$7),"",MAX(0,SUMIF('Backlog'!$B$6:$B$25,"S3",'Backlog'!$E$6:$E$25)*(Burndown!$C$7-L111)/(Burndown!$C$7-Burndown!$B$7)))</x:f>
      </x:c>
      <x:c r="L111" s="10" t="str">
        <x:f>IF(OR('Work Log'!$E$114&lt;&gt;"S3",'Work Log'!$A$114=""),"",'Work Log'!$A$114)</x:f>
      </x:c>
      <x:c r="M111" t="str">
        <x:f>IF(P111="","",TEXT(P111,"mm/dd/yy"))</x:f>
      </x:c>
      <x:c r="N111" s="11" t="str">
        <x:f>IF(OR(P111="",SUMIF('Backlog'!$B$6:$B$25,"S4",'Backlog'!$E$6:$E$25)=0,Burndown!$B$8="",Burndown!$C$8=""),"",MAX(0,SUMIF('Backlog'!$B$6:$B$25,"S4",'Backlog'!$E$6:$E$25)-SUMIFS('Work Log'!$D$6:$D$205,'Work Log'!$E$6:$E$205,"S4",'Work Log'!$A$6:$A$205,"&lt;="&amp;P111)))</x:f>
      </x:c>
      <x:c r="O111" s="11" t="str">
        <x:f>IF(OR(P111="",SUMIF('Backlog'!$B$6:$B$25,"S4",'Backlog'!$E$6:$E$25)=0,Burndown!$B$8="",Burndown!$C$8="",Burndown!$C$8&lt;=Burndown!$B$8),"",MAX(0,SUMIF('Backlog'!$B$6:$B$25,"S4",'Backlog'!$E$6:$E$25)*(Burndown!$C$8-P111)/(Burndown!$C$8-Burndown!$B$8)))</x:f>
      </x:c>
      <x:c r="P111" s="10" t="str">
        <x:f>IF(OR('Work Log'!$E$114&lt;&gt;"S4",'Work Log'!$A$114=""),"",'Work Log'!$A$114)</x:f>
      </x:c>
      <x:c r="Q111" t="str">
        <x:f>IF(T111="","",TEXT(T111,"mm/dd/yy"))</x:f>
      </x:c>
      <x:c r="R111" s="11" t="str">
        <x:f>IF(OR(T111="",SUMIF('Backlog'!$B$6:$B$25,"S5",'Backlog'!$E$6:$E$25)=0,Burndown!$B$9="",Burndown!$C$9=""),"",MAX(0,SUMIF('Backlog'!$B$6:$B$25,"S5",'Backlog'!$E$6:$E$25)-SUMIFS('Work Log'!$D$6:$D$205,'Work Log'!$E$6:$E$205,"S5",'Work Log'!$A$6:$A$205,"&lt;="&amp;T111)))</x:f>
      </x:c>
      <x:c r="S111" s="11" t="str">
        <x:f>IF(OR(T111="",SUMIF('Backlog'!$B$6:$B$25,"S5",'Backlog'!$E$6:$E$25)=0,Burndown!$B$9="",Burndown!$C$9="",Burndown!$C$9&lt;=Burndown!$B$9),"",MAX(0,SUMIF('Backlog'!$B$6:$B$25,"S5",'Backlog'!$E$6:$E$25)*(Burndown!$C$9-T111)/(Burndown!$C$9-Burndown!$B$9)))</x:f>
      </x:c>
      <x:c r="T111" s="10" t="str">
        <x:f>IF(OR('Work Log'!$E$114&lt;&gt;"S5",'Work Log'!$A$114=""),"",'Work Log'!$A$114)</x:f>
      </x:c>
    </x:row>
    <x:row r="112">
      <x:c r="A112" t="str">
        <x:f>IF(D112="","",TEXT(D112,"mm/dd/yy"))</x:f>
      </x:c>
      <x:c r="B112" s="11" t="str">
        <x:f>IF(OR(D112="",SUMIF('Backlog'!$B$6:$B$25,"S1",'Backlog'!$E$6:$E$25)=0,Burndown!$B$5="",Burndown!$C$5=""),"",MAX(0,SUMIF('Backlog'!$B$6:$B$25,"S1",'Backlog'!$E$6:$E$25)-SUMIFS('Work Log'!$D$6:$D$205,'Work Log'!$E$6:$E$205,"S1",'Work Log'!$A$6:$A$205,"&lt;="&amp;D112)))</x:f>
      </x:c>
      <x:c r="C112" s="11" t="str">
        <x:f>IF(OR(D112="",SUMIF('Backlog'!$B$6:$B$25,"S1",'Backlog'!$E$6:$E$25)=0,Burndown!$B$5="",Burndown!$C$5="",Burndown!$C$5&lt;=Burndown!$B$5),"",MAX(0,SUMIF('Backlog'!$B$6:$B$25,"S1",'Backlog'!$E$6:$E$25)*(Burndown!$C$5-D112)/(Burndown!$C$5-Burndown!$B$5)))</x:f>
      </x:c>
      <x:c r="D112" s="10" t="str">
        <x:f>IF(OR('Work Log'!$E$115&lt;&gt;"S1",'Work Log'!$A$115=""),"",'Work Log'!$A$115)</x:f>
      </x:c>
      <x:c r="E112" t="str">
        <x:f>IF(H112="","",TEXT(H112,"mm/dd/yy"))</x:f>
      </x:c>
      <x:c r="F112" s="11" t="str">
        <x:f>IF(OR(H112="",SUMIF('Backlog'!$B$6:$B$25,"S2",'Backlog'!$E$6:$E$25)=0,Burndown!$B$6="",Burndown!$C$6=""),"",MAX(0,SUMIF('Backlog'!$B$6:$B$25,"S2",'Backlog'!$E$6:$E$25)-SUMIFS('Work Log'!$D$6:$D$205,'Work Log'!$E$6:$E$205,"S2",'Work Log'!$A$6:$A$205,"&lt;="&amp;H112)))</x:f>
      </x:c>
      <x:c r="G112" s="11" t="str">
        <x:f>IF(OR(H112="",SUMIF('Backlog'!$B$6:$B$25,"S2",'Backlog'!$E$6:$E$25)=0,Burndown!$B$6="",Burndown!$C$6="",Burndown!$C$6&lt;=Burndown!$B$6),"",MAX(0,SUMIF('Backlog'!$B$6:$B$25,"S2",'Backlog'!$E$6:$E$25)*(Burndown!$C$6-H112)/(Burndown!$C$6-Burndown!$B$6)))</x:f>
      </x:c>
      <x:c r="H112" s="10" t="str">
        <x:f>IF(OR('Work Log'!$E$115&lt;&gt;"S2",'Work Log'!$A$115=""),"",'Work Log'!$A$115)</x:f>
      </x:c>
      <x:c r="I112" t="str">
        <x:f>IF(L112="","",TEXT(L112,"mm/dd/yy"))</x:f>
      </x:c>
      <x:c r="J112" s="11" t="str">
        <x:f>IF(OR(L112="",SUMIF('Backlog'!$B$6:$B$25,"S3",'Backlog'!$E$6:$E$25)=0,Burndown!$B$7="",Burndown!$C$7=""),"",MAX(0,SUMIF('Backlog'!$B$6:$B$25,"S3",'Backlog'!$E$6:$E$25)-SUMIFS('Work Log'!$D$6:$D$205,'Work Log'!$E$6:$E$205,"S3",'Work Log'!$A$6:$A$205,"&lt;="&amp;L112)))</x:f>
      </x:c>
      <x:c r="K112" s="11" t="str">
        <x:f>IF(OR(L112="",SUMIF('Backlog'!$B$6:$B$25,"S3",'Backlog'!$E$6:$E$25)=0,Burndown!$B$7="",Burndown!$C$7="",Burndown!$C$7&lt;=Burndown!$B$7),"",MAX(0,SUMIF('Backlog'!$B$6:$B$25,"S3",'Backlog'!$E$6:$E$25)*(Burndown!$C$7-L112)/(Burndown!$C$7-Burndown!$B$7)))</x:f>
      </x:c>
      <x:c r="L112" s="10" t="str">
        <x:f>IF(OR('Work Log'!$E$115&lt;&gt;"S3",'Work Log'!$A$115=""),"",'Work Log'!$A$115)</x:f>
      </x:c>
      <x:c r="M112" t="str">
        <x:f>IF(P112="","",TEXT(P112,"mm/dd/yy"))</x:f>
      </x:c>
      <x:c r="N112" s="11" t="str">
        <x:f>IF(OR(P112="",SUMIF('Backlog'!$B$6:$B$25,"S4",'Backlog'!$E$6:$E$25)=0,Burndown!$B$8="",Burndown!$C$8=""),"",MAX(0,SUMIF('Backlog'!$B$6:$B$25,"S4",'Backlog'!$E$6:$E$25)-SUMIFS('Work Log'!$D$6:$D$205,'Work Log'!$E$6:$E$205,"S4",'Work Log'!$A$6:$A$205,"&lt;="&amp;P112)))</x:f>
      </x:c>
      <x:c r="O112" s="11" t="str">
        <x:f>IF(OR(P112="",SUMIF('Backlog'!$B$6:$B$25,"S4",'Backlog'!$E$6:$E$25)=0,Burndown!$B$8="",Burndown!$C$8="",Burndown!$C$8&lt;=Burndown!$B$8),"",MAX(0,SUMIF('Backlog'!$B$6:$B$25,"S4",'Backlog'!$E$6:$E$25)*(Burndown!$C$8-P112)/(Burndown!$C$8-Burndown!$B$8)))</x:f>
      </x:c>
      <x:c r="P112" s="10" t="str">
        <x:f>IF(OR('Work Log'!$E$115&lt;&gt;"S4",'Work Log'!$A$115=""),"",'Work Log'!$A$115)</x:f>
      </x:c>
      <x:c r="Q112" t="str">
        <x:f>IF(T112="","",TEXT(T112,"mm/dd/yy"))</x:f>
      </x:c>
      <x:c r="R112" s="11" t="str">
        <x:f>IF(OR(T112="",SUMIF('Backlog'!$B$6:$B$25,"S5",'Backlog'!$E$6:$E$25)=0,Burndown!$B$9="",Burndown!$C$9=""),"",MAX(0,SUMIF('Backlog'!$B$6:$B$25,"S5",'Backlog'!$E$6:$E$25)-SUMIFS('Work Log'!$D$6:$D$205,'Work Log'!$E$6:$E$205,"S5",'Work Log'!$A$6:$A$205,"&lt;="&amp;T112)))</x:f>
      </x:c>
      <x:c r="S112" s="11" t="str">
        <x:f>IF(OR(T112="",SUMIF('Backlog'!$B$6:$B$25,"S5",'Backlog'!$E$6:$E$25)=0,Burndown!$B$9="",Burndown!$C$9="",Burndown!$C$9&lt;=Burndown!$B$9),"",MAX(0,SUMIF('Backlog'!$B$6:$B$25,"S5",'Backlog'!$E$6:$E$25)*(Burndown!$C$9-T112)/(Burndown!$C$9-Burndown!$B$9)))</x:f>
      </x:c>
      <x:c r="T112" s="10" t="str">
        <x:f>IF(OR('Work Log'!$E$115&lt;&gt;"S5",'Work Log'!$A$115=""),"",'Work Log'!$A$115)</x:f>
      </x:c>
    </x:row>
    <x:row r="113">
      <x:c r="A113" t="str">
        <x:f>IF(D113="","",TEXT(D113,"mm/dd/yy"))</x:f>
      </x:c>
      <x:c r="B113" s="11" t="str">
        <x:f>IF(OR(D113="",SUMIF('Backlog'!$B$6:$B$25,"S1",'Backlog'!$E$6:$E$25)=0,Burndown!$B$5="",Burndown!$C$5=""),"",MAX(0,SUMIF('Backlog'!$B$6:$B$25,"S1",'Backlog'!$E$6:$E$25)-SUMIFS('Work Log'!$D$6:$D$205,'Work Log'!$E$6:$E$205,"S1",'Work Log'!$A$6:$A$205,"&lt;="&amp;D113)))</x:f>
      </x:c>
      <x:c r="C113" s="11" t="str">
        <x:f>IF(OR(D113="",SUMIF('Backlog'!$B$6:$B$25,"S1",'Backlog'!$E$6:$E$25)=0,Burndown!$B$5="",Burndown!$C$5="",Burndown!$C$5&lt;=Burndown!$B$5),"",MAX(0,SUMIF('Backlog'!$B$6:$B$25,"S1",'Backlog'!$E$6:$E$25)*(Burndown!$C$5-D113)/(Burndown!$C$5-Burndown!$B$5)))</x:f>
      </x:c>
      <x:c r="D113" s="10" t="str">
        <x:f>IF(OR('Work Log'!$E$116&lt;&gt;"S1",'Work Log'!$A$116=""),"",'Work Log'!$A$116)</x:f>
      </x:c>
      <x:c r="E113" t="str">
        <x:f>IF(H113="","",TEXT(H113,"mm/dd/yy"))</x:f>
      </x:c>
      <x:c r="F113" s="11" t="str">
        <x:f>IF(OR(H113="",SUMIF('Backlog'!$B$6:$B$25,"S2",'Backlog'!$E$6:$E$25)=0,Burndown!$B$6="",Burndown!$C$6=""),"",MAX(0,SUMIF('Backlog'!$B$6:$B$25,"S2",'Backlog'!$E$6:$E$25)-SUMIFS('Work Log'!$D$6:$D$205,'Work Log'!$E$6:$E$205,"S2",'Work Log'!$A$6:$A$205,"&lt;="&amp;H113)))</x:f>
      </x:c>
      <x:c r="G113" s="11" t="str">
        <x:f>IF(OR(H113="",SUMIF('Backlog'!$B$6:$B$25,"S2",'Backlog'!$E$6:$E$25)=0,Burndown!$B$6="",Burndown!$C$6="",Burndown!$C$6&lt;=Burndown!$B$6),"",MAX(0,SUMIF('Backlog'!$B$6:$B$25,"S2",'Backlog'!$E$6:$E$25)*(Burndown!$C$6-H113)/(Burndown!$C$6-Burndown!$B$6)))</x:f>
      </x:c>
      <x:c r="H113" s="10" t="str">
        <x:f>IF(OR('Work Log'!$E$116&lt;&gt;"S2",'Work Log'!$A$116=""),"",'Work Log'!$A$116)</x:f>
      </x:c>
      <x:c r="I113" t="str">
        <x:f>IF(L113="","",TEXT(L113,"mm/dd/yy"))</x:f>
      </x:c>
      <x:c r="J113" s="11" t="str">
        <x:f>IF(OR(L113="",SUMIF('Backlog'!$B$6:$B$25,"S3",'Backlog'!$E$6:$E$25)=0,Burndown!$B$7="",Burndown!$C$7=""),"",MAX(0,SUMIF('Backlog'!$B$6:$B$25,"S3",'Backlog'!$E$6:$E$25)-SUMIFS('Work Log'!$D$6:$D$205,'Work Log'!$E$6:$E$205,"S3",'Work Log'!$A$6:$A$205,"&lt;="&amp;L113)))</x:f>
      </x:c>
      <x:c r="K113" s="11" t="str">
        <x:f>IF(OR(L113="",SUMIF('Backlog'!$B$6:$B$25,"S3",'Backlog'!$E$6:$E$25)=0,Burndown!$B$7="",Burndown!$C$7="",Burndown!$C$7&lt;=Burndown!$B$7),"",MAX(0,SUMIF('Backlog'!$B$6:$B$25,"S3",'Backlog'!$E$6:$E$25)*(Burndown!$C$7-L113)/(Burndown!$C$7-Burndown!$B$7)))</x:f>
      </x:c>
      <x:c r="L113" s="10" t="str">
        <x:f>IF(OR('Work Log'!$E$116&lt;&gt;"S3",'Work Log'!$A$116=""),"",'Work Log'!$A$116)</x:f>
      </x:c>
      <x:c r="M113" t="str">
        <x:f>IF(P113="","",TEXT(P113,"mm/dd/yy"))</x:f>
      </x:c>
      <x:c r="N113" s="11" t="str">
        <x:f>IF(OR(P113="",SUMIF('Backlog'!$B$6:$B$25,"S4",'Backlog'!$E$6:$E$25)=0,Burndown!$B$8="",Burndown!$C$8=""),"",MAX(0,SUMIF('Backlog'!$B$6:$B$25,"S4",'Backlog'!$E$6:$E$25)-SUMIFS('Work Log'!$D$6:$D$205,'Work Log'!$E$6:$E$205,"S4",'Work Log'!$A$6:$A$205,"&lt;="&amp;P113)))</x:f>
      </x:c>
      <x:c r="O113" s="11" t="str">
        <x:f>IF(OR(P113="",SUMIF('Backlog'!$B$6:$B$25,"S4",'Backlog'!$E$6:$E$25)=0,Burndown!$B$8="",Burndown!$C$8="",Burndown!$C$8&lt;=Burndown!$B$8),"",MAX(0,SUMIF('Backlog'!$B$6:$B$25,"S4",'Backlog'!$E$6:$E$25)*(Burndown!$C$8-P113)/(Burndown!$C$8-Burndown!$B$8)))</x:f>
      </x:c>
      <x:c r="P113" s="10" t="str">
        <x:f>IF(OR('Work Log'!$E$116&lt;&gt;"S4",'Work Log'!$A$116=""),"",'Work Log'!$A$116)</x:f>
      </x:c>
      <x:c r="Q113" t="str">
        <x:f>IF(T113="","",TEXT(T113,"mm/dd/yy"))</x:f>
      </x:c>
      <x:c r="R113" s="11" t="str">
        <x:f>IF(OR(T113="",SUMIF('Backlog'!$B$6:$B$25,"S5",'Backlog'!$E$6:$E$25)=0,Burndown!$B$9="",Burndown!$C$9=""),"",MAX(0,SUMIF('Backlog'!$B$6:$B$25,"S5",'Backlog'!$E$6:$E$25)-SUMIFS('Work Log'!$D$6:$D$205,'Work Log'!$E$6:$E$205,"S5",'Work Log'!$A$6:$A$205,"&lt;="&amp;T113)))</x:f>
      </x:c>
      <x:c r="S113" s="11" t="str">
        <x:f>IF(OR(T113="",SUMIF('Backlog'!$B$6:$B$25,"S5",'Backlog'!$E$6:$E$25)=0,Burndown!$B$9="",Burndown!$C$9="",Burndown!$C$9&lt;=Burndown!$B$9),"",MAX(0,SUMIF('Backlog'!$B$6:$B$25,"S5",'Backlog'!$E$6:$E$25)*(Burndown!$C$9-T113)/(Burndown!$C$9-Burndown!$B$9)))</x:f>
      </x:c>
      <x:c r="T113" s="10" t="str">
        <x:f>IF(OR('Work Log'!$E$116&lt;&gt;"S5",'Work Log'!$A$116=""),"",'Work Log'!$A$116)</x:f>
      </x:c>
    </x:row>
    <x:row r="114">
      <x:c r="A114" t="str">
        <x:f>IF(D114="","",TEXT(D114,"mm/dd/yy"))</x:f>
      </x:c>
      <x:c r="B114" s="11" t="str">
        <x:f>IF(OR(D114="",SUMIF('Backlog'!$B$6:$B$25,"S1",'Backlog'!$E$6:$E$25)=0,Burndown!$B$5="",Burndown!$C$5=""),"",MAX(0,SUMIF('Backlog'!$B$6:$B$25,"S1",'Backlog'!$E$6:$E$25)-SUMIFS('Work Log'!$D$6:$D$205,'Work Log'!$E$6:$E$205,"S1",'Work Log'!$A$6:$A$205,"&lt;="&amp;D114)))</x:f>
      </x:c>
      <x:c r="C114" s="11" t="str">
        <x:f>IF(OR(D114="",SUMIF('Backlog'!$B$6:$B$25,"S1",'Backlog'!$E$6:$E$25)=0,Burndown!$B$5="",Burndown!$C$5="",Burndown!$C$5&lt;=Burndown!$B$5),"",MAX(0,SUMIF('Backlog'!$B$6:$B$25,"S1",'Backlog'!$E$6:$E$25)*(Burndown!$C$5-D114)/(Burndown!$C$5-Burndown!$B$5)))</x:f>
      </x:c>
      <x:c r="D114" s="10" t="str">
        <x:f>IF(OR('Work Log'!$E$117&lt;&gt;"S1",'Work Log'!$A$117=""),"",'Work Log'!$A$117)</x:f>
      </x:c>
      <x:c r="E114" t="str">
        <x:f>IF(H114="","",TEXT(H114,"mm/dd/yy"))</x:f>
      </x:c>
      <x:c r="F114" s="11" t="str">
        <x:f>IF(OR(H114="",SUMIF('Backlog'!$B$6:$B$25,"S2",'Backlog'!$E$6:$E$25)=0,Burndown!$B$6="",Burndown!$C$6=""),"",MAX(0,SUMIF('Backlog'!$B$6:$B$25,"S2",'Backlog'!$E$6:$E$25)-SUMIFS('Work Log'!$D$6:$D$205,'Work Log'!$E$6:$E$205,"S2",'Work Log'!$A$6:$A$205,"&lt;="&amp;H114)))</x:f>
      </x:c>
      <x:c r="G114" s="11" t="str">
        <x:f>IF(OR(H114="",SUMIF('Backlog'!$B$6:$B$25,"S2",'Backlog'!$E$6:$E$25)=0,Burndown!$B$6="",Burndown!$C$6="",Burndown!$C$6&lt;=Burndown!$B$6),"",MAX(0,SUMIF('Backlog'!$B$6:$B$25,"S2",'Backlog'!$E$6:$E$25)*(Burndown!$C$6-H114)/(Burndown!$C$6-Burndown!$B$6)))</x:f>
      </x:c>
      <x:c r="H114" s="10" t="str">
        <x:f>IF(OR('Work Log'!$E$117&lt;&gt;"S2",'Work Log'!$A$117=""),"",'Work Log'!$A$117)</x:f>
      </x:c>
      <x:c r="I114" t="str">
        <x:f>IF(L114="","",TEXT(L114,"mm/dd/yy"))</x:f>
      </x:c>
      <x:c r="J114" s="11" t="str">
        <x:f>IF(OR(L114="",SUMIF('Backlog'!$B$6:$B$25,"S3",'Backlog'!$E$6:$E$25)=0,Burndown!$B$7="",Burndown!$C$7=""),"",MAX(0,SUMIF('Backlog'!$B$6:$B$25,"S3",'Backlog'!$E$6:$E$25)-SUMIFS('Work Log'!$D$6:$D$205,'Work Log'!$E$6:$E$205,"S3",'Work Log'!$A$6:$A$205,"&lt;="&amp;L114)))</x:f>
      </x:c>
      <x:c r="K114" s="11" t="str">
        <x:f>IF(OR(L114="",SUMIF('Backlog'!$B$6:$B$25,"S3",'Backlog'!$E$6:$E$25)=0,Burndown!$B$7="",Burndown!$C$7="",Burndown!$C$7&lt;=Burndown!$B$7),"",MAX(0,SUMIF('Backlog'!$B$6:$B$25,"S3",'Backlog'!$E$6:$E$25)*(Burndown!$C$7-L114)/(Burndown!$C$7-Burndown!$B$7)))</x:f>
      </x:c>
      <x:c r="L114" s="10" t="str">
        <x:f>IF(OR('Work Log'!$E$117&lt;&gt;"S3",'Work Log'!$A$117=""),"",'Work Log'!$A$117)</x:f>
      </x:c>
      <x:c r="M114" t="str">
        <x:f>IF(P114="","",TEXT(P114,"mm/dd/yy"))</x:f>
      </x:c>
      <x:c r="N114" s="11" t="str">
        <x:f>IF(OR(P114="",SUMIF('Backlog'!$B$6:$B$25,"S4",'Backlog'!$E$6:$E$25)=0,Burndown!$B$8="",Burndown!$C$8=""),"",MAX(0,SUMIF('Backlog'!$B$6:$B$25,"S4",'Backlog'!$E$6:$E$25)-SUMIFS('Work Log'!$D$6:$D$205,'Work Log'!$E$6:$E$205,"S4",'Work Log'!$A$6:$A$205,"&lt;="&amp;P114)))</x:f>
      </x:c>
      <x:c r="O114" s="11" t="str">
        <x:f>IF(OR(P114="",SUMIF('Backlog'!$B$6:$B$25,"S4",'Backlog'!$E$6:$E$25)=0,Burndown!$B$8="",Burndown!$C$8="",Burndown!$C$8&lt;=Burndown!$B$8),"",MAX(0,SUMIF('Backlog'!$B$6:$B$25,"S4",'Backlog'!$E$6:$E$25)*(Burndown!$C$8-P114)/(Burndown!$C$8-Burndown!$B$8)))</x:f>
      </x:c>
      <x:c r="P114" s="10" t="str">
        <x:f>IF(OR('Work Log'!$E$117&lt;&gt;"S4",'Work Log'!$A$117=""),"",'Work Log'!$A$117)</x:f>
      </x:c>
      <x:c r="Q114" t="str">
        <x:f>IF(T114="","",TEXT(T114,"mm/dd/yy"))</x:f>
      </x:c>
      <x:c r="R114" s="11" t="str">
        <x:f>IF(OR(T114="",SUMIF('Backlog'!$B$6:$B$25,"S5",'Backlog'!$E$6:$E$25)=0,Burndown!$B$9="",Burndown!$C$9=""),"",MAX(0,SUMIF('Backlog'!$B$6:$B$25,"S5",'Backlog'!$E$6:$E$25)-SUMIFS('Work Log'!$D$6:$D$205,'Work Log'!$E$6:$E$205,"S5",'Work Log'!$A$6:$A$205,"&lt;="&amp;T114)))</x:f>
      </x:c>
      <x:c r="S114" s="11" t="str">
        <x:f>IF(OR(T114="",SUMIF('Backlog'!$B$6:$B$25,"S5",'Backlog'!$E$6:$E$25)=0,Burndown!$B$9="",Burndown!$C$9="",Burndown!$C$9&lt;=Burndown!$B$9),"",MAX(0,SUMIF('Backlog'!$B$6:$B$25,"S5",'Backlog'!$E$6:$E$25)*(Burndown!$C$9-T114)/(Burndown!$C$9-Burndown!$B$9)))</x:f>
      </x:c>
      <x:c r="T114" s="10" t="str">
        <x:f>IF(OR('Work Log'!$E$117&lt;&gt;"S5",'Work Log'!$A$117=""),"",'Work Log'!$A$117)</x:f>
      </x:c>
    </x:row>
    <x:row r="115">
      <x:c r="A115" t="str">
        <x:f>IF(D115="","",TEXT(D115,"mm/dd/yy"))</x:f>
      </x:c>
      <x:c r="B115" s="11" t="str">
        <x:f>IF(OR(D115="",SUMIF('Backlog'!$B$6:$B$25,"S1",'Backlog'!$E$6:$E$25)=0,Burndown!$B$5="",Burndown!$C$5=""),"",MAX(0,SUMIF('Backlog'!$B$6:$B$25,"S1",'Backlog'!$E$6:$E$25)-SUMIFS('Work Log'!$D$6:$D$205,'Work Log'!$E$6:$E$205,"S1",'Work Log'!$A$6:$A$205,"&lt;="&amp;D115)))</x:f>
      </x:c>
      <x:c r="C115" s="11" t="str">
        <x:f>IF(OR(D115="",SUMIF('Backlog'!$B$6:$B$25,"S1",'Backlog'!$E$6:$E$25)=0,Burndown!$B$5="",Burndown!$C$5="",Burndown!$C$5&lt;=Burndown!$B$5),"",MAX(0,SUMIF('Backlog'!$B$6:$B$25,"S1",'Backlog'!$E$6:$E$25)*(Burndown!$C$5-D115)/(Burndown!$C$5-Burndown!$B$5)))</x:f>
      </x:c>
      <x:c r="D115" s="10" t="str">
        <x:f>IF(OR('Work Log'!$E$118&lt;&gt;"S1",'Work Log'!$A$118=""),"",'Work Log'!$A$118)</x:f>
      </x:c>
      <x:c r="E115" t="str">
        <x:f>IF(H115="","",TEXT(H115,"mm/dd/yy"))</x:f>
      </x:c>
      <x:c r="F115" s="11" t="str">
        <x:f>IF(OR(H115="",SUMIF('Backlog'!$B$6:$B$25,"S2",'Backlog'!$E$6:$E$25)=0,Burndown!$B$6="",Burndown!$C$6=""),"",MAX(0,SUMIF('Backlog'!$B$6:$B$25,"S2",'Backlog'!$E$6:$E$25)-SUMIFS('Work Log'!$D$6:$D$205,'Work Log'!$E$6:$E$205,"S2",'Work Log'!$A$6:$A$205,"&lt;="&amp;H115)))</x:f>
      </x:c>
      <x:c r="G115" s="11" t="str">
        <x:f>IF(OR(H115="",SUMIF('Backlog'!$B$6:$B$25,"S2",'Backlog'!$E$6:$E$25)=0,Burndown!$B$6="",Burndown!$C$6="",Burndown!$C$6&lt;=Burndown!$B$6),"",MAX(0,SUMIF('Backlog'!$B$6:$B$25,"S2",'Backlog'!$E$6:$E$25)*(Burndown!$C$6-H115)/(Burndown!$C$6-Burndown!$B$6)))</x:f>
      </x:c>
      <x:c r="H115" s="10" t="str">
        <x:f>IF(OR('Work Log'!$E$118&lt;&gt;"S2",'Work Log'!$A$118=""),"",'Work Log'!$A$118)</x:f>
      </x:c>
      <x:c r="I115" t="str">
        <x:f>IF(L115="","",TEXT(L115,"mm/dd/yy"))</x:f>
      </x:c>
      <x:c r="J115" s="11" t="str">
        <x:f>IF(OR(L115="",SUMIF('Backlog'!$B$6:$B$25,"S3",'Backlog'!$E$6:$E$25)=0,Burndown!$B$7="",Burndown!$C$7=""),"",MAX(0,SUMIF('Backlog'!$B$6:$B$25,"S3",'Backlog'!$E$6:$E$25)-SUMIFS('Work Log'!$D$6:$D$205,'Work Log'!$E$6:$E$205,"S3",'Work Log'!$A$6:$A$205,"&lt;="&amp;L115)))</x:f>
      </x:c>
      <x:c r="K115" s="11" t="str">
        <x:f>IF(OR(L115="",SUMIF('Backlog'!$B$6:$B$25,"S3",'Backlog'!$E$6:$E$25)=0,Burndown!$B$7="",Burndown!$C$7="",Burndown!$C$7&lt;=Burndown!$B$7),"",MAX(0,SUMIF('Backlog'!$B$6:$B$25,"S3",'Backlog'!$E$6:$E$25)*(Burndown!$C$7-L115)/(Burndown!$C$7-Burndown!$B$7)))</x:f>
      </x:c>
      <x:c r="L115" s="10" t="str">
        <x:f>IF(OR('Work Log'!$E$118&lt;&gt;"S3",'Work Log'!$A$118=""),"",'Work Log'!$A$118)</x:f>
      </x:c>
      <x:c r="M115" t="str">
        <x:f>IF(P115="","",TEXT(P115,"mm/dd/yy"))</x:f>
      </x:c>
      <x:c r="N115" s="11" t="str">
        <x:f>IF(OR(P115="",SUMIF('Backlog'!$B$6:$B$25,"S4",'Backlog'!$E$6:$E$25)=0,Burndown!$B$8="",Burndown!$C$8=""),"",MAX(0,SUMIF('Backlog'!$B$6:$B$25,"S4",'Backlog'!$E$6:$E$25)-SUMIFS('Work Log'!$D$6:$D$205,'Work Log'!$E$6:$E$205,"S4",'Work Log'!$A$6:$A$205,"&lt;="&amp;P115)))</x:f>
      </x:c>
      <x:c r="O115" s="11" t="str">
        <x:f>IF(OR(P115="",SUMIF('Backlog'!$B$6:$B$25,"S4",'Backlog'!$E$6:$E$25)=0,Burndown!$B$8="",Burndown!$C$8="",Burndown!$C$8&lt;=Burndown!$B$8),"",MAX(0,SUMIF('Backlog'!$B$6:$B$25,"S4",'Backlog'!$E$6:$E$25)*(Burndown!$C$8-P115)/(Burndown!$C$8-Burndown!$B$8)))</x:f>
      </x:c>
      <x:c r="P115" s="10" t="str">
        <x:f>IF(OR('Work Log'!$E$118&lt;&gt;"S4",'Work Log'!$A$118=""),"",'Work Log'!$A$118)</x:f>
      </x:c>
      <x:c r="Q115" t="str">
        <x:f>IF(T115="","",TEXT(T115,"mm/dd/yy"))</x:f>
      </x:c>
      <x:c r="R115" s="11" t="str">
        <x:f>IF(OR(T115="",SUMIF('Backlog'!$B$6:$B$25,"S5",'Backlog'!$E$6:$E$25)=0,Burndown!$B$9="",Burndown!$C$9=""),"",MAX(0,SUMIF('Backlog'!$B$6:$B$25,"S5",'Backlog'!$E$6:$E$25)-SUMIFS('Work Log'!$D$6:$D$205,'Work Log'!$E$6:$E$205,"S5",'Work Log'!$A$6:$A$205,"&lt;="&amp;T115)))</x:f>
      </x:c>
      <x:c r="S115" s="11" t="str">
        <x:f>IF(OR(T115="",SUMIF('Backlog'!$B$6:$B$25,"S5",'Backlog'!$E$6:$E$25)=0,Burndown!$B$9="",Burndown!$C$9="",Burndown!$C$9&lt;=Burndown!$B$9),"",MAX(0,SUMIF('Backlog'!$B$6:$B$25,"S5",'Backlog'!$E$6:$E$25)*(Burndown!$C$9-T115)/(Burndown!$C$9-Burndown!$B$9)))</x:f>
      </x:c>
      <x:c r="T115" s="10" t="str">
        <x:f>IF(OR('Work Log'!$E$118&lt;&gt;"S5",'Work Log'!$A$118=""),"",'Work Log'!$A$118)</x:f>
      </x:c>
    </x:row>
    <x:row r="116">
      <x:c r="A116" t="str">
        <x:f>IF(D116="","",TEXT(D116,"mm/dd/yy"))</x:f>
      </x:c>
      <x:c r="B116" s="11" t="str">
        <x:f>IF(OR(D116="",SUMIF('Backlog'!$B$6:$B$25,"S1",'Backlog'!$E$6:$E$25)=0,Burndown!$B$5="",Burndown!$C$5=""),"",MAX(0,SUMIF('Backlog'!$B$6:$B$25,"S1",'Backlog'!$E$6:$E$25)-SUMIFS('Work Log'!$D$6:$D$205,'Work Log'!$E$6:$E$205,"S1",'Work Log'!$A$6:$A$205,"&lt;="&amp;D116)))</x:f>
      </x:c>
      <x:c r="C116" s="11" t="str">
        <x:f>IF(OR(D116="",SUMIF('Backlog'!$B$6:$B$25,"S1",'Backlog'!$E$6:$E$25)=0,Burndown!$B$5="",Burndown!$C$5="",Burndown!$C$5&lt;=Burndown!$B$5),"",MAX(0,SUMIF('Backlog'!$B$6:$B$25,"S1",'Backlog'!$E$6:$E$25)*(Burndown!$C$5-D116)/(Burndown!$C$5-Burndown!$B$5)))</x:f>
      </x:c>
      <x:c r="D116" s="10" t="str">
        <x:f>IF(OR('Work Log'!$E$119&lt;&gt;"S1",'Work Log'!$A$119=""),"",'Work Log'!$A$119)</x:f>
      </x:c>
      <x:c r="E116" t="str">
        <x:f>IF(H116="","",TEXT(H116,"mm/dd/yy"))</x:f>
      </x:c>
      <x:c r="F116" s="11" t="str">
        <x:f>IF(OR(H116="",SUMIF('Backlog'!$B$6:$B$25,"S2",'Backlog'!$E$6:$E$25)=0,Burndown!$B$6="",Burndown!$C$6=""),"",MAX(0,SUMIF('Backlog'!$B$6:$B$25,"S2",'Backlog'!$E$6:$E$25)-SUMIFS('Work Log'!$D$6:$D$205,'Work Log'!$E$6:$E$205,"S2",'Work Log'!$A$6:$A$205,"&lt;="&amp;H116)))</x:f>
      </x:c>
      <x:c r="G116" s="11" t="str">
        <x:f>IF(OR(H116="",SUMIF('Backlog'!$B$6:$B$25,"S2",'Backlog'!$E$6:$E$25)=0,Burndown!$B$6="",Burndown!$C$6="",Burndown!$C$6&lt;=Burndown!$B$6),"",MAX(0,SUMIF('Backlog'!$B$6:$B$25,"S2",'Backlog'!$E$6:$E$25)*(Burndown!$C$6-H116)/(Burndown!$C$6-Burndown!$B$6)))</x:f>
      </x:c>
      <x:c r="H116" s="10" t="str">
        <x:f>IF(OR('Work Log'!$E$119&lt;&gt;"S2",'Work Log'!$A$119=""),"",'Work Log'!$A$119)</x:f>
      </x:c>
      <x:c r="I116" t="str">
        <x:f>IF(L116="","",TEXT(L116,"mm/dd/yy"))</x:f>
      </x:c>
      <x:c r="J116" s="11" t="str">
        <x:f>IF(OR(L116="",SUMIF('Backlog'!$B$6:$B$25,"S3",'Backlog'!$E$6:$E$25)=0,Burndown!$B$7="",Burndown!$C$7=""),"",MAX(0,SUMIF('Backlog'!$B$6:$B$25,"S3",'Backlog'!$E$6:$E$25)-SUMIFS('Work Log'!$D$6:$D$205,'Work Log'!$E$6:$E$205,"S3",'Work Log'!$A$6:$A$205,"&lt;="&amp;L116)))</x:f>
      </x:c>
      <x:c r="K116" s="11" t="str">
        <x:f>IF(OR(L116="",SUMIF('Backlog'!$B$6:$B$25,"S3",'Backlog'!$E$6:$E$25)=0,Burndown!$B$7="",Burndown!$C$7="",Burndown!$C$7&lt;=Burndown!$B$7),"",MAX(0,SUMIF('Backlog'!$B$6:$B$25,"S3",'Backlog'!$E$6:$E$25)*(Burndown!$C$7-L116)/(Burndown!$C$7-Burndown!$B$7)))</x:f>
      </x:c>
      <x:c r="L116" s="10" t="str">
        <x:f>IF(OR('Work Log'!$E$119&lt;&gt;"S3",'Work Log'!$A$119=""),"",'Work Log'!$A$119)</x:f>
      </x:c>
      <x:c r="M116" t="str">
        <x:f>IF(P116="","",TEXT(P116,"mm/dd/yy"))</x:f>
      </x:c>
      <x:c r="N116" s="11" t="str">
        <x:f>IF(OR(P116="",SUMIF('Backlog'!$B$6:$B$25,"S4",'Backlog'!$E$6:$E$25)=0,Burndown!$B$8="",Burndown!$C$8=""),"",MAX(0,SUMIF('Backlog'!$B$6:$B$25,"S4",'Backlog'!$E$6:$E$25)-SUMIFS('Work Log'!$D$6:$D$205,'Work Log'!$E$6:$E$205,"S4",'Work Log'!$A$6:$A$205,"&lt;="&amp;P116)))</x:f>
      </x:c>
      <x:c r="O116" s="11" t="str">
        <x:f>IF(OR(P116="",SUMIF('Backlog'!$B$6:$B$25,"S4",'Backlog'!$E$6:$E$25)=0,Burndown!$B$8="",Burndown!$C$8="",Burndown!$C$8&lt;=Burndown!$B$8),"",MAX(0,SUMIF('Backlog'!$B$6:$B$25,"S4",'Backlog'!$E$6:$E$25)*(Burndown!$C$8-P116)/(Burndown!$C$8-Burndown!$B$8)))</x:f>
      </x:c>
      <x:c r="P116" s="10" t="str">
        <x:f>IF(OR('Work Log'!$E$119&lt;&gt;"S4",'Work Log'!$A$119=""),"",'Work Log'!$A$119)</x:f>
      </x:c>
      <x:c r="Q116" t="str">
        <x:f>IF(T116="","",TEXT(T116,"mm/dd/yy"))</x:f>
      </x:c>
      <x:c r="R116" s="11" t="str">
        <x:f>IF(OR(T116="",SUMIF('Backlog'!$B$6:$B$25,"S5",'Backlog'!$E$6:$E$25)=0,Burndown!$B$9="",Burndown!$C$9=""),"",MAX(0,SUMIF('Backlog'!$B$6:$B$25,"S5",'Backlog'!$E$6:$E$25)-SUMIFS('Work Log'!$D$6:$D$205,'Work Log'!$E$6:$E$205,"S5",'Work Log'!$A$6:$A$205,"&lt;="&amp;T116)))</x:f>
      </x:c>
      <x:c r="S116" s="11" t="str">
        <x:f>IF(OR(T116="",SUMIF('Backlog'!$B$6:$B$25,"S5",'Backlog'!$E$6:$E$25)=0,Burndown!$B$9="",Burndown!$C$9="",Burndown!$C$9&lt;=Burndown!$B$9),"",MAX(0,SUMIF('Backlog'!$B$6:$B$25,"S5",'Backlog'!$E$6:$E$25)*(Burndown!$C$9-T116)/(Burndown!$C$9-Burndown!$B$9)))</x:f>
      </x:c>
      <x:c r="T116" s="10" t="str">
        <x:f>IF(OR('Work Log'!$E$119&lt;&gt;"S5",'Work Log'!$A$119=""),"",'Work Log'!$A$119)</x:f>
      </x:c>
    </x:row>
    <x:row r="117">
      <x:c r="A117" t="str">
        <x:f>IF(D117="","",TEXT(D117,"mm/dd/yy"))</x:f>
      </x:c>
      <x:c r="B117" s="11" t="str">
        <x:f>IF(OR(D117="",SUMIF('Backlog'!$B$6:$B$25,"S1",'Backlog'!$E$6:$E$25)=0,Burndown!$B$5="",Burndown!$C$5=""),"",MAX(0,SUMIF('Backlog'!$B$6:$B$25,"S1",'Backlog'!$E$6:$E$25)-SUMIFS('Work Log'!$D$6:$D$205,'Work Log'!$E$6:$E$205,"S1",'Work Log'!$A$6:$A$205,"&lt;="&amp;D117)))</x:f>
      </x:c>
      <x:c r="C117" s="11" t="str">
        <x:f>IF(OR(D117="",SUMIF('Backlog'!$B$6:$B$25,"S1",'Backlog'!$E$6:$E$25)=0,Burndown!$B$5="",Burndown!$C$5="",Burndown!$C$5&lt;=Burndown!$B$5),"",MAX(0,SUMIF('Backlog'!$B$6:$B$25,"S1",'Backlog'!$E$6:$E$25)*(Burndown!$C$5-D117)/(Burndown!$C$5-Burndown!$B$5)))</x:f>
      </x:c>
      <x:c r="D117" s="10" t="str">
        <x:f>IF(OR('Work Log'!$E$120&lt;&gt;"S1",'Work Log'!$A$120=""),"",'Work Log'!$A$120)</x:f>
      </x:c>
      <x:c r="E117" t="str">
        <x:f>IF(H117="","",TEXT(H117,"mm/dd/yy"))</x:f>
      </x:c>
      <x:c r="F117" s="11" t="str">
        <x:f>IF(OR(H117="",SUMIF('Backlog'!$B$6:$B$25,"S2",'Backlog'!$E$6:$E$25)=0,Burndown!$B$6="",Burndown!$C$6=""),"",MAX(0,SUMIF('Backlog'!$B$6:$B$25,"S2",'Backlog'!$E$6:$E$25)-SUMIFS('Work Log'!$D$6:$D$205,'Work Log'!$E$6:$E$205,"S2",'Work Log'!$A$6:$A$205,"&lt;="&amp;H117)))</x:f>
      </x:c>
      <x:c r="G117" s="11" t="str">
        <x:f>IF(OR(H117="",SUMIF('Backlog'!$B$6:$B$25,"S2",'Backlog'!$E$6:$E$25)=0,Burndown!$B$6="",Burndown!$C$6="",Burndown!$C$6&lt;=Burndown!$B$6),"",MAX(0,SUMIF('Backlog'!$B$6:$B$25,"S2",'Backlog'!$E$6:$E$25)*(Burndown!$C$6-H117)/(Burndown!$C$6-Burndown!$B$6)))</x:f>
      </x:c>
      <x:c r="H117" s="10" t="str">
        <x:f>IF(OR('Work Log'!$E$120&lt;&gt;"S2",'Work Log'!$A$120=""),"",'Work Log'!$A$120)</x:f>
      </x:c>
      <x:c r="I117" t="str">
        <x:f>IF(L117="","",TEXT(L117,"mm/dd/yy"))</x:f>
      </x:c>
      <x:c r="J117" s="11" t="str">
        <x:f>IF(OR(L117="",SUMIF('Backlog'!$B$6:$B$25,"S3",'Backlog'!$E$6:$E$25)=0,Burndown!$B$7="",Burndown!$C$7=""),"",MAX(0,SUMIF('Backlog'!$B$6:$B$25,"S3",'Backlog'!$E$6:$E$25)-SUMIFS('Work Log'!$D$6:$D$205,'Work Log'!$E$6:$E$205,"S3",'Work Log'!$A$6:$A$205,"&lt;="&amp;L117)))</x:f>
      </x:c>
      <x:c r="K117" s="11" t="str">
        <x:f>IF(OR(L117="",SUMIF('Backlog'!$B$6:$B$25,"S3",'Backlog'!$E$6:$E$25)=0,Burndown!$B$7="",Burndown!$C$7="",Burndown!$C$7&lt;=Burndown!$B$7),"",MAX(0,SUMIF('Backlog'!$B$6:$B$25,"S3",'Backlog'!$E$6:$E$25)*(Burndown!$C$7-L117)/(Burndown!$C$7-Burndown!$B$7)))</x:f>
      </x:c>
      <x:c r="L117" s="10" t="str">
        <x:f>IF(OR('Work Log'!$E$120&lt;&gt;"S3",'Work Log'!$A$120=""),"",'Work Log'!$A$120)</x:f>
      </x:c>
      <x:c r="M117" t="str">
        <x:f>IF(P117="","",TEXT(P117,"mm/dd/yy"))</x:f>
      </x:c>
      <x:c r="N117" s="11" t="str">
        <x:f>IF(OR(P117="",SUMIF('Backlog'!$B$6:$B$25,"S4",'Backlog'!$E$6:$E$25)=0,Burndown!$B$8="",Burndown!$C$8=""),"",MAX(0,SUMIF('Backlog'!$B$6:$B$25,"S4",'Backlog'!$E$6:$E$25)-SUMIFS('Work Log'!$D$6:$D$205,'Work Log'!$E$6:$E$205,"S4",'Work Log'!$A$6:$A$205,"&lt;="&amp;P117)))</x:f>
      </x:c>
      <x:c r="O117" s="11" t="str">
        <x:f>IF(OR(P117="",SUMIF('Backlog'!$B$6:$B$25,"S4",'Backlog'!$E$6:$E$25)=0,Burndown!$B$8="",Burndown!$C$8="",Burndown!$C$8&lt;=Burndown!$B$8),"",MAX(0,SUMIF('Backlog'!$B$6:$B$25,"S4",'Backlog'!$E$6:$E$25)*(Burndown!$C$8-P117)/(Burndown!$C$8-Burndown!$B$8)))</x:f>
      </x:c>
      <x:c r="P117" s="10" t="str">
        <x:f>IF(OR('Work Log'!$E$120&lt;&gt;"S4",'Work Log'!$A$120=""),"",'Work Log'!$A$120)</x:f>
      </x:c>
      <x:c r="Q117" t="str">
        <x:f>IF(T117="","",TEXT(T117,"mm/dd/yy"))</x:f>
      </x:c>
      <x:c r="R117" s="11" t="str">
        <x:f>IF(OR(T117="",SUMIF('Backlog'!$B$6:$B$25,"S5",'Backlog'!$E$6:$E$25)=0,Burndown!$B$9="",Burndown!$C$9=""),"",MAX(0,SUMIF('Backlog'!$B$6:$B$25,"S5",'Backlog'!$E$6:$E$25)-SUMIFS('Work Log'!$D$6:$D$205,'Work Log'!$E$6:$E$205,"S5",'Work Log'!$A$6:$A$205,"&lt;="&amp;T117)))</x:f>
      </x:c>
      <x:c r="S117" s="11" t="str">
        <x:f>IF(OR(T117="",SUMIF('Backlog'!$B$6:$B$25,"S5",'Backlog'!$E$6:$E$25)=0,Burndown!$B$9="",Burndown!$C$9="",Burndown!$C$9&lt;=Burndown!$B$9),"",MAX(0,SUMIF('Backlog'!$B$6:$B$25,"S5",'Backlog'!$E$6:$E$25)*(Burndown!$C$9-T117)/(Burndown!$C$9-Burndown!$B$9)))</x:f>
      </x:c>
      <x:c r="T117" s="10" t="str">
        <x:f>IF(OR('Work Log'!$E$120&lt;&gt;"S5",'Work Log'!$A$120=""),"",'Work Log'!$A$120)</x:f>
      </x:c>
    </x:row>
    <x:row r="118">
      <x:c r="A118" t="str">
        <x:f>IF(D118="","",TEXT(D118,"mm/dd/yy"))</x:f>
      </x:c>
      <x:c r="B118" s="11" t="str">
        <x:f>IF(OR(D118="",SUMIF('Backlog'!$B$6:$B$25,"S1",'Backlog'!$E$6:$E$25)=0,Burndown!$B$5="",Burndown!$C$5=""),"",MAX(0,SUMIF('Backlog'!$B$6:$B$25,"S1",'Backlog'!$E$6:$E$25)-SUMIFS('Work Log'!$D$6:$D$205,'Work Log'!$E$6:$E$205,"S1",'Work Log'!$A$6:$A$205,"&lt;="&amp;D118)))</x:f>
      </x:c>
      <x:c r="C118" s="11" t="str">
        <x:f>IF(OR(D118="",SUMIF('Backlog'!$B$6:$B$25,"S1",'Backlog'!$E$6:$E$25)=0,Burndown!$B$5="",Burndown!$C$5="",Burndown!$C$5&lt;=Burndown!$B$5),"",MAX(0,SUMIF('Backlog'!$B$6:$B$25,"S1",'Backlog'!$E$6:$E$25)*(Burndown!$C$5-D118)/(Burndown!$C$5-Burndown!$B$5)))</x:f>
      </x:c>
      <x:c r="D118" s="10" t="str">
        <x:f>IF(OR('Work Log'!$E$121&lt;&gt;"S1",'Work Log'!$A$121=""),"",'Work Log'!$A$121)</x:f>
      </x:c>
      <x:c r="E118" t="str">
        <x:f>IF(H118="","",TEXT(H118,"mm/dd/yy"))</x:f>
      </x:c>
      <x:c r="F118" s="11" t="str">
        <x:f>IF(OR(H118="",SUMIF('Backlog'!$B$6:$B$25,"S2",'Backlog'!$E$6:$E$25)=0,Burndown!$B$6="",Burndown!$C$6=""),"",MAX(0,SUMIF('Backlog'!$B$6:$B$25,"S2",'Backlog'!$E$6:$E$25)-SUMIFS('Work Log'!$D$6:$D$205,'Work Log'!$E$6:$E$205,"S2",'Work Log'!$A$6:$A$205,"&lt;="&amp;H118)))</x:f>
      </x:c>
      <x:c r="G118" s="11" t="str">
        <x:f>IF(OR(H118="",SUMIF('Backlog'!$B$6:$B$25,"S2",'Backlog'!$E$6:$E$25)=0,Burndown!$B$6="",Burndown!$C$6="",Burndown!$C$6&lt;=Burndown!$B$6),"",MAX(0,SUMIF('Backlog'!$B$6:$B$25,"S2",'Backlog'!$E$6:$E$25)*(Burndown!$C$6-H118)/(Burndown!$C$6-Burndown!$B$6)))</x:f>
      </x:c>
      <x:c r="H118" s="10" t="str">
        <x:f>IF(OR('Work Log'!$E$121&lt;&gt;"S2",'Work Log'!$A$121=""),"",'Work Log'!$A$121)</x:f>
      </x:c>
      <x:c r="I118" t="str">
        <x:f>IF(L118="","",TEXT(L118,"mm/dd/yy"))</x:f>
      </x:c>
      <x:c r="J118" s="11" t="str">
        <x:f>IF(OR(L118="",SUMIF('Backlog'!$B$6:$B$25,"S3",'Backlog'!$E$6:$E$25)=0,Burndown!$B$7="",Burndown!$C$7=""),"",MAX(0,SUMIF('Backlog'!$B$6:$B$25,"S3",'Backlog'!$E$6:$E$25)-SUMIFS('Work Log'!$D$6:$D$205,'Work Log'!$E$6:$E$205,"S3",'Work Log'!$A$6:$A$205,"&lt;="&amp;L118)))</x:f>
      </x:c>
      <x:c r="K118" s="11" t="str">
        <x:f>IF(OR(L118="",SUMIF('Backlog'!$B$6:$B$25,"S3",'Backlog'!$E$6:$E$25)=0,Burndown!$B$7="",Burndown!$C$7="",Burndown!$C$7&lt;=Burndown!$B$7),"",MAX(0,SUMIF('Backlog'!$B$6:$B$25,"S3",'Backlog'!$E$6:$E$25)*(Burndown!$C$7-L118)/(Burndown!$C$7-Burndown!$B$7)))</x:f>
      </x:c>
      <x:c r="L118" s="10" t="str">
        <x:f>IF(OR('Work Log'!$E$121&lt;&gt;"S3",'Work Log'!$A$121=""),"",'Work Log'!$A$121)</x:f>
      </x:c>
      <x:c r="M118" t="str">
        <x:f>IF(P118="","",TEXT(P118,"mm/dd/yy"))</x:f>
      </x:c>
      <x:c r="N118" s="11" t="str">
        <x:f>IF(OR(P118="",SUMIF('Backlog'!$B$6:$B$25,"S4",'Backlog'!$E$6:$E$25)=0,Burndown!$B$8="",Burndown!$C$8=""),"",MAX(0,SUMIF('Backlog'!$B$6:$B$25,"S4",'Backlog'!$E$6:$E$25)-SUMIFS('Work Log'!$D$6:$D$205,'Work Log'!$E$6:$E$205,"S4",'Work Log'!$A$6:$A$205,"&lt;="&amp;P118)))</x:f>
      </x:c>
      <x:c r="O118" s="11" t="str">
        <x:f>IF(OR(P118="",SUMIF('Backlog'!$B$6:$B$25,"S4",'Backlog'!$E$6:$E$25)=0,Burndown!$B$8="",Burndown!$C$8="",Burndown!$C$8&lt;=Burndown!$B$8),"",MAX(0,SUMIF('Backlog'!$B$6:$B$25,"S4",'Backlog'!$E$6:$E$25)*(Burndown!$C$8-P118)/(Burndown!$C$8-Burndown!$B$8)))</x:f>
      </x:c>
      <x:c r="P118" s="10" t="str">
        <x:f>IF(OR('Work Log'!$E$121&lt;&gt;"S4",'Work Log'!$A$121=""),"",'Work Log'!$A$121)</x:f>
      </x:c>
      <x:c r="Q118" t="str">
        <x:f>IF(T118="","",TEXT(T118,"mm/dd/yy"))</x:f>
      </x:c>
      <x:c r="R118" s="11" t="str">
        <x:f>IF(OR(T118="",SUMIF('Backlog'!$B$6:$B$25,"S5",'Backlog'!$E$6:$E$25)=0,Burndown!$B$9="",Burndown!$C$9=""),"",MAX(0,SUMIF('Backlog'!$B$6:$B$25,"S5",'Backlog'!$E$6:$E$25)-SUMIFS('Work Log'!$D$6:$D$205,'Work Log'!$E$6:$E$205,"S5",'Work Log'!$A$6:$A$205,"&lt;="&amp;T118)))</x:f>
      </x:c>
      <x:c r="S118" s="11" t="str">
        <x:f>IF(OR(T118="",SUMIF('Backlog'!$B$6:$B$25,"S5",'Backlog'!$E$6:$E$25)=0,Burndown!$B$9="",Burndown!$C$9="",Burndown!$C$9&lt;=Burndown!$B$9),"",MAX(0,SUMIF('Backlog'!$B$6:$B$25,"S5",'Backlog'!$E$6:$E$25)*(Burndown!$C$9-T118)/(Burndown!$C$9-Burndown!$B$9)))</x:f>
      </x:c>
      <x:c r="T118" s="10" t="str">
        <x:f>IF(OR('Work Log'!$E$121&lt;&gt;"S5",'Work Log'!$A$121=""),"",'Work Log'!$A$121)</x:f>
      </x:c>
    </x:row>
    <x:row r="119">
      <x:c r="A119" t="str">
        <x:f>IF(D119="","",TEXT(D119,"mm/dd/yy"))</x:f>
      </x:c>
      <x:c r="B119" s="11" t="str">
        <x:f>IF(OR(D119="",SUMIF('Backlog'!$B$6:$B$25,"S1",'Backlog'!$E$6:$E$25)=0,Burndown!$B$5="",Burndown!$C$5=""),"",MAX(0,SUMIF('Backlog'!$B$6:$B$25,"S1",'Backlog'!$E$6:$E$25)-SUMIFS('Work Log'!$D$6:$D$205,'Work Log'!$E$6:$E$205,"S1",'Work Log'!$A$6:$A$205,"&lt;="&amp;D119)))</x:f>
      </x:c>
      <x:c r="C119" s="11" t="str">
        <x:f>IF(OR(D119="",SUMIF('Backlog'!$B$6:$B$25,"S1",'Backlog'!$E$6:$E$25)=0,Burndown!$B$5="",Burndown!$C$5="",Burndown!$C$5&lt;=Burndown!$B$5),"",MAX(0,SUMIF('Backlog'!$B$6:$B$25,"S1",'Backlog'!$E$6:$E$25)*(Burndown!$C$5-D119)/(Burndown!$C$5-Burndown!$B$5)))</x:f>
      </x:c>
      <x:c r="D119" s="10" t="str">
        <x:f>IF(OR('Work Log'!$E$122&lt;&gt;"S1",'Work Log'!$A$122=""),"",'Work Log'!$A$122)</x:f>
      </x:c>
      <x:c r="E119" t="str">
        <x:f>IF(H119="","",TEXT(H119,"mm/dd/yy"))</x:f>
      </x:c>
      <x:c r="F119" s="11" t="str">
        <x:f>IF(OR(H119="",SUMIF('Backlog'!$B$6:$B$25,"S2",'Backlog'!$E$6:$E$25)=0,Burndown!$B$6="",Burndown!$C$6=""),"",MAX(0,SUMIF('Backlog'!$B$6:$B$25,"S2",'Backlog'!$E$6:$E$25)-SUMIFS('Work Log'!$D$6:$D$205,'Work Log'!$E$6:$E$205,"S2",'Work Log'!$A$6:$A$205,"&lt;="&amp;H119)))</x:f>
      </x:c>
      <x:c r="G119" s="11" t="str">
        <x:f>IF(OR(H119="",SUMIF('Backlog'!$B$6:$B$25,"S2",'Backlog'!$E$6:$E$25)=0,Burndown!$B$6="",Burndown!$C$6="",Burndown!$C$6&lt;=Burndown!$B$6),"",MAX(0,SUMIF('Backlog'!$B$6:$B$25,"S2",'Backlog'!$E$6:$E$25)*(Burndown!$C$6-H119)/(Burndown!$C$6-Burndown!$B$6)))</x:f>
      </x:c>
      <x:c r="H119" s="10" t="str">
        <x:f>IF(OR('Work Log'!$E$122&lt;&gt;"S2",'Work Log'!$A$122=""),"",'Work Log'!$A$122)</x:f>
      </x:c>
      <x:c r="I119" t="str">
        <x:f>IF(L119="","",TEXT(L119,"mm/dd/yy"))</x:f>
      </x:c>
      <x:c r="J119" s="11" t="str">
        <x:f>IF(OR(L119="",SUMIF('Backlog'!$B$6:$B$25,"S3",'Backlog'!$E$6:$E$25)=0,Burndown!$B$7="",Burndown!$C$7=""),"",MAX(0,SUMIF('Backlog'!$B$6:$B$25,"S3",'Backlog'!$E$6:$E$25)-SUMIFS('Work Log'!$D$6:$D$205,'Work Log'!$E$6:$E$205,"S3",'Work Log'!$A$6:$A$205,"&lt;="&amp;L119)))</x:f>
      </x:c>
      <x:c r="K119" s="11" t="str">
        <x:f>IF(OR(L119="",SUMIF('Backlog'!$B$6:$B$25,"S3",'Backlog'!$E$6:$E$25)=0,Burndown!$B$7="",Burndown!$C$7="",Burndown!$C$7&lt;=Burndown!$B$7),"",MAX(0,SUMIF('Backlog'!$B$6:$B$25,"S3",'Backlog'!$E$6:$E$25)*(Burndown!$C$7-L119)/(Burndown!$C$7-Burndown!$B$7)))</x:f>
      </x:c>
      <x:c r="L119" s="10" t="str">
        <x:f>IF(OR('Work Log'!$E$122&lt;&gt;"S3",'Work Log'!$A$122=""),"",'Work Log'!$A$122)</x:f>
      </x:c>
      <x:c r="M119" t="str">
        <x:f>IF(P119="","",TEXT(P119,"mm/dd/yy"))</x:f>
      </x:c>
      <x:c r="N119" s="11" t="str">
        <x:f>IF(OR(P119="",SUMIF('Backlog'!$B$6:$B$25,"S4",'Backlog'!$E$6:$E$25)=0,Burndown!$B$8="",Burndown!$C$8=""),"",MAX(0,SUMIF('Backlog'!$B$6:$B$25,"S4",'Backlog'!$E$6:$E$25)-SUMIFS('Work Log'!$D$6:$D$205,'Work Log'!$E$6:$E$205,"S4",'Work Log'!$A$6:$A$205,"&lt;="&amp;P119)))</x:f>
      </x:c>
      <x:c r="O119" s="11" t="str">
        <x:f>IF(OR(P119="",SUMIF('Backlog'!$B$6:$B$25,"S4",'Backlog'!$E$6:$E$25)=0,Burndown!$B$8="",Burndown!$C$8="",Burndown!$C$8&lt;=Burndown!$B$8),"",MAX(0,SUMIF('Backlog'!$B$6:$B$25,"S4",'Backlog'!$E$6:$E$25)*(Burndown!$C$8-P119)/(Burndown!$C$8-Burndown!$B$8)))</x:f>
      </x:c>
      <x:c r="P119" s="10" t="str">
        <x:f>IF(OR('Work Log'!$E$122&lt;&gt;"S4",'Work Log'!$A$122=""),"",'Work Log'!$A$122)</x:f>
      </x:c>
      <x:c r="Q119" t="str">
        <x:f>IF(T119="","",TEXT(T119,"mm/dd/yy"))</x:f>
      </x:c>
      <x:c r="R119" s="11" t="str">
        <x:f>IF(OR(T119="",SUMIF('Backlog'!$B$6:$B$25,"S5",'Backlog'!$E$6:$E$25)=0,Burndown!$B$9="",Burndown!$C$9=""),"",MAX(0,SUMIF('Backlog'!$B$6:$B$25,"S5",'Backlog'!$E$6:$E$25)-SUMIFS('Work Log'!$D$6:$D$205,'Work Log'!$E$6:$E$205,"S5",'Work Log'!$A$6:$A$205,"&lt;="&amp;T119)))</x:f>
      </x:c>
      <x:c r="S119" s="11" t="str">
        <x:f>IF(OR(T119="",SUMIF('Backlog'!$B$6:$B$25,"S5",'Backlog'!$E$6:$E$25)=0,Burndown!$B$9="",Burndown!$C$9="",Burndown!$C$9&lt;=Burndown!$B$9),"",MAX(0,SUMIF('Backlog'!$B$6:$B$25,"S5",'Backlog'!$E$6:$E$25)*(Burndown!$C$9-T119)/(Burndown!$C$9-Burndown!$B$9)))</x:f>
      </x:c>
      <x:c r="T119" s="10" t="str">
        <x:f>IF(OR('Work Log'!$E$122&lt;&gt;"S5",'Work Log'!$A$122=""),"",'Work Log'!$A$122)</x:f>
      </x:c>
    </x:row>
    <x:row r="120">
      <x:c r="A120" t="str">
        <x:f>IF(D120="","",TEXT(D120,"mm/dd/yy"))</x:f>
      </x:c>
      <x:c r="B120" s="11" t="str">
        <x:f>IF(OR(D120="",SUMIF('Backlog'!$B$6:$B$25,"S1",'Backlog'!$E$6:$E$25)=0,Burndown!$B$5="",Burndown!$C$5=""),"",MAX(0,SUMIF('Backlog'!$B$6:$B$25,"S1",'Backlog'!$E$6:$E$25)-SUMIFS('Work Log'!$D$6:$D$205,'Work Log'!$E$6:$E$205,"S1",'Work Log'!$A$6:$A$205,"&lt;="&amp;D120)))</x:f>
      </x:c>
      <x:c r="C120" s="11" t="str">
        <x:f>IF(OR(D120="",SUMIF('Backlog'!$B$6:$B$25,"S1",'Backlog'!$E$6:$E$25)=0,Burndown!$B$5="",Burndown!$C$5="",Burndown!$C$5&lt;=Burndown!$B$5),"",MAX(0,SUMIF('Backlog'!$B$6:$B$25,"S1",'Backlog'!$E$6:$E$25)*(Burndown!$C$5-D120)/(Burndown!$C$5-Burndown!$B$5)))</x:f>
      </x:c>
      <x:c r="D120" s="10" t="str">
        <x:f>IF(OR('Work Log'!$E$123&lt;&gt;"S1",'Work Log'!$A$123=""),"",'Work Log'!$A$123)</x:f>
      </x:c>
      <x:c r="E120" t="str">
        <x:f>IF(H120="","",TEXT(H120,"mm/dd/yy"))</x:f>
      </x:c>
      <x:c r="F120" s="11" t="str">
        <x:f>IF(OR(H120="",SUMIF('Backlog'!$B$6:$B$25,"S2",'Backlog'!$E$6:$E$25)=0,Burndown!$B$6="",Burndown!$C$6=""),"",MAX(0,SUMIF('Backlog'!$B$6:$B$25,"S2",'Backlog'!$E$6:$E$25)-SUMIFS('Work Log'!$D$6:$D$205,'Work Log'!$E$6:$E$205,"S2",'Work Log'!$A$6:$A$205,"&lt;="&amp;H120)))</x:f>
      </x:c>
      <x:c r="G120" s="11" t="str">
        <x:f>IF(OR(H120="",SUMIF('Backlog'!$B$6:$B$25,"S2",'Backlog'!$E$6:$E$25)=0,Burndown!$B$6="",Burndown!$C$6="",Burndown!$C$6&lt;=Burndown!$B$6),"",MAX(0,SUMIF('Backlog'!$B$6:$B$25,"S2",'Backlog'!$E$6:$E$25)*(Burndown!$C$6-H120)/(Burndown!$C$6-Burndown!$B$6)))</x:f>
      </x:c>
      <x:c r="H120" s="10" t="str">
        <x:f>IF(OR('Work Log'!$E$123&lt;&gt;"S2",'Work Log'!$A$123=""),"",'Work Log'!$A$123)</x:f>
      </x:c>
      <x:c r="I120" t="str">
        <x:f>IF(L120="","",TEXT(L120,"mm/dd/yy"))</x:f>
      </x:c>
      <x:c r="J120" s="11" t="str">
        <x:f>IF(OR(L120="",SUMIF('Backlog'!$B$6:$B$25,"S3",'Backlog'!$E$6:$E$25)=0,Burndown!$B$7="",Burndown!$C$7=""),"",MAX(0,SUMIF('Backlog'!$B$6:$B$25,"S3",'Backlog'!$E$6:$E$25)-SUMIFS('Work Log'!$D$6:$D$205,'Work Log'!$E$6:$E$205,"S3",'Work Log'!$A$6:$A$205,"&lt;="&amp;L120)))</x:f>
      </x:c>
      <x:c r="K120" s="11" t="str">
        <x:f>IF(OR(L120="",SUMIF('Backlog'!$B$6:$B$25,"S3",'Backlog'!$E$6:$E$25)=0,Burndown!$B$7="",Burndown!$C$7="",Burndown!$C$7&lt;=Burndown!$B$7),"",MAX(0,SUMIF('Backlog'!$B$6:$B$25,"S3",'Backlog'!$E$6:$E$25)*(Burndown!$C$7-L120)/(Burndown!$C$7-Burndown!$B$7)))</x:f>
      </x:c>
      <x:c r="L120" s="10" t="str">
        <x:f>IF(OR('Work Log'!$E$123&lt;&gt;"S3",'Work Log'!$A$123=""),"",'Work Log'!$A$123)</x:f>
      </x:c>
      <x:c r="M120" t="str">
        <x:f>IF(P120="","",TEXT(P120,"mm/dd/yy"))</x:f>
      </x:c>
      <x:c r="N120" s="11" t="str">
        <x:f>IF(OR(P120="",SUMIF('Backlog'!$B$6:$B$25,"S4",'Backlog'!$E$6:$E$25)=0,Burndown!$B$8="",Burndown!$C$8=""),"",MAX(0,SUMIF('Backlog'!$B$6:$B$25,"S4",'Backlog'!$E$6:$E$25)-SUMIFS('Work Log'!$D$6:$D$205,'Work Log'!$E$6:$E$205,"S4",'Work Log'!$A$6:$A$205,"&lt;="&amp;P120)))</x:f>
      </x:c>
      <x:c r="O120" s="11" t="str">
        <x:f>IF(OR(P120="",SUMIF('Backlog'!$B$6:$B$25,"S4",'Backlog'!$E$6:$E$25)=0,Burndown!$B$8="",Burndown!$C$8="",Burndown!$C$8&lt;=Burndown!$B$8),"",MAX(0,SUMIF('Backlog'!$B$6:$B$25,"S4",'Backlog'!$E$6:$E$25)*(Burndown!$C$8-P120)/(Burndown!$C$8-Burndown!$B$8)))</x:f>
      </x:c>
      <x:c r="P120" s="10" t="str">
        <x:f>IF(OR('Work Log'!$E$123&lt;&gt;"S4",'Work Log'!$A$123=""),"",'Work Log'!$A$123)</x:f>
      </x:c>
      <x:c r="Q120" t="str">
        <x:f>IF(T120="","",TEXT(T120,"mm/dd/yy"))</x:f>
      </x:c>
      <x:c r="R120" s="11" t="str">
        <x:f>IF(OR(T120="",SUMIF('Backlog'!$B$6:$B$25,"S5",'Backlog'!$E$6:$E$25)=0,Burndown!$B$9="",Burndown!$C$9=""),"",MAX(0,SUMIF('Backlog'!$B$6:$B$25,"S5",'Backlog'!$E$6:$E$25)-SUMIFS('Work Log'!$D$6:$D$205,'Work Log'!$E$6:$E$205,"S5",'Work Log'!$A$6:$A$205,"&lt;="&amp;T120)))</x:f>
      </x:c>
      <x:c r="S120" s="11" t="str">
        <x:f>IF(OR(T120="",SUMIF('Backlog'!$B$6:$B$25,"S5",'Backlog'!$E$6:$E$25)=0,Burndown!$B$9="",Burndown!$C$9="",Burndown!$C$9&lt;=Burndown!$B$9),"",MAX(0,SUMIF('Backlog'!$B$6:$B$25,"S5",'Backlog'!$E$6:$E$25)*(Burndown!$C$9-T120)/(Burndown!$C$9-Burndown!$B$9)))</x:f>
      </x:c>
      <x:c r="T120" s="10" t="str">
        <x:f>IF(OR('Work Log'!$E$123&lt;&gt;"S5",'Work Log'!$A$123=""),"",'Work Log'!$A$123)</x:f>
      </x:c>
    </x:row>
    <x:row r="121">
      <x:c r="A121" t="str">
        <x:f>IF(D121="","",TEXT(D121,"mm/dd/yy"))</x:f>
      </x:c>
      <x:c r="B121" s="11" t="str">
        <x:f>IF(OR(D121="",SUMIF('Backlog'!$B$6:$B$25,"S1",'Backlog'!$E$6:$E$25)=0,Burndown!$B$5="",Burndown!$C$5=""),"",MAX(0,SUMIF('Backlog'!$B$6:$B$25,"S1",'Backlog'!$E$6:$E$25)-SUMIFS('Work Log'!$D$6:$D$205,'Work Log'!$E$6:$E$205,"S1",'Work Log'!$A$6:$A$205,"&lt;="&amp;D121)))</x:f>
      </x:c>
      <x:c r="C121" s="11" t="str">
        <x:f>IF(OR(D121="",SUMIF('Backlog'!$B$6:$B$25,"S1",'Backlog'!$E$6:$E$25)=0,Burndown!$B$5="",Burndown!$C$5="",Burndown!$C$5&lt;=Burndown!$B$5),"",MAX(0,SUMIF('Backlog'!$B$6:$B$25,"S1",'Backlog'!$E$6:$E$25)*(Burndown!$C$5-D121)/(Burndown!$C$5-Burndown!$B$5)))</x:f>
      </x:c>
      <x:c r="D121" s="10" t="str">
        <x:f>IF(OR('Work Log'!$E$124&lt;&gt;"S1",'Work Log'!$A$124=""),"",'Work Log'!$A$124)</x:f>
      </x:c>
      <x:c r="E121" t="str">
        <x:f>IF(H121="","",TEXT(H121,"mm/dd/yy"))</x:f>
      </x:c>
      <x:c r="F121" s="11" t="str">
        <x:f>IF(OR(H121="",SUMIF('Backlog'!$B$6:$B$25,"S2",'Backlog'!$E$6:$E$25)=0,Burndown!$B$6="",Burndown!$C$6=""),"",MAX(0,SUMIF('Backlog'!$B$6:$B$25,"S2",'Backlog'!$E$6:$E$25)-SUMIFS('Work Log'!$D$6:$D$205,'Work Log'!$E$6:$E$205,"S2",'Work Log'!$A$6:$A$205,"&lt;="&amp;H121)))</x:f>
      </x:c>
      <x:c r="G121" s="11" t="str">
        <x:f>IF(OR(H121="",SUMIF('Backlog'!$B$6:$B$25,"S2",'Backlog'!$E$6:$E$25)=0,Burndown!$B$6="",Burndown!$C$6="",Burndown!$C$6&lt;=Burndown!$B$6),"",MAX(0,SUMIF('Backlog'!$B$6:$B$25,"S2",'Backlog'!$E$6:$E$25)*(Burndown!$C$6-H121)/(Burndown!$C$6-Burndown!$B$6)))</x:f>
      </x:c>
      <x:c r="H121" s="10" t="str">
        <x:f>IF(OR('Work Log'!$E$124&lt;&gt;"S2",'Work Log'!$A$124=""),"",'Work Log'!$A$124)</x:f>
      </x:c>
      <x:c r="I121" t="str">
        <x:f>IF(L121="","",TEXT(L121,"mm/dd/yy"))</x:f>
      </x:c>
      <x:c r="J121" s="11" t="str">
        <x:f>IF(OR(L121="",SUMIF('Backlog'!$B$6:$B$25,"S3",'Backlog'!$E$6:$E$25)=0,Burndown!$B$7="",Burndown!$C$7=""),"",MAX(0,SUMIF('Backlog'!$B$6:$B$25,"S3",'Backlog'!$E$6:$E$25)-SUMIFS('Work Log'!$D$6:$D$205,'Work Log'!$E$6:$E$205,"S3",'Work Log'!$A$6:$A$205,"&lt;="&amp;L121)))</x:f>
      </x:c>
      <x:c r="K121" s="11" t="str">
        <x:f>IF(OR(L121="",SUMIF('Backlog'!$B$6:$B$25,"S3",'Backlog'!$E$6:$E$25)=0,Burndown!$B$7="",Burndown!$C$7="",Burndown!$C$7&lt;=Burndown!$B$7),"",MAX(0,SUMIF('Backlog'!$B$6:$B$25,"S3",'Backlog'!$E$6:$E$25)*(Burndown!$C$7-L121)/(Burndown!$C$7-Burndown!$B$7)))</x:f>
      </x:c>
      <x:c r="L121" s="10" t="str">
        <x:f>IF(OR('Work Log'!$E$124&lt;&gt;"S3",'Work Log'!$A$124=""),"",'Work Log'!$A$124)</x:f>
      </x:c>
      <x:c r="M121" t="str">
        <x:f>IF(P121="","",TEXT(P121,"mm/dd/yy"))</x:f>
      </x:c>
      <x:c r="N121" s="11" t="str">
        <x:f>IF(OR(P121="",SUMIF('Backlog'!$B$6:$B$25,"S4",'Backlog'!$E$6:$E$25)=0,Burndown!$B$8="",Burndown!$C$8=""),"",MAX(0,SUMIF('Backlog'!$B$6:$B$25,"S4",'Backlog'!$E$6:$E$25)-SUMIFS('Work Log'!$D$6:$D$205,'Work Log'!$E$6:$E$205,"S4",'Work Log'!$A$6:$A$205,"&lt;="&amp;P121)))</x:f>
      </x:c>
      <x:c r="O121" s="11" t="str">
        <x:f>IF(OR(P121="",SUMIF('Backlog'!$B$6:$B$25,"S4",'Backlog'!$E$6:$E$25)=0,Burndown!$B$8="",Burndown!$C$8="",Burndown!$C$8&lt;=Burndown!$B$8),"",MAX(0,SUMIF('Backlog'!$B$6:$B$25,"S4",'Backlog'!$E$6:$E$25)*(Burndown!$C$8-P121)/(Burndown!$C$8-Burndown!$B$8)))</x:f>
      </x:c>
      <x:c r="P121" s="10" t="str">
        <x:f>IF(OR('Work Log'!$E$124&lt;&gt;"S4",'Work Log'!$A$124=""),"",'Work Log'!$A$124)</x:f>
      </x:c>
      <x:c r="Q121" t="str">
        <x:f>IF(T121="","",TEXT(T121,"mm/dd/yy"))</x:f>
      </x:c>
      <x:c r="R121" s="11" t="str">
        <x:f>IF(OR(T121="",SUMIF('Backlog'!$B$6:$B$25,"S5",'Backlog'!$E$6:$E$25)=0,Burndown!$B$9="",Burndown!$C$9=""),"",MAX(0,SUMIF('Backlog'!$B$6:$B$25,"S5",'Backlog'!$E$6:$E$25)-SUMIFS('Work Log'!$D$6:$D$205,'Work Log'!$E$6:$E$205,"S5",'Work Log'!$A$6:$A$205,"&lt;="&amp;T121)))</x:f>
      </x:c>
      <x:c r="S121" s="11" t="str">
        <x:f>IF(OR(T121="",SUMIF('Backlog'!$B$6:$B$25,"S5",'Backlog'!$E$6:$E$25)=0,Burndown!$B$9="",Burndown!$C$9="",Burndown!$C$9&lt;=Burndown!$B$9),"",MAX(0,SUMIF('Backlog'!$B$6:$B$25,"S5",'Backlog'!$E$6:$E$25)*(Burndown!$C$9-T121)/(Burndown!$C$9-Burndown!$B$9)))</x:f>
      </x:c>
      <x:c r="T121" s="10" t="str">
        <x:f>IF(OR('Work Log'!$E$124&lt;&gt;"S5",'Work Log'!$A$124=""),"",'Work Log'!$A$124)</x:f>
      </x:c>
    </x:row>
    <x:row r="122">
      <x:c r="A122" t="str">
        <x:f>IF(D122="","",TEXT(D122,"mm/dd/yy"))</x:f>
      </x:c>
      <x:c r="B122" s="11" t="str">
        <x:f>IF(OR(D122="",SUMIF('Backlog'!$B$6:$B$25,"S1",'Backlog'!$E$6:$E$25)=0,Burndown!$B$5="",Burndown!$C$5=""),"",MAX(0,SUMIF('Backlog'!$B$6:$B$25,"S1",'Backlog'!$E$6:$E$25)-SUMIFS('Work Log'!$D$6:$D$205,'Work Log'!$E$6:$E$205,"S1",'Work Log'!$A$6:$A$205,"&lt;="&amp;D122)))</x:f>
      </x:c>
      <x:c r="C122" s="11" t="str">
        <x:f>IF(OR(D122="",SUMIF('Backlog'!$B$6:$B$25,"S1",'Backlog'!$E$6:$E$25)=0,Burndown!$B$5="",Burndown!$C$5="",Burndown!$C$5&lt;=Burndown!$B$5),"",MAX(0,SUMIF('Backlog'!$B$6:$B$25,"S1",'Backlog'!$E$6:$E$25)*(Burndown!$C$5-D122)/(Burndown!$C$5-Burndown!$B$5)))</x:f>
      </x:c>
      <x:c r="D122" s="10" t="str">
        <x:f>IF(OR('Work Log'!$E$125&lt;&gt;"S1",'Work Log'!$A$125=""),"",'Work Log'!$A$125)</x:f>
      </x:c>
      <x:c r="E122" t="str">
        <x:f>IF(H122="","",TEXT(H122,"mm/dd/yy"))</x:f>
      </x:c>
      <x:c r="F122" s="11" t="str">
        <x:f>IF(OR(H122="",SUMIF('Backlog'!$B$6:$B$25,"S2",'Backlog'!$E$6:$E$25)=0,Burndown!$B$6="",Burndown!$C$6=""),"",MAX(0,SUMIF('Backlog'!$B$6:$B$25,"S2",'Backlog'!$E$6:$E$25)-SUMIFS('Work Log'!$D$6:$D$205,'Work Log'!$E$6:$E$205,"S2",'Work Log'!$A$6:$A$205,"&lt;="&amp;H122)))</x:f>
      </x:c>
      <x:c r="G122" s="11" t="str">
        <x:f>IF(OR(H122="",SUMIF('Backlog'!$B$6:$B$25,"S2",'Backlog'!$E$6:$E$25)=0,Burndown!$B$6="",Burndown!$C$6="",Burndown!$C$6&lt;=Burndown!$B$6),"",MAX(0,SUMIF('Backlog'!$B$6:$B$25,"S2",'Backlog'!$E$6:$E$25)*(Burndown!$C$6-H122)/(Burndown!$C$6-Burndown!$B$6)))</x:f>
      </x:c>
      <x:c r="H122" s="10" t="str">
        <x:f>IF(OR('Work Log'!$E$125&lt;&gt;"S2",'Work Log'!$A$125=""),"",'Work Log'!$A$125)</x:f>
      </x:c>
      <x:c r="I122" t="str">
        <x:f>IF(L122="","",TEXT(L122,"mm/dd/yy"))</x:f>
      </x:c>
      <x:c r="J122" s="11" t="str">
        <x:f>IF(OR(L122="",SUMIF('Backlog'!$B$6:$B$25,"S3",'Backlog'!$E$6:$E$25)=0,Burndown!$B$7="",Burndown!$C$7=""),"",MAX(0,SUMIF('Backlog'!$B$6:$B$25,"S3",'Backlog'!$E$6:$E$25)-SUMIFS('Work Log'!$D$6:$D$205,'Work Log'!$E$6:$E$205,"S3",'Work Log'!$A$6:$A$205,"&lt;="&amp;L122)))</x:f>
      </x:c>
      <x:c r="K122" s="11" t="str">
        <x:f>IF(OR(L122="",SUMIF('Backlog'!$B$6:$B$25,"S3",'Backlog'!$E$6:$E$25)=0,Burndown!$B$7="",Burndown!$C$7="",Burndown!$C$7&lt;=Burndown!$B$7),"",MAX(0,SUMIF('Backlog'!$B$6:$B$25,"S3",'Backlog'!$E$6:$E$25)*(Burndown!$C$7-L122)/(Burndown!$C$7-Burndown!$B$7)))</x:f>
      </x:c>
      <x:c r="L122" s="10" t="str">
        <x:f>IF(OR('Work Log'!$E$125&lt;&gt;"S3",'Work Log'!$A$125=""),"",'Work Log'!$A$125)</x:f>
      </x:c>
      <x:c r="M122" t="str">
        <x:f>IF(P122="","",TEXT(P122,"mm/dd/yy"))</x:f>
      </x:c>
      <x:c r="N122" s="11" t="str">
        <x:f>IF(OR(P122="",SUMIF('Backlog'!$B$6:$B$25,"S4",'Backlog'!$E$6:$E$25)=0,Burndown!$B$8="",Burndown!$C$8=""),"",MAX(0,SUMIF('Backlog'!$B$6:$B$25,"S4",'Backlog'!$E$6:$E$25)-SUMIFS('Work Log'!$D$6:$D$205,'Work Log'!$E$6:$E$205,"S4",'Work Log'!$A$6:$A$205,"&lt;="&amp;P122)))</x:f>
      </x:c>
      <x:c r="O122" s="11" t="str">
        <x:f>IF(OR(P122="",SUMIF('Backlog'!$B$6:$B$25,"S4",'Backlog'!$E$6:$E$25)=0,Burndown!$B$8="",Burndown!$C$8="",Burndown!$C$8&lt;=Burndown!$B$8),"",MAX(0,SUMIF('Backlog'!$B$6:$B$25,"S4",'Backlog'!$E$6:$E$25)*(Burndown!$C$8-P122)/(Burndown!$C$8-Burndown!$B$8)))</x:f>
      </x:c>
      <x:c r="P122" s="10" t="str">
        <x:f>IF(OR('Work Log'!$E$125&lt;&gt;"S4",'Work Log'!$A$125=""),"",'Work Log'!$A$125)</x:f>
      </x:c>
      <x:c r="Q122" t="str">
        <x:f>IF(T122="","",TEXT(T122,"mm/dd/yy"))</x:f>
      </x:c>
      <x:c r="R122" s="11" t="str">
        <x:f>IF(OR(T122="",SUMIF('Backlog'!$B$6:$B$25,"S5",'Backlog'!$E$6:$E$25)=0,Burndown!$B$9="",Burndown!$C$9=""),"",MAX(0,SUMIF('Backlog'!$B$6:$B$25,"S5",'Backlog'!$E$6:$E$25)-SUMIFS('Work Log'!$D$6:$D$205,'Work Log'!$E$6:$E$205,"S5",'Work Log'!$A$6:$A$205,"&lt;="&amp;T122)))</x:f>
      </x:c>
      <x:c r="S122" s="11" t="str">
        <x:f>IF(OR(T122="",SUMIF('Backlog'!$B$6:$B$25,"S5",'Backlog'!$E$6:$E$25)=0,Burndown!$B$9="",Burndown!$C$9="",Burndown!$C$9&lt;=Burndown!$B$9),"",MAX(0,SUMIF('Backlog'!$B$6:$B$25,"S5",'Backlog'!$E$6:$E$25)*(Burndown!$C$9-T122)/(Burndown!$C$9-Burndown!$B$9)))</x:f>
      </x:c>
      <x:c r="T122" s="10" t="str">
        <x:f>IF(OR('Work Log'!$E$125&lt;&gt;"S5",'Work Log'!$A$125=""),"",'Work Log'!$A$125)</x:f>
      </x:c>
    </x:row>
    <x:row r="123">
      <x:c r="A123" t="str">
        <x:f>IF(D123="","",TEXT(D123,"mm/dd/yy"))</x:f>
      </x:c>
      <x:c r="B123" s="11" t="str">
        <x:f>IF(OR(D123="",SUMIF('Backlog'!$B$6:$B$25,"S1",'Backlog'!$E$6:$E$25)=0,Burndown!$B$5="",Burndown!$C$5=""),"",MAX(0,SUMIF('Backlog'!$B$6:$B$25,"S1",'Backlog'!$E$6:$E$25)-SUMIFS('Work Log'!$D$6:$D$205,'Work Log'!$E$6:$E$205,"S1",'Work Log'!$A$6:$A$205,"&lt;="&amp;D123)))</x:f>
      </x:c>
      <x:c r="C123" s="11" t="str">
        <x:f>IF(OR(D123="",SUMIF('Backlog'!$B$6:$B$25,"S1",'Backlog'!$E$6:$E$25)=0,Burndown!$B$5="",Burndown!$C$5="",Burndown!$C$5&lt;=Burndown!$B$5),"",MAX(0,SUMIF('Backlog'!$B$6:$B$25,"S1",'Backlog'!$E$6:$E$25)*(Burndown!$C$5-D123)/(Burndown!$C$5-Burndown!$B$5)))</x:f>
      </x:c>
      <x:c r="D123" s="10" t="str">
        <x:f>IF(OR('Work Log'!$E$126&lt;&gt;"S1",'Work Log'!$A$126=""),"",'Work Log'!$A$126)</x:f>
      </x:c>
      <x:c r="E123" t="str">
        <x:f>IF(H123="","",TEXT(H123,"mm/dd/yy"))</x:f>
      </x:c>
      <x:c r="F123" s="11" t="str">
        <x:f>IF(OR(H123="",SUMIF('Backlog'!$B$6:$B$25,"S2",'Backlog'!$E$6:$E$25)=0,Burndown!$B$6="",Burndown!$C$6=""),"",MAX(0,SUMIF('Backlog'!$B$6:$B$25,"S2",'Backlog'!$E$6:$E$25)-SUMIFS('Work Log'!$D$6:$D$205,'Work Log'!$E$6:$E$205,"S2",'Work Log'!$A$6:$A$205,"&lt;="&amp;H123)))</x:f>
      </x:c>
      <x:c r="G123" s="11" t="str">
        <x:f>IF(OR(H123="",SUMIF('Backlog'!$B$6:$B$25,"S2",'Backlog'!$E$6:$E$25)=0,Burndown!$B$6="",Burndown!$C$6="",Burndown!$C$6&lt;=Burndown!$B$6),"",MAX(0,SUMIF('Backlog'!$B$6:$B$25,"S2",'Backlog'!$E$6:$E$25)*(Burndown!$C$6-H123)/(Burndown!$C$6-Burndown!$B$6)))</x:f>
      </x:c>
      <x:c r="H123" s="10" t="str">
        <x:f>IF(OR('Work Log'!$E$126&lt;&gt;"S2",'Work Log'!$A$126=""),"",'Work Log'!$A$126)</x:f>
      </x:c>
      <x:c r="I123" t="str">
        <x:f>IF(L123="","",TEXT(L123,"mm/dd/yy"))</x:f>
      </x:c>
      <x:c r="J123" s="11" t="str">
        <x:f>IF(OR(L123="",SUMIF('Backlog'!$B$6:$B$25,"S3",'Backlog'!$E$6:$E$25)=0,Burndown!$B$7="",Burndown!$C$7=""),"",MAX(0,SUMIF('Backlog'!$B$6:$B$25,"S3",'Backlog'!$E$6:$E$25)-SUMIFS('Work Log'!$D$6:$D$205,'Work Log'!$E$6:$E$205,"S3",'Work Log'!$A$6:$A$205,"&lt;="&amp;L123)))</x:f>
      </x:c>
      <x:c r="K123" s="11" t="str">
        <x:f>IF(OR(L123="",SUMIF('Backlog'!$B$6:$B$25,"S3",'Backlog'!$E$6:$E$25)=0,Burndown!$B$7="",Burndown!$C$7="",Burndown!$C$7&lt;=Burndown!$B$7),"",MAX(0,SUMIF('Backlog'!$B$6:$B$25,"S3",'Backlog'!$E$6:$E$25)*(Burndown!$C$7-L123)/(Burndown!$C$7-Burndown!$B$7)))</x:f>
      </x:c>
      <x:c r="L123" s="10" t="str">
        <x:f>IF(OR('Work Log'!$E$126&lt;&gt;"S3",'Work Log'!$A$126=""),"",'Work Log'!$A$126)</x:f>
      </x:c>
      <x:c r="M123" t="str">
        <x:f>IF(P123="","",TEXT(P123,"mm/dd/yy"))</x:f>
      </x:c>
      <x:c r="N123" s="11" t="str">
        <x:f>IF(OR(P123="",SUMIF('Backlog'!$B$6:$B$25,"S4",'Backlog'!$E$6:$E$25)=0,Burndown!$B$8="",Burndown!$C$8=""),"",MAX(0,SUMIF('Backlog'!$B$6:$B$25,"S4",'Backlog'!$E$6:$E$25)-SUMIFS('Work Log'!$D$6:$D$205,'Work Log'!$E$6:$E$205,"S4",'Work Log'!$A$6:$A$205,"&lt;="&amp;P123)))</x:f>
      </x:c>
      <x:c r="O123" s="11" t="str">
        <x:f>IF(OR(P123="",SUMIF('Backlog'!$B$6:$B$25,"S4",'Backlog'!$E$6:$E$25)=0,Burndown!$B$8="",Burndown!$C$8="",Burndown!$C$8&lt;=Burndown!$B$8),"",MAX(0,SUMIF('Backlog'!$B$6:$B$25,"S4",'Backlog'!$E$6:$E$25)*(Burndown!$C$8-P123)/(Burndown!$C$8-Burndown!$B$8)))</x:f>
      </x:c>
      <x:c r="P123" s="10" t="str">
        <x:f>IF(OR('Work Log'!$E$126&lt;&gt;"S4",'Work Log'!$A$126=""),"",'Work Log'!$A$126)</x:f>
      </x:c>
      <x:c r="Q123" t="str">
        <x:f>IF(T123="","",TEXT(T123,"mm/dd/yy"))</x:f>
      </x:c>
      <x:c r="R123" s="11" t="str">
        <x:f>IF(OR(T123="",SUMIF('Backlog'!$B$6:$B$25,"S5",'Backlog'!$E$6:$E$25)=0,Burndown!$B$9="",Burndown!$C$9=""),"",MAX(0,SUMIF('Backlog'!$B$6:$B$25,"S5",'Backlog'!$E$6:$E$25)-SUMIFS('Work Log'!$D$6:$D$205,'Work Log'!$E$6:$E$205,"S5",'Work Log'!$A$6:$A$205,"&lt;="&amp;T123)))</x:f>
      </x:c>
      <x:c r="S123" s="11" t="str">
        <x:f>IF(OR(T123="",SUMIF('Backlog'!$B$6:$B$25,"S5",'Backlog'!$E$6:$E$25)=0,Burndown!$B$9="",Burndown!$C$9="",Burndown!$C$9&lt;=Burndown!$B$9),"",MAX(0,SUMIF('Backlog'!$B$6:$B$25,"S5",'Backlog'!$E$6:$E$25)*(Burndown!$C$9-T123)/(Burndown!$C$9-Burndown!$B$9)))</x:f>
      </x:c>
      <x:c r="T123" s="10" t="str">
        <x:f>IF(OR('Work Log'!$E$126&lt;&gt;"S5",'Work Log'!$A$126=""),"",'Work Log'!$A$126)</x:f>
      </x:c>
    </x:row>
    <x:row r="124">
      <x:c r="A124" t="str">
        <x:f>IF(D124="","",TEXT(D124,"mm/dd/yy"))</x:f>
      </x:c>
      <x:c r="B124" s="11" t="str">
        <x:f>IF(OR(D124="",SUMIF('Backlog'!$B$6:$B$25,"S1",'Backlog'!$E$6:$E$25)=0,Burndown!$B$5="",Burndown!$C$5=""),"",MAX(0,SUMIF('Backlog'!$B$6:$B$25,"S1",'Backlog'!$E$6:$E$25)-SUMIFS('Work Log'!$D$6:$D$205,'Work Log'!$E$6:$E$205,"S1",'Work Log'!$A$6:$A$205,"&lt;="&amp;D124)))</x:f>
      </x:c>
      <x:c r="C124" s="11" t="str">
        <x:f>IF(OR(D124="",SUMIF('Backlog'!$B$6:$B$25,"S1",'Backlog'!$E$6:$E$25)=0,Burndown!$B$5="",Burndown!$C$5="",Burndown!$C$5&lt;=Burndown!$B$5),"",MAX(0,SUMIF('Backlog'!$B$6:$B$25,"S1",'Backlog'!$E$6:$E$25)*(Burndown!$C$5-D124)/(Burndown!$C$5-Burndown!$B$5)))</x:f>
      </x:c>
      <x:c r="D124" s="10" t="str">
        <x:f>IF(OR('Work Log'!$E$127&lt;&gt;"S1",'Work Log'!$A$127=""),"",'Work Log'!$A$127)</x:f>
      </x:c>
      <x:c r="E124" t="str">
        <x:f>IF(H124="","",TEXT(H124,"mm/dd/yy"))</x:f>
      </x:c>
      <x:c r="F124" s="11" t="str">
        <x:f>IF(OR(H124="",SUMIF('Backlog'!$B$6:$B$25,"S2",'Backlog'!$E$6:$E$25)=0,Burndown!$B$6="",Burndown!$C$6=""),"",MAX(0,SUMIF('Backlog'!$B$6:$B$25,"S2",'Backlog'!$E$6:$E$25)-SUMIFS('Work Log'!$D$6:$D$205,'Work Log'!$E$6:$E$205,"S2",'Work Log'!$A$6:$A$205,"&lt;="&amp;H124)))</x:f>
      </x:c>
      <x:c r="G124" s="11" t="str">
        <x:f>IF(OR(H124="",SUMIF('Backlog'!$B$6:$B$25,"S2",'Backlog'!$E$6:$E$25)=0,Burndown!$B$6="",Burndown!$C$6="",Burndown!$C$6&lt;=Burndown!$B$6),"",MAX(0,SUMIF('Backlog'!$B$6:$B$25,"S2",'Backlog'!$E$6:$E$25)*(Burndown!$C$6-H124)/(Burndown!$C$6-Burndown!$B$6)))</x:f>
      </x:c>
      <x:c r="H124" s="10" t="str">
        <x:f>IF(OR('Work Log'!$E$127&lt;&gt;"S2",'Work Log'!$A$127=""),"",'Work Log'!$A$127)</x:f>
      </x:c>
      <x:c r="I124" t="str">
        <x:f>IF(L124="","",TEXT(L124,"mm/dd/yy"))</x:f>
      </x:c>
      <x:c r="J124" s="11" t="str">
        <x:f>IF(OR(L124="",SUMIF('Backlog'!$B$6:$B$25,"S3",'Backlog'!$E$6:$E$25)=0,Burndown!$B$7="",Burndown!$C$7=""),"",MAX(0,SUMIF('Backlog'!$B$6:$B$25,"S3",'Backlog'!$E$6:$E$25)-SUMIFS('Work Log'!$D$6:$D$205,'Work Log'!$E$6:$E$205,"S3",'Work Log'!$A$6:$A$205,"&lt;="&amp;L124)))</x:f>
      </x:c>
      <x:c r="K124" s="11" t="str">
        <x:f>IF(OR(L124="",SUMIF('Backlog'!$B$6:$B$25,"S3",'Backlog'!$E$6:$E$25)=0,Burndown!$B$7="",Burndown!$C$7="",Burndown!$C$7&lt;=Burndown!$B$7),"",MAX(0,SUMIF('Backlog'!$B$6:$B$25,"S3",'Backlog'!$E$6:$E$25)*(Burndown!$C$7-L124)/(Burndown!$C$7-Burndown!$B$7)))</x:f>
      </x:c>
      <x:c r="L124" s="10" t="str">
        <x:f>IF(OR('Work Log'!$E$127&lt;&gt;"S3",'Work Log'!$A$127=""),"",'Work Log'!$A$127)</x:f>
      </x:c>
      <x:c r="M124" t="str">
        <x:f>IF(P124="","",TEXT(P124,"mm/dd/yy"))</x:f>
      </x:c>
      <x:c r="N124" s="11" t="str">
        <x:f>IF(OR(P124="",SUMIF('Backlog'!$B$6:$B$25,"S4",'Backlog'!$E$6:$E$25)=0,Burndown!$B$8="",Burndown!$C$8=""),"",MAX(0,SUMIF('Backlog'!$B$6:$B$25,"S4",'Backlog'!$E$6:$E$25)-SUMIFS('Work Log'!$D$6:$D$205,'Work Log'!$E$6:$E$205,"S4",'Work Log'!$A$6:$A$205,"&lt;="&amp;P124)))</x:f>
      </x:c>
      <x:c r="O124" s="11" t="str">
        <x:f>IF(OR(P124="",SUMIF('Backlog'!$B$6:$B$25,"S4",'Backlog'!$E$6:$E$25)=0,Burndown!$B$8="",Burndown!$C$8="",Burndown!$C$8&lt;=Burndown!$B$8),"",MAX(0,SUMIF('Backlog'!$B$6:$B$25,"S4",'Backlog'!$E$6:$E$25)*(Burndown!$C$8-P124)/(Burndown!$C$8-Burndown!$B$8)))</x:f>
      </x:c>
      <x:c r="P124" s="10" t="str">
        <x:f>IF(OR('Work Log'!$E$127&lt;&gt;"S4",'Work Log'!$A$127=""),"",'Work Log'!$A$127)</x:f>
      </x:c>
      <x:c r="Q124" t="str">
        <x:f>IF(T124="","",TEXT(T124,"mm/dd/yy"))</x:f>
      </x:c>
      <x:c r="R124" s="11" t="str">
        <x:f>IF(OR(T124="",SUMIF('Backlog'!$B$6:$B$25,"S5",'Backlog'!$E$6:$E$25)=0,Burndown!$B$9="",Burndown!$C$9=""),"",MAX(0,SUMIF('Backlog'!$B$6:$B$25,"S5",'Backlog'!$E$6:$E$25)-SUMIFS('Work Log'!$D$6:$D$205,'Work Log'!$E$6:$E$205,"S5",'Work Log'!$A$6:$A$205,"&lt;="&amp;T124)))</x:f>
      </x:c>
      <x:c r="S124" s="11" t="str">
        <x:f>IF(OR(T124="",SUMIF('Backlog'!$B$6:$B$25,"S5",'Backlog'!$E$6:$E$25)=0,Burndown!$B$9="",Burndown!$C$9="",Burndown!$C$9&lt;=Burndown!$B$9),"",MAX(0,SUMIF('Backlog'!$B$6:$B$25,"S5",'Backlog'!$E$6:$E$25)*(Burndown!$C$9-T124)/(Burndown!$C$9-Burndown!$B$9)))</x:f>
      </x:c>
      <x:c r="T124" s="10" t="str">
        <x:f>IF(OR('Work Log'!$E$127&lt;&gt;"S5",'Work Log'!$A$127=""),"",'Work Log'!$A$127)</x:f>
      </x:c>
    </x:row>
    <x:row r="125">
      <x:c r="A125" t="str">
        <x:f>IF(D125="","",TEXT(D125,"mm/dd/yy"))</x:f>
      </x:c>
      <x:c r="B125" s="11" t="str">
        <x:f>IF(OR(D125="",SUMIF('Backlog'!$B$6:$B$25,"S1",'Backlog'!$E$6:$E$25)=0,Burndown!$B$5="",Burndown!$C$5=""),"",MAX(0,SUMIF('Backlog'!$B$6:$B$25,"S1",'Backlog'!$E$6:$E$25)-SUMIFS('Work Log'!$D$6:$D$205,'Work Log'!$E$6:$E$205,"S1",'Work Log'!$A$6:$A$205,"&lt;="&amp;D125)))</x:f>
      </x:c>
      <x:c r="C125" s="11" t="str">
        <x:f>IF(OR(D125="",SUMIF('Backlog'!$B$6:$B$25,"S1",'Backlog'!$E$6:$E$25)=0,Burndown!$B$5="",Burndown!$C$5="",Burndown!$C$5&lt;=Burndown!$B$5),"",MAX(0,SUMIF('Backlog'!$B$6:$B$25,"S1",'Backlog'!$E$6:$E$25)*(Burndown!$C$5-D125)/(Burndown!$C$5-Burndown!$B$5)))</x:f>
      </x:c>
      <x:c r="D125" s="10" t="str">
        <x:f>IF(OR('Work Log'!$E$128&lt;&gt;"S1",'Work Log'!$A$128=""),"",'Work Log'!$A$128)</x:f>
      </x:c>
      <x:c r="E125" t="str">
        <x:f>IF(H125="","",TEXT(H125,"mm/dd/yy"))</x:f>
      </x:c>
      <x:c r="F125" s="11" t="str">
        <x:f>IF(OR(H125="",SUMIF('Backlog'!$B$6:$B$25,"S2",'Backlog'!$E$6:$E$25)=0,Burndown!$B$6="",Burndown!$C$6=""),"",MAX(0,SUMIF('Backlog'!$B$6:$B$25,"S2",'Backlog'!$E$6:$E$25)-SUMIFS('Work Log'!$D$6:$D$205,'Work Log'!$E$6:$E$205,"S2",'Work Log'!$A$6:$A$205,"&lt;="&amp;H125)))</x:f>
      </x:c>
      <x:c r="G125" s="11" t="str">
        <x:f>IF(OR(H125="",SUMIF('Backlog'!$B$6:$B$25,"S2",'Backlog'!$E$6:$E$25)=0,Burndown!$B$6="",Burndown!$C$6="",Burndown!$C$6&lt;=Burndown!$B$6),"",MAX(0,SUMIF('Backlog'!$B$6:$B$25,"S2",'Backlog'!$E$6:$E$25)*(Burndown!$C$6-H125)/(Burndown!$C$6-Burndown!$B$6)))</x:f>
      </x:c>
      <x:c r="H125" s="10" t="str">
        <x:f>IF(OR('Work Log'!$E$128&lt;&gt;"S2",'Work Log'!$A$128=""),"",'Work Log'!$A$128)</x:f>
      </x:c>
      <x:c r="I125" t="str">
        <x:f>IF(L125="","",TEXT(L125,"mm/dd/yy"))</x:f>
      </x:c>
      <x:c r="J125" s="11" t="str">
        <x:f>IF(OR(L125="",SUMIF('Backlog'!$B$6:$B$25,"S3",'Backlog'!$E$6:$E$25)=0,Burndown!$B$7="",Burndown!$C$7=""),"",MAX(0,SUMIF('Backlog'!$B$6:$B$25,"S3",'Backlog'!$E$6:$E$25)-SUMIFS('Work Log'!$D$6:$D$205,'Work Log'!$E$6:$E$205,"S3",'Work Log'!$A$6:$A$205,"&lt;="&amp;L125)))</x:f>
      </x:c>
      <x:c r="K125" s="11" t="str">
        <x:f>IF(OR(L125="",SUMIF('Backlog'!$B$6:$B$25,"S3",'Backlog'!$E$6:$E$25)=0,Burndown!$B$7="",Burndown!$C$7="",Burndown!$C$7&lt;=Burndown!$B$7),"",MAX(0,SUMIF('Backlog'!$B$6:$B$25,"S3",'Backlog'!$E$6:$E$25)*(Burndown!$C$7-L125)/(Burndown!$C$7-Burndown!$B$7)))</x:f>
      </x:c>
      <x:c r="L125" s="10" t="str">
        <x:f>IF(OR('Work Log'!$E$128&lt;&gt;"S3",'Work Log'!$A$128=""),"",'Work Log'!$A$128)</x:f>
      </x:c>
      <x:c r="M125" t="str">
        <x:f>IF(P125="","",TEXT(P125,"mm/dd/yy"))</x:f>
      </x:c>
      <x:c r="N125" s="11" t="str">
        <x:f>IF(OR(P125="",SUMIF('Backlog'!$B$6:$B$25,"S4",'Backlog'!$E$6:$E$25)=0,Burndown!$B$8="",Burndown!$C$8=""),"",MAX(0,SUMIF('Backlog'!$B$6:$B$25,"S4",'Backlog'!$E$6:$E$25)-SUMIFS('Work Log'!$D$6:$D$205,'Work Log'!$E$6:$E$205,"S4",'Work Log'!$A$6:$A$205,"&lt;="&amp;P125)))</x:f>
      </x:c>
      <x:c r="O125" s="11" t="str">
        <x:f>IF(OR(P125="",SUMIF('Backlog'!$B$6:$B$25,"S4",'Backlog'!$E$6:$E$25)=0,Burndown!$B$8="",Burndown!$C$8="",Burndown!$C$8&lt;=Burndown!$B$8),"",MAX(0,SUMIF('Backlog'!$B$6:$B$25,"S4",'Backlog'!$E$6:$E$25)*(Burndown!$C$8-P125)/(Burndown!$C$8-Burndown!$B$8)))</x:f>
      </x:c>
      <x:c r="P125" s="10" t="str">
        <x:f>IF(OR('Work Log'!$E$128&lt;&gt;"S4",'Work Log'!$A$128=""),"",'Work Log'!$A$128)</x:f>
      </x:c>
      <x:c r="Q125" t="str">
        <x:f>IF(T125="","",TEXT(T125,"mm/dd/yy"))</x:f>
      </x:c>
      <x:c r="R125" s="11" t="str">
        <x:f>IF(OR(T125="",SUMIF('Backlog'!$B$6:$B$25,"S5",'Backlog'!$E$6:$E$25)=0,Burndown!$B$9="",Burndown!$C$9=""),"",MAX(0,SUMIF('Backlog'!$B$6:$B$25,"S5",'Backlog'!$E$6:$E$25)-SUMIFS('Work Log'!$D$6:$D$205,'Work Log'!$E$6:$E$205,"S5",'Work Log'!$A$6:$A$205,"&lt;="&amp;T125)))</x:f>
      </x:c>
      <x:c r="S125" s="11" t="str">
        <x:f>IF(OR(T125="",SUMIF('Backlog'!$B$6:$B$25,"S5",'Backlog'!$E$6:$E$25)=0,Burndown!$B$9="",Burndown!$C$9="",Burndown!$C$9&lt;=Burndown!$B$9),"",MAX(0,SUMIF('Backlog'!$B$6:$B$25,"S5",'Backlog'!$E$6:$E$25)*(Burndown!$C$9-T125)/(Burndown!$C$9-Burndown!$B$9)))</x:f>
      </x:c>
      <x:c r="T125" s="10" t="str">
        <x:f>IF(OR('Work Log'!$E$128&lt;&gt;"S5",'Work Log'!$A$128=""),"",'Work Log'!$A$128)</x:f>
      </x:c>
    </x:row>
    <x:row r="126">
      <x:c r="A126" t="str">
        <x:f>IF(D126="","",TEXT(D126,"mm/dd/yy"))</x:f>
      </x:c>
      <x:c r="B126" s="11" t="str">
        <x:f>IF(OR(D126="",SUMIF('Backlog'!$B$6:$B$25,"S1",'Backlog'!$E$6:$E$25)=0,Burndown!$B$5="",Burndown!$C$5=""),"",MAX(0,SUMIF('Backlog'!$B$6:$B$25,"S1",'Backlog'!$E$6:$E$25)-SUMIFS('Work Log'!$D$6:$D$205,'Work Log'!$E$6:$E$205,"S1",'Work Log'!$A$6:$A$205,"&lt;="&amp;D126)))</x:f>
      </x:c>
      <x:c r="C126" s="11" t="str">
        <x:f>IF(OR(D126="",SUMIF('Backlog'!$B$6:$B$25,"S1",'Backlog'!$E$6:$E$25)=0,Burndown!$B$5="",Burndown!$C$5="",Burndown!$C$5&lt;=Burndown!$B$5),"",MAX(0,SUMIF('Backlog'!$B$6:$B$25,"S1",'Backlog'!$E$6:$E$25)*(Burndown!$C$5-D126)/(Burndown!$C$5-Burndown!$B$5)))</x:f>
      </x:c>
      <x:c r="D126" s="10" t="str">
        <x:f>IF(OR('Work Log'!$E$129&lt;&gt;"S1",'Work Log'!$A$129=""),"",'Work Log'!$A$129)</x:f>
      </x:c>
      <x:c r="E126" t="str">
        <x:f>IF(H126="","",TEXT(H126,"mm/dd/yy"))</x:f>
      </x:c>
      <x:c r="F126" s="11" t="str">
        <x:f>IF(OR(H126="",SUMIF('Backlog'!$B$6:$B$25,"S2",'Backlog'!$E$6:$E$25)=0,Burndown!$B$6="",Burndown!$C$6=""),"",MAX(0,SUMIF('Backlog'!$B$6:$B$25,"S2",'Backlog'!$E$6:$E$25)-SUMIFS('Work Log'!$D$6:$D$205,'Work Log'!$E$6:$E$205,"S2",'Work Log'!$A$6:$A$205,"&lt;="&amp;H126)))</x:f>
      </x:c>
      <x:c r="G126" s="11" t="str">
        <x:f>IF(OR(H126="",SUMIF('Backlog'!$B$6:$B$25,"S2",'Backlog'!$E$6:$E$25)=0,Burndown!$B$6="",Burndown!$C$6="",Burndown!$C$6&lt;=Burndown!$B$6),"",MAX(0,SUMIF('Backlog'!$B$6:$B$25,"S2",'Backlog'!$E$6:$E$25)*(Burndown!$C$6-H126)/(Burndown!$C$6-Burndown!$B$6)))</x:f>
      </x:c>
      <x:c r="H126" s="10" t="str">
        <x:f>IF(OR('Work Log'!$E$129&lt;&gt;"S2",'Work Log'!$A$129=""),"",'Work Log'!$A$129)</x:f>
      </x:c>
      <x:c r="I126" t="str">
        <x:f>IF(L126="","",TEXT(L126,"mm/dd/yy"))</x:f>
      </x:c>
      <x:c r="J126" s="11" t="str">
        <x:f>IF(OR(L126="",SUMIF('Backlog'!$B$6:$B$25,"S3",'Backlog'!$E$6:$E$25)=0,Burndown!$B$7="",Burndown!$C$7=""),"",MAX(0,SUMIF('Backlog'!$B$6:$B$25,"S3",'Backlog'!$E$6:$E$25)-SUMIFS('Work Log'!$D$6:$D$205,'Work Log'!$E$6:$E$205,"S3",'Work Log'!$A$6:$A$205,"&lt;="&amp;L126)))</x:f>
      </x:c>
      <x:c r="K126" s="11" t="str">
        <x:f>IF(OR(L126="",SUMIF('Backlog'!$B$6:$B$25,"S3",'Backlog'!$E$6:$E$25)=0,Burndown!$B$7="",Burndown!$C$7="",Burndown!$C$7&lt;=Burndown!$B$7),"",MAX(0,SUMIF('Backlog'!$B$6:$B$25,"S3",'Backlog'!$E$6:$E$25)*(Burndown!$C$7-L126)/(Burndown!$C$7-Burndown!$B$7)))</x:f>
      </x:c>
      <x:c r="L126" s="10" t="str">
        <x:f>IF(OR('Work Log'!$E$129&lt;&gt;"S3",'Work Log'!$A$129=""),"",'Work Log'!$A$129)</x:f>
      </x:c>
      <x:c r="M126" t="str">
        <x:f>IF(P126="","",TEXT(P126,"mm/dd/yy"))</x:f>
      </x:c>
      <x:c r="N126" s="11" t="str">
        <x:f>IF(OR(P126="",SUMIF('Backlog'!$B$6:$B$25,"S4",'Backlog'!$E$6:$E$25)=0,Burndown!$B$8="",Burndown!$C$8=""),"",MAX(0,SUMIF('Backlog'!$B$6:$B$25,"S4",'Backlog'!$E$6:$E$25)-SUMIFS('Work Log'!$D$6:$D$205,'Work Log'!$E$6:$E$205,"S4",'Work Log'!$A$6:$A$205,"&lt;="&amp;P126)))</x:f>
      </x:c>
      <x:c r="O126" s="11" t="str">
        <x:f>IF(OR(P126="",SUMIF('Backlog'!$B$6:$B$25,"S4",'Backlog'!$E$6:$E$25)=0,Burndown!$B$8="",Burndown!$C$8="",Burndown!$C$8&lt;=Burndown!$B$8),"",MAX(0,SUMIF('Backlog'!$B$6:$B$25,"S4",'Backlog'!$E$6:$E$25)*(Burndown!$C$8-P126)/(Burndown!$C$8-Burndown!$B$8)))</x:f>
      </x:c>
      <x:c r="P126" s="10" t="str">
        <x:f>IF(OR('Work Log'!$E$129&lt;&gt;"S4",'Work Log'!$A$129=""),"",'Work Log'!$A$129)</x:f>
      </x:c>
      <x:c r="Q126" t="str">
        <x:f>IF(T126="","",TEXT(T126,"mm/dd/yy"))</x:f>
      </x:c>
      <x:c r="R126" s="11" t="str">
        <x:f>IF(OR(T126="",SUMIF('Backlog'!$B$6:$B$25,"S5",'Backlog'!$E$6:$E$25)=0,Burndown!$B$9="",Burndown!$C$9=""),"",MAX(0,SUMIF('Backlog'!$B$6:$B$25,"S5",'Backlog'!$E$6:$E$25)-SUMIFS('Work Log'!$D$6:$D$205,'Work Log'!$E$6:$E$205,"S5",'Work Log'!$A$6:$A$205,"&lt;="&amp;T126)))</x:f>
      </x:c>
      <x:c r="S126" s="11" t="str">
        <x:f>IF(OR(T126="",SUMIF('Backlog'!$B$6:$B$25,"S5",'Backlog'!$E$6:$E$25)=0,Burndown!$B$9="",Burndown!$C$9="",Burndown!$C$9&lt;=Burndown!$B$9),"",MAX(0,SUMIF('Backlog'!$B$6:$B$25,"S5",'Backlog'!$E$6:$E$25)*(Burndown!$C$9-T126)/(Burndown!$C$9-Burndown!$B$9)))</x:f>
      </x:c>
      <x:c r="T126" s="10" t="str">
        <x:f>IF(OR('Work Log'!$E$129&lt;&gt;"S5",'Work Log'!$A$129=""),"",'Work Log'!$A$129)</x:f>
      </x:c>
    </x:row>
    <x:row r="127">
      <x:c r="A127" t="str">
        <x:f>IF(D127="","",TEXT(D127,"mm/dd/yy"))</x:f>
      </x:c>
      <x:c r="B127" s="11" t="str">
        <x:f>IF(OR(D127="",SUMIF('Backlog'!$B$6:$B$25,"S1",'Backlog'!$E$6:$E$25)=0,Burndown!$B$5="",Burndown!$C$5=""),"",MAX(0,SUMIF('Backlog'!$B$6:$B$25,"S1",'Backlog'!$E$6:$E$25)-SUMIFS('Work Log'!$D$6:$D$205,'Work Log'!$E$6:$E$205,"S1",'Work Log'!$A$6:$A$205,"&lt;="&amp;D127)))</x:f>
      </x:c>
      <x:c r="C127" s="11" t="str">
        <x:f>IF(OR(D127="",SUMIF('Backlog'!$B$6:$B$25,"S1",'Backlog'!$E$6:$E$25)=0,Burndown!$B$5="",Burndown!$C$5="",Burndown!$C$5&lt;=Burndown!$B$5),"",MAX(0,SUMIF('Backlog'!$B$6:$B$25,"S1",'Backlog'!$E$6:$E$25)*(Burndown!$C$5-D127)/(Burndown!$C$5-Burndown!$B$5)))</x:f>
      </x:c>
      <x:c r="D127" s="10" t="str">
        <x:f>IF(OR('Work Log'!$E$130&lt;&gt;"S1",'Work Log'!$A$130=""),"",'Work Log'!$A$130)</x:f>
      </x:c>
      <x:c r="E127" t="str">
        <x:f>IF(H127="","",TEXT(H127,"mm/dd/yy"))</x:f>
      </x:c>
      <x:c r="F127" s="11" t="str">
        <x:f>IF(OR(H127="",SUMIF('Backlog'!$B$6:$B$25,"S2",'Backlog'!$E$6:$E$25)=0,Burndown!$B$6="",Burndown!$C$6=""),"",MAX(0,SUMIF('Backlog'!$B$6:$B$25,"S2",'Backlog'!$E$6:$E$25)-SUMIFS('Work Log'!$D$6:$D$205,'Work Log'!$E$6:$E$205,"S2",'Work Log'!$A$6:$A$205,"&lt;="&amp;H127)))</x:f>
      </x:c>
      <x:c r="G127" s="11" t="str">
        <x:f>IF(OR(H127="",SUMIF('Backlog'!$B$6:$B$25,"S2",'Backlog'!$E$6:$E$25)=0,Burndown!$B$6="",Burndown!$C$6="",Burndown!$C$6&lt;=Burndown!$B$6),"",MAX(0,SUMIF('Backlog'!$B$6:$B$25,"S2",'Backlog'!$E$6:$E$25)*(Burndown!$C$6-H127)/(Burndown!$C$6-Burndown!$B$6)))</x:f>
      </x:c>
      <x:c r="H127" s="10" t="str">
        <x:f>IF(OR('Work Log'!$E$130&lt;&gt;"S2",'Work Log'!$A$130=""),"",'Work Log'!$A$130)</x:f>
      </x:c>
      <x:c r="I127" t="str">
        <x:f>IF(L127="","",TEXT(L127,"mm/dd/yy"))</x:f>
      </x:c>
      <x:c r="J127" s="11" t="str">
        <x:f>IF(OR(L127="",SUMIF('Backlog'!$B$6:$B$25,"S3",'Backlog'!$E$6:$E$25)=0,Burndown!$B$7="",Burndown!$C$7=""),"",MAX(0,SUMIF('Backlog'!$B$6:$B$25,"S3",'Backlog'!$E$6:$E$25)-SUMIFS('Work Log'!$D$6:$D$205,'Work Log'!$E$6:$E$205,"S3",'Work Log'!$A$6:$A$205,"&lt;="&amp;L127)))</x:f>
      </x:c>
      <x:c r="K127" s="11" t="str">
        <x:f>IF(OR(L127="",SUMIF('Backlog'!$B$6:$B$25,"S3",'Backlog'!$E$6:$E$25)=0,Burndown!$B$7="",Burndown!$C$7="",Burndown!$C$7&lt;=Burndown!$B$7),"",MAX(0,SUMIF('Backlog'!$B$6:$B$25,"S3",'Backlog'!$E$6:$E$25)*(Burndown!$C$7-L127)/(Burndown!$C$7-Burndown!$B$7)))</x:f>
      </x:c>
      <x:c r="L127" s="10" t="str">
        <x:f>IF(OR('Work Log'!$E$130&lt;&gt;"S3",'Work Log'!$A$130=""),"",'Work Log'!$A$130)</x:f>
      </x:c>
      <x:c r="M127" t="str">
        <x:f>IF(P127="","",TEXT(P127,"mm/dd/yy"))</x:f>
      </x:c>
      <x:c r="N127" s="11" t="str">
        <x:f>IF(OR(P127="",SUMIF('Backlog'!$B$6:$B$25,"S4",'Backlog'!$E$6:$E$25)=0,Burndown!$B$8="",Burndown!$C$8=""),"",MAX(0,SUMIF('Backlog'!$B$6:$B$25,"S4",'Backlog'!$E$6:$E$25)-SUMIFS('Work Log'!$D$6:$D$205,'Work Log'!$E$6:$E$205,"S4",'Work Log'!$A$6:$A$205,"&lt;="&amp;P127)))</x:f>
      </x:c>
      <x:c r="O127" s="11" t="str">
        <x:f>IF(OR(P127="",SUMIF('Backlog'!$B$6:$B$25,"S4",'Backlog'!$E$6:$E$25)=0,Burndown!$B$8="",Burndown!$C$8="",Burndown!$C$8&lt;=Burndown!$B$8),"",MAX(0,SUMIF('Backlog'!$B$6:$B$25,"S4",'Backlog'!$E$6:$E$25)*(Burndown!$C$8-P127)/(Burndown!$C$8-Burndown!$B$8)))</x:f>
      </x:c>
      <x:c r="P127" s="10" t="str">
        <x:f>IF(OR('Work Log'!$E$130&lt;&gt;"S4",'Work Log'!$A$130=""),"",'Work Log'!$A$130)</x:f>
      </x:c>
      <x:c r="Q127" t="str">
        <x:f>IF(T127="","",TEXT(T127,"mm/dd/yy"))</x:f>
      </x:c>
      <x:c r="R127" s="11" t="str">
        <x:f>IF(OR(T127="",SUMIF('Backlog'!$B$6:$B$25,"S5",'Backlog'!$E$6:$E$25)=0,Burndown!$B$9="",Burndown!$C$9=""),"",MAX(0,SUMIF('Backlog'!$B$6:$B$25,"S5",'Backlog'!$E$6:$E$25)-SUMIFS('Work Log'!$D$6:$D$205,'Work Log'!$E$6:$E$205,"S5",'Work Log'!$A$6:$A$205,"&lt;="&amp;T127)))</x:f>
      </x:c>
      <x:c r="S127" s="11" t="str">
        <x:f>IF(OR(T127="",SUMIF('Backlog'!$B$6:$B$25,"S5",'Backlog'!$E$6:$E$25)=0,Burndown!$B$9="",Burndown!$C$9="",Burndown!$C$9&lt;=Burndown!$B$9),"",MAX(0,SUMIF('Backlog'!$B$6:$B$25,"S5",'Backlog'!$E$6:$E$25)*(Burndown!$C$9-T127)/(Burndown!$C$9-Burndown!$B$9)))</x:f>
      </x:c>
      <x:c r="T127" s="10" t="str">
        <x:f>IF(OR('Work Log'!$E$130&lt;&gt;"S5",'Work Log'!$A$130=""),"",'Work Log'!$A$130)</x:f>
      </x:c>
    </x:row>
    <x:row r="128">
      <x:c r="A128" t="str">
        <x:f>IF(D128="","",TEXT(D128,"mm/dd/yy"))</x:f>
      </x:c>
      <x:c r="B128" s="11" t="str">
        <x:f>IF(OR(D128="",SUMIF('Backlog'!$B$6:$B$25,"S1",'Backlog'!$E$6:$E$25)=0,Burndown!$B$5="",Burndown!$C$5=""),"",MAX(0,SUMIF('Backlog'!$B$6:$B$25,"S1",'Backlog'!$E$6:$E$25)-SUMIFS('Work Log'!$D$6:$D$205,'Work Log'!$E$6:$E$205,"S1",'Work Log'!$A$6:$A$205,"&lt;="&amp;D128)))</x:f>
      </x:c>
      <x:c r="C128" s="11" t="str">
        <x:f>IF(OR(D128="",SUMIF('Backlog'!$B$6:$B$25,"S1",'Backlog'!$E$6:$E$25)=0,Burndown!$B$5="",Burndown!$C$5="",Burndown!$C$5&lt;=Burndown!$B$5),"",MAX(0,SUMIF('Backlog'!$B$6:$B$25,"S1",'Backlog'!$E$6:$E$25)*(Burndown!$C$5-D128)/(Burndown!$C$5-Burndown!$B$5)))</x:f>
      </x:c>
      <x:c r="D128" s="10" t="str">
        <x:f>IF(OR('Work Log'!$E$131&lt;&gt;"S1",'Work Log'!$A$131=""),"",'Work Log'!$A$131)</x:f>
      </x:c>
      <x:c r="E128" t="str">
        <x:f>IF(H128="","",TEXT(H128,"mm/dd/yy"))</x:f>
      </x:c>
      <x:c r="F128" s="11" t="str">
        <x:f>IF(OR(H128="",SUMIF('Backlog'!$B$6:$B$25,"S2",'Backlog'!$E$6:$E$25)=0,Burndown!$B$6="",Burndown!$C$6=""),"",MAX(0,SUMIF('Backlog'!$B$6:$B$25,"S2",'Backlog'!$E$6:$E$25)-SUMIFS('Work Log'!$D$6:$D$205,'Work Log'!$E$6:$E$205,"S2",'Work Log'!$A$6:$A$205,"&lt;="&amp;H128)))</x:f>
      </x:c>
      <x:c r="G128" s="11" t="str">
        <x:f>IF(OR(H128="",SUMIF('Backlog'!$B$6:$B$25,"S2",'Backlog'!$E$6:$E$25)=0,Burndown!$B$6="",Burndown!$C$6="",Burndown!$C$6&lt;=Burndown!$B$6),"",MAX(0,SUMIF('Backlog'!$B$6:$B$25,"S2",'Backlog'!$E$6:$E$25)*(Burndown!$C$6-H128)/(Burndown!$C$6-Burndown!$B$6)))</x:f>
      </x:c>
      <x:c r="H128" s="10" t="str">
        <x:f>IF(OR('Work Log'!$E$131&lt;&gt;"S2",'Work Log'!$A$131=""),"",'Work Log'!$A$131)</x:f>
      </x:c>
      <x:c r="I128" t="str">
        <x:f>IF(L128="","",TEXT(L128,"mm/dd/yy"))</x:f>
      </x:c>
      <x:c r="J128" s="11" t="str">
        <x:f>IF(OR(L128="",SUMIF('Backlog'!$B$6:$B$25,"S3",'Backlog'!$E$6:$E$25)=0,Burndown!$B$7="",Burndown!$C$7=""),"",MAX(0,SUMIF('Backlog'!$B$6:$B$25,"S3",'Backlog'!$E$6:$E$25)-SUMIFS('Work Log'!$D$6:$D$205,'Work Log'!$E$6:$E$205,"S3",'Work Log'!$A$6:$A$205,"&lt;="&amp;L128)))</x:f>
      </x:c>
      <x:c r="K128" s="11" t="str">
        <x:f>IF(OR(L128="",SUMIF('Backlog'!$B$6:$B$25,"S3",'Backlog'!$E$6:$E$25)=0,Burndown!$B$7="",Burndown!$C$7="",Burndown!$C$7&lt;=Burndown!$B$7),"",MAX(0,SUMIF('Backlog'!$B$6:$B$25,"S3",'Backlog'!$E$6:$E$25)*(Burndown!$C$7-L128)/(Burndown!$C$7-Burndown!$B$7)))</x:f>
      </x:c>
      <x:c r="L128" s="10" t="str">
        <x:f>IF(OR('Work Log'!$E$131&lt;&gt;"S3",'Work Log'!$A$131=""),"",'Work Log'!$A$131)</x:f>
      </x:c>
      <x:c r="M128" t="str">
        <x:f>IF(P128="","",TEXT(P128,"mm/dd/yy"))</x:f>
      </x:c>
      <x:c r="N128" s="11" t="str">
        <x:f>IF(OR(P128="",SUMIF('Backlog'!$B$6:$B$25,"S4",'Backlog'!$E$6:$E$25)=0,Burndown!$B$8="",Burndown!$C$8=""),"",MAX(0,SUMIF('Backlog'!$B$6:$B$25,"S4",'Backlog'!$E$6:$E$25)-SUMIFS('Work Log'!$D$6:$D$205,'Work Log'!$E$6:$E$205,"S4",'Work Log'!$A$6:$A$205,"&lt;="&amp;P128)))</x:f>
      </x:c>
      <x:c r="O128" s="11" t="str">
        <x:f>IF(OR(P128="",SUMIF('Backlog'!$B$6:$B$25,"S4",'Backlog'!$E$6:$E$25)=0,Burndown!$B$8="",Burndown!$C$8="",Burndown!$C$8&lt;=Burndown!$B$8),"",MAX(0,SUMIF('Backlog'!$B$6:$B$25,"S4",'Backlog'!$E$6:$E$25)*(Burndown!$C$8-P128)/(Burndown!$C$8-Burndown!$B$8)))</x:f>
      </x:c>
      <x:c r="P128" s="10" t="str">
        <x:f>IF(OR('Work Log'!$E$131&lt;&gt;"S4",'Work Log'!$A$131=""),"",'Work Log'!$A$131)</x:f>
      </x:c>
      <x:c r="Q128" t="str">
        <x:f>IF(T128="","",TEXT(T128,"mm/dd/yy"))</x:f>
      </x:c>
      <x:c r="R128" s="11" t="str">
        <x:f>IF(OR(T128="",SUMIF('Backlog'!$B$6:$B$25,"S5",'Backlog'!$E$6:$E$25)=0,Burndown!$B$9="",Burndown!$C$9=""),"",MAX(0,SUMIF('Backlog'!$B$6:$B$25,"S5",'Backlog'!$E$6:$E$25)-SUMIFS('Work Log'!$D$6:$D$205,'Work Log'!$E$6:$E$205,"S5",'Work Log'!$A$6:$A$205,"&lt;="&amp;T128)))</x:f>
      </x:c>
      <x:c r="S128" s="11" t="str">
        <x:f>IF(OR(T128="",SUMIF('Backlog'!$B$6:$B$25,"S5",'Backlog'!$E$6:$E$25)=0,Burndown!$B$9="",Burndown!$C$9="",Burndown!$C$9&lt;=Burndown!$B$9),"",MAX(0,SUMIF('Backlog'!$B$6:$B$25,"S5",'Backlog'!$E$6:$E$25)*(Burndown!$C$9-T128)/(Burndown!$C$9-Burndown!$B$9)))</x:f>
      </x:c>
      <x:c r="T128" s="10" t="str">
        <x:f>IF(OR('Work Log'!$E$131&lt;&gt;"S5",'Work Log'!$A$131=""),"",'Work Log'!$A$131)</x:f>
      </x:c>
    </x:row>
    <x:row r="129">
      <x:c r="A129" t="str">
        <x:f>IF(D129="","",TEXT(D129,"mm/dd/yy"))</x:f>
      </x:c>
      <x:c r="B129" s="11" t="str">
        <x:f>IF(OR(D129="",SUMIF('Backlog'!$B$6:$B$25,"S1",'Backlog'!$E$6:$E$25)=0,Burndown!$B$5="",Burndown!$C$5=""),"",MAX(0,SUMIF('Backlog'!$B$6:$B$25,"S1",'Backlog'!$E$6:$E$25)-SUMIFS('Work Log'!$D$6:$D$205,'Work Log'!$E$6:$E$205,"S1",'Work Log'!$A$6:$A$205,"&lt;="&amp;D129)))</x:f>
      </x:c>
      <x:c r="C129" s="11" t="str">
        <x:f>IF(OR(D129="",SUMIF('Backlog'!$B$6:$B$25,"S1",'Backlog'!$E$6:$E$25)=0,Burndown!$B$5="",Burndown!$C$5="",Burndown!$C$5&lt;=Burndown!$B$5),"",MAX(0,SUMIF('Backlog'!$B$6:$B$25,"S1",'Backlog'!$E$6:$E$25)*(Burndown!$C$5-D129)/(Burndown!$C$5-Burndown!$B$5)))</x:f>
      </x:c>
      <x:c r="D129" s="10" t="str">
        <x:f>IF(OR('Work Log'!$E$132&lt;&gt;"S1",'Work Log'!$A$132=""),"",'Work Log'!$A$132)</x:f>
      </x:c>
      <x:c r="E129" t="str">
        <x:f>IF(H129="","",TEXT(H129,"mm/dd/yy"))</x:f>
      </x:c>
      <x:c r="F129" s="11" t="str">
        <x:f>IF(OR(H129="",SUMIF('Backlog'!$B$6:$B$25,"S2",'Backlog'!$E$6:$E$25)=0,Burndown!$B$6="",Burndown!$C$6=""),"",MAX(0,SUMIF('Backlog'!$B$6:$B$25,"S2",'Backlog'!$E$6:$E$25)-SUMIFS('Work Log'!$D$6:$D$205,'Work Log'!$E$6:$E$205,"S2",'Work Log'!$A$6:$A$205,"&lt;="&amp;H129)))</x:f>
      </x:c>
      <x:c r="G129" s="11" t="str">
        <x:f>IF(OR(H129="",SUMIF('Backlog'!$B$6:$B$25,"S2",'Backlog'!$E$6:$E$25)=0,Burndown!$B$6="",Burndown!$C$6="",Burndown!$C$6&lt;=Burndown!$B$6),"",MAX(0,SUMIF('Backlog'!$B$6:$B$25,"S2",'Backlog'!$E$6:$E$25)*(Burndown!$C$6-H129)/(Burndown!$C$6-Burndown!$B$6)))</x:f>
      </x:c>
      <x:c r="H129" s="10" t="str">
        <x:f>IF(OR('Work Log'!$E$132&lt;&gt;"S2",'Work Log'!$A$132=""),"",'Work Log'!$A$132)</x:f>
      </x:c>
      <x:c r="I129" t="str">
        <x:f>IF(L129="","",TEXT(L129,"mm/dd/yy"))</x:f>
      </x:c>
      <x:c r="J129" s="11" t="str">
        <x:f>IF(OR(L129="",SUMIF('Backlog'!$B$6:$B$25,"S3",'Backlog'!$E$6:$E$25)=0,Burndown!$B$7="",Burndown!$C$7=""),"",MAX(0,SUMIF('Backlog'!$B$6:$B$25,"S3",'Backlog'!$E$6:$E$25)-SUMIFS('Work Log'!$D$6:$D$205,'Work Log'!$E$6:$E$205,"S3",'Work Log'!$A$6:$A$205,"&lt;="&amp;L129)))</x:f>
      </x:c>
      <x:c r="K129" s="11" t="str">
        <x:f>IF(OR(L129="",SUMIF('Backlog'!$B$6:$B$25,"S3",'Backlog'!$E$6:$E$25)=0,Burndown!$B$7="",Burndown!$C$7="",Burndown!$C$7&lt;=Burndown!$B$7),"",MAX(0,SUMIF('Backlog'!$B$6:$B$25,"S3",'Backlog'!$E$6:$E$25)*(Burndown!$C$7-L129)/(Burndown!$C$7-Burndown!$B$7)))</x:f>
      </x:c>
      <x:c r="L129" s="10" t="str">
        <x:f>IF(OR('Work Log'!$E$132&lt;&gt;"S3",'Work Log'!$A$132=""),"",'Work Log'!$A$132)</x:f>
      </x:c>
      <x:c r="M129" t="str">
        <x:f>IF(P129="","",TEXT(P129,"mm/dd/yy"))</x:f>
      </x:c>
      <x:c r="N129" s="11" t="str">
        <x:f>IF(OR(P129="",SUMIF('Backlog'!$B$6:$B$25,"S4",'Backlog'!$E$6:$E$25)=0,Burndown!$B$8="",Burndown!$C$8=""),"",MAX(0,SUMIF('Backlog'!$B$6:$B$25,"S4",'Backlog'!$E$6:$E$25)-SUMIFS('Work Log'!$D$6:$D$205,'Work Log'!$E$6:$E$205,"S4",'Work Log'!$A$6:$A$205,"&lt;="&amp;P129)))</x:f>
      </x:c>
      <x:c r="O129" s="11" t="str">
        <x:f>IF(OR(P129="",SUMIF('Backlog'!$B$6:$B$25,"S4",'Backlog'!$E$6:$E$25)=0,Burndown!$B$8="",Burndown!$C$8="",Burndown!$C$8&lt;=Burndown!$B$8),"",MAX(0,SUMIF('Backlog'!$B$6:$B$25,"S4",'Backlog'!$E$6:$E$25)*(Burndown!$C$8-P129)/(Burndown!$C$8-Burndown!$B$8)))</x:f>
      </x:c>
      <x:c r="P129" s="10" t="str">
        <x:f>IF(OR('Work Log'!$E$132&lt;&gt;"S4",'Work Log'!$A$132=""),"",'Work Log'!$A$132)</x:f>
      </x:c>
      <x:c r="Q129" t="str">
        <x:f>IF(T129="","",TEXT(T129,"mm/dd/yy"))</x:f>
      </x:c>
      <x:c r="R129" s="11" t="str">
        <x:f>IF(OR(T129="",SUMIF('Backlog'!$B$6:$B$25,"S5",'Backlog'!$E$6:$E$25)=0,Burndown!$B$9="",Burndown!$C$9=""),"",MAX(0,SUMIF('Backlog'!$B$6:$B$25,"S5",'Backlog'!$E$6:$E$25)-SUMIFS('Work Log'!$D$6:$D$205,'Work Log'!$E$6:$E$205,"S5",'Work Log'!$A$6:$A$205,"&lt;="&amp;T129)))</x:f>
      </x:c>
      <x:c r="S129" s="11" t="str">
        <x:f>IF(OR(T129="",SUMIF('Backlog'!$B$6:$B$25,"S5",'Backlog'!$E$6:$E$25)=0,Burndown!$B$9="",Burndown!$C$9="",Burndown!$C$9&lt;=Burndown!$B$9),"",MAX(0,SUMIF('Backlog'!$B$6:$B$25,"S5",'Backlog'!$E$6:$E$25)*(Burndown!$C$9-T129)/(Burndown!$C$9-Burndown!$B$9)))</x:f>
      </x:c>
      <x:c r="T129" s="10" t="str">
        <x:f>IF(OR('Work Log'!$E$132&lt;&gt;"S5",'Work Log'!$A$132=""),"",'Work Log'!$A$132)</x:f>
      </x:c>
    </x:row>
    <x:row r="130">
      <x:c r="A130" t="str">
        <x:f>IF(D130="","",TEXT(D130,"mm/dd/yy"))</x:f>
      </x:c>
      <x:c r="B130" s="11" t="str">
        <x:f>IF(OR(D130="",SUMIF('Backlog'!$B$6:$B$25,"S1",'Backlog'!$E$6:$E$25)=0,Burndown!$B$5="",Burndown!$C$5=""),"",MAX(0,SUMIF('Backlog'!$B$6:$B$25,"S1",'Backlog'!$E$6:$E$25)-SUMIFS('Work Log'!$D$6:$D$205,'Work Log'!$E$6:$E$205,"S1",'Work Log'!$A$6:$A$205,"&lt;="&amp;D130)))</x:f>
      </x:c>
      <x:c r="C130" s="11" t="str">
        <x:f>IF(OR(D130="",SUMIF('Backlog'!$B$6:$B$25,"S1",'Backlog'!$E$6:$E$25)=0,Burndown!$B$5="",Burndown!$C$5="",Burndown!$C$5&lt;=Burndown!$B$5),"",MAX(0,SUMIF('Backlog'!$B$6:$B$25,"S1",'Backlog'!$E$6:$E$25)*(Burndown!$C$5-D130)/(Burndown!$C$5-Burndown!$B$5)))</x:f>
      </x:c>
      <x:c r="D130" s="10" t="str">
        <x:f>IF(OR('Work Log'!$E$133&lt;&gt;"S1",'Work Log'!$A$133=""),"",'Work Log'!$A$133)</x:f>
      </x:c>
      <x:c r="E130" t="str">
        <x:f>IF(H130="","",TEXT(H130,"mm/dd/yy"))</x:f>
      </x:c>
      <x:c r="F130" s="11" t="str">
        <x:f>IF(OR(H130="",SUMIF('Backlog'!$B$6:$B$25,"S2",'Backlog'!$E$6:$E$25)=0,Burndown!$B$6="",Burndown!$C$6=""),"",MAX(0,SUMIF('Backlog'!$B$6:$B$25,"S2",'Backlog'!$E$6:$E$25)-SUMIFS('Work Log'!$D$6:$D$205,'Work Log'!$E$6:$E$205,"S2",'Work Log'!$A$6:$A$205,"&lt;="&amp;H130)))</x:f>
      </x:c>
      <x:c r="G130" s="11" t="str">
        <x:f>IF(OR(H130="",SUMIF('Backlog'!$B$6:$B$25,"S2",'Backlog'!$E$6:$E$25)=0,Burndown!$B$6="",Burndown!$C$6="",Burndown!$C$6&lt;=Burndown!$B$6),"",MAX(0,SUMIF('Backlog'!$B$6:$B$25,"S2",'Backlog'!$E$6:$E$25)*(Burndown!$C$6-H130)/(Burndown!$C$6-Burndown!$B$6)))</x:f>
      </x:c>
      <x:c r="H130" s="10" t="str">
        <x:f>IF(OR('Work Log'!$E$133&lt;&gt;"S2",'Work Log'!$A$133=""),"",'Work Log'!$A$133)</x:f>
      </x:c>
      <x:c r="I130" t="str">
        <x:f>IF(L130="","",TEXT(L130,"mm/dd/yy"))</x:f>
      </x:c>
      <x:c r="J130" s="11" t="str">
        <x:f>IF(OR(L130="",SUMIF('Backlog'!$B$6:$B$25,"S3",'Backlog'!$E$6:$E$25)=0,Burndown!$B$7="",Burndown!$C$7=""),"",MAX(0,SUMIF('Backlog'!$B$6:$B$25,"S3",'Backlog'!$E$6:$E$25)-SUMIFS('Work Log'!$D$6:$D$205,'Work Log'!$E$6:$E$205,"S3",'Work Log'!$A$6:$A$205,"&lt;="&amp;L130)))</x:f>
      </x:c>
      <x:c r="K130" s="11" t="str">
        <x:f>IF(OR(L130="",SUMIF('Backlog'!$B$6:$B$25,"S3",'Backlog'!$E$6:$E$25)=0,Burndown!$B$7="",Burndown!$C$7="",Burndown!$C$7&lt;=Burndown!$B$7),"",MAX(0,SUMIF('Backlog'!$B$6:$B$25,"S3",'Backlog'!$E$6:$E$25)*(Burndown!$C$7-L130)/(Burndown!$C$7-Burndown!$B$7)))</x:f>
      </x:c>
      <x:c r="L130" s="10" t="str">
        <x:f>IF(OR('Work Log'!$E$133&lt;&gt;"S3",'Work Log'!$A$133=""),"",'Work Log'!$A$133)</x:f>
      </x:c>
      <x:c r="M130" t="str">
        <x:f>IF(P130="","",TEXT(P130,"mm/dd/yy"))</x:f>
      </x:c>
      <x:c r="N130" s="11" t="str">
        <x:f>IF(OR(P130="",SUMIF('Backlog'!$B$6:$B$25,"S4",'Backlog'!$E$6:$E$25)=0,Burndown!$B$8="",Burndown!$C$8=""),"",MAX(0,SUMIF('Backlog'!$B$6:$B$25,"S4",'Backlog'!$E$6:$E$25)-SUMIFS('Work Log'!$D$6:$D$205,'Work Log'!$E$6:$E$205,"S4",'Work Log'!$A$6:$A$205,"&lt;="&amp;P130)))</x:f>
      </x:c>
      <x:c r="O130" s="11" t="str">
        <x:f>IF(OR(P130="",SUMIF('Backlog'!$B$6:$B$25,"S4",'Backlog'!$E$6:$E$25)=0,Burndown!$B$8="",Burndown!$C$8="",Burndown!$C$8&lt;=Burndown!$B$8),"",MAX(0,SUMIF('Backlog'!$B$6:$B$25,"S4",'Backlog'!$E$6:$E$25)*(Burndown!$C$8-P130)/(Burndown!$C$8-Burndown!$B$8)))</x:f>
      </x:c>
      <x:c r="P130" s="10" t="str">
        <x:f>IF(OR('Work Log'!$E$133&lt;&gt;"S4",'Work Log'!$A$133=""),"",'Work Log'!$A$133)</x:f>
      </x:c>
      <x:c r="Q130" t="str">
        <x:f>IF(T130="","",TEXT(T130,"mm/dd/yy"))</x:f>
      </x:c>
      <x:c r="R130" s="11" t="str">
        <x:f>IF(OR(T130="",SUMIF('Backlog'!$B$6:$B$25,"S5",'Backlog'!$E$6:$E$25)=0,Burndown!$B$9="",Burndown!$C$9=""),"",MAX(0,SUMIF('Backlog'!$B$6:$B$25,"S5",'Backlog'!$E$6:$E$25)-SUMIFS('Work Log'!$D$6:$D$205,'Work Log'!$E$6:$E$205,"S5",'Work Log'!$A$6:$A$205,"&lt;="&amp;T130)))</x:f>
      </x:c>
      <x:c r="S130" s="11" t="str">
        <x:f>IF(OR(T130="",SUMIF('Backlog'!$B$6:$B$25,"S5",'Backlog'!$E$6:$E$25)=0,Burndown!$B$9="",Burndown!$C$9="",Burndown!$C$9&lt;=Burndown!$B$9),"",MAX(0,SUMIF('Backlog'!$B$6:$B$25,"S5",'Backlog'!$E$6:$E$25)*(Burndown!$C$9-T130)/(Burndown!$C$9-Burndown!$B$9)))</x:f>
      </x:c>
      <x:c r="T130" s="10" t="str">
        <x:f>IF(OR('Work Log'!$E$133&lt;&gt;"S5",'Work Log'!$A$133=""),"",'Work Log'!$A$133)</x:f>
      </x:c>
    </x:row>
    <x:row r="131">
      <x:c r="A131" t="str">
        <x:f>IF(D131="","",TEXT(D131,"mm/dd/yy"))</x:f>
      </x:c>
      <x:c r="B131" s="11" t="str">
        <x:f>IF(OR(D131="",SUMIF('Backlog'!$B$6:$B$25,"S1",'Backlog'!$E$6:$E$25)=0,Burndown!$B$5="",Burndown!$C$5=""),"",MAX(0,SUMIF('Backlog'!$B$6:$B$25,"S1",'Backlog'!$E$6:$E$25)-SUMIFS('Work Log'!$D$6:$D$205,'Work Log'!$E$6:$E$205,"S1",'Work Log'!$A$6:$A$205,"&lt;="&amp;D131)))</x:f>
      </x:c>
      <x:c r="C131" s="11" t="str">
        <x:f>IF(OR(D131="",SUMIF('Backlog'!$B$6:$B$25,"S1",'Backlog'!$E$6:$E$25)=0,Burndown!$B$5="",Burndown!$C$5="",Burndown!$C$5&lt;=Burndown!$B$5),"",MAX(0,SUMIF('Backlog'!$B$6:$B$25,"S1",'Backlog'!$E$6:$E$25)*(Burndown!$C$5-D131)/(Burndown!$C$5-Burndown!$B$5)))</x:f>
      </x:c>
      <x:c r="D131" s="10" t="str">
        <x:f>IF(OR('Work Log'!$E$134&lt;&gt;"S1",'Work Log'!$A$134=""),"",'Work Log'!$A$134)</x:f>
      </x:c>
      <x:c r="E131" t="str">
        <x:f>IF(H131="","",TEXT(H131,"mm/dd/yy"))</x:f>
      </x:c>
      <x:c r="F131" s="11" t="str">
        <x:f>IF(OR(H131="",SUMIF('Backlog'!$B$6:$B$25,"S2",'Backlog'!$E$6:$E$25)=0,Burndown!$B$6="",Burndown!$C$6=""),"",MAX(0,SUMIF('Backlog'!$B$6:$B$25,"S2",'Backlog'!$E$6:$E$25)-SUMIFS('Work Log'!$D$6:$D$205,'Work Log'!$E$6:$E$205,"S2",'Work Log'!$A$6:$A$205,"&lt;="&amp;H131)))</x:f>
      </x:c>
      <x:c r="G131" s="11" t="str">
        <x:f>IF(OR(H131="",SUMIF('Backlog'!$B$6:$B$25,"S2",'Backlog'!$E$6:$E$25)=0,Burndown!$B$6="",Burndown!$C$6="",Burndown!$C$6&lt;=Burndown!$B$6),"",MAX(0,SUMIF('Backlog'!$B$6:$B$25,"S2",'Backlog'!$E$6:$E$25)*(Burndown!$C$6-H131)/(Burndown!$C$6-Burndown!$B$6)))</x:f>
      </x:c>
      <x:c r="H131" s="10" t="str">
        <x:f>IF(OR('Work Log'!$E$134&lt;&gt;"S2",'Work Log'!$A$134=""),"",'Work Log'!$A$134)</x:f>
      </x:c>
      <x:c r="I131" t="str">
        <x:f>IF(L131="","",TEXT(L131,"mm/dd/yy"))</x:f>
      </x:c>
      <x:c r="J131" s="11" t="str">
        <x:f>IF(OR(L131="",SUMIF('Backlog'!$B$6:$B$25,"S3",'Backlog'!$E$6:$E$25)=0,Burndown!$B$7="",Burndown!$C$7=""),"",MAX(0,SUMIF('Backlog'!$B$6:$B$25,"S3",'Backlog'!$E$6:$E$25)-SUMIFS('Work Log'!$D$6:$D$205,'Work Log'!$E$6:$E$205,"S3",'Work Log'!$A$6:$A$205,"&lt;="&amp;L131)))</x:f>
      </x:c>
      <x:c r="K131" s="11" t="str">
        <x:f>IF(OR(L131="",SUMIF('Backlog'!$B$6:$B$25,"S3",'Backlog'!$E$6:$E$25)=0,Burndown!$B$7="",Burndown!$C$7="",Burndown!$C$7&lt;=Burndown!$B$7),"",MAX(0,SUMIF('Backlog'!$B$6:$B$25,"S3",'Backlog'!$E$6:$E$25)*(Burndown!$C$7-L131)/(Burndown!$C$7-Burndown!$B$7)))</x:f>
      </x:c>
      <x:c r="L131" s="10" t="str">
        <x:f>IF(OR('Work Log'!$E$134&lt;&gt;"S3",'Work Log'!$A$134=""),"",'Work Log'!$A$134)</x:f>
      </x:c>
      <x:c r="M131" t="str">
        <x:f>IF(P131="","",TEXT(P131,"mm/dd/yy"))</x:f>
      </x:c>
      <x:c r="N131" s="11" t="str">
        <x:f>IF(OR(P131="",SUMIF('Backlog'!$B$6:$B$25,"S4",'Backlog'!$E$6:$E$25)=0,Burndown!$B$8="",Burndown!$C$8=""),"",MAX(0,SUMIF('Backlog'!$B$6:$B$25,"S4",'Backlog'!$E$6:$E$25)-SUMIFS('Work Log'!$D$6:$D$205,'Work Log'!$E$6:$E$205,"S4",'Work Log'!$A$6:$A$205,"&lt;="&amp;P131)))</x:f>
      </x:c>
      <x:c r="O131" s="11" t="str">
        <x:f>IF(OR(P131="",SUMIF('Backlog'!$B$6:$B$25,"S4",'Backlog'!$E$6:$E$25)=0,Burndown!$B$8="",Burndown!$C$8="",Burndown!$C$8&lt;=Burndown!$B$8),"",MAX(0,SUMIF('Backlog'!$B$6:$B$25,"S4",'Backlog'!$E$6:$E$25)*(Burndown!$C$8-P131)/(Burndown!$C$8-Burndown!$B$8)))</x:f>
      </x:c>
      <x:c r="P131" s="10" t="str">
        <x:f>IF(OR('Work Log'!$E$134&lt;&gt;"S4",'Work Log'!$A$134=""),"",'Work Log'!$A$134)</x:f>
      </x:c>
      <x:c r="Q131" t="str">
        <x:f>IF(T131="","",TEXT(T131,"mm/dd/yy"))</x:f>
      </x:c>
      <x:c r="R131" s="11" t="str">
        <x:f>IF(OR(T131="",SUMIF('Backlog'!$B$6:$B$25,"S5",'Backlog'!$E$6:$E$25)=0,Burndown!$B$9="",Burndown!$C$9=""),"",MAX(0,SUMIF('Backlog'!$B$6:$B$25,"S5",'Backlog'!$E$6:$E$25)-SUMIFS('Work Log'!$D$6:$D$205,'Work Log'!$E$6:$E$205,"S5",'Work Log'!$A$6:$A$205,"&lt;="&amp;T131)))</x:f>
      </x:c>
      <x:c r="S131" s="11" t="str">
        <x:f>IF(OR(T131="",SUMIF('Backlog'!$B$6:$B$25,"S5",'Backlog'!$E$6:$E$25)=0,Burndown!$B$9="",Burndown!$C$9="",Burndown!$C$9&lt;=Burndown!$B$9),"",MAX(0,SUMIF('Backlog'!$B$6:$B$25,"S5",'Backlog'!$E$6:$E$25)*(Burndown!$C$9-T131)/(Burndown!$C$9-Burndown!$B$9)))</x:f>
      </x:c>
      <x:c r="T131" s="10" t="str">
        <x:f>IF(OR('Work Log'!$E$134&lt;&gt;"S5",'Work Log'!$A$134=""),"",'Work Log'!$A$134)</x:f>
      </x:c>
    </x:row>
    <x:row r="132">
      <x:c r="A132" t="str">
        <x:f>IF(D132="","",TEXT(D132,"mm/dd/yy"))</x:f>
      </x:c>
      <x:c r="B132" s="11" t="str">
        <x:f>IF(OR(D132="",SUMIF('Backlog'!$B$6:$B$25,"S1",'Backlog'!$E$6:$E$25)=0,Burndown!$B$5="",Burndown!$C$5=""),"",MAX(0,SUMIF('Backlog'!$B$6:$B$25,"S1",'Backlog'!$E$6:$E$25)-SUMIFS('Work Log'!$D$6:$D$205,'Work Log'!$E$6:$E$205,"S1",'Work Log'!$A$6:$A$205,"&lt;="&amp;D132)))</x:f>
      </x:c>
      <x:c r="C132" s="11" t="str">
        <x:f>IF(OR(D132="",SUMIF('Backlog'!$B$6:$B$25,"S1",'Backlog'!$E$6:$E$25)=0,Burndown!$B$5="",Burndown!$C$5="",Burndown!$C$5&lt;=Burndown!$B$5),"",MAX(0,SUMIF('Backlog'!$B$6:$B$25,"S1",'Backlog'!$E$6:$E$25)*(Burndown!$C$5-D132)/(Burndown!$C$5-Burndown!$B$5)))</x:f>
      </x:c>
      <x:c r="D132" s="10" t="str">
        <x:f>IF(OR('Work Log'!$E$135&lt;&gt;"S1",'Work Log'!$A$135=""),"",'Work Log'!$A$135)</x:f>
      </x:c>
      <x:c r="E132" t="str">
        <x:f>IF(H132="","",TEXT(H132,"mm/dd/yy"))</x:f>
      </x:c>
      <x:c r="F132" s="11" t="str">
        <x:f>IF(OR(H132="",SUMIF('Backlog'!$B$6:$B$25,"S2",'Backlog'!$E$6:$E$25)=0,Burndown!$B$6="",Burndown!$C$6=""),"",MAX(0,SUMIF('Backlog'!$B$6:$B$25,"S2",'Backlog'!$E$6:$E$25)-SUMIFS('Work Log'!$D$6:$D$205,'Work Log'!$E$6:$E$205,"S2",'Work Log'!$A$6:$A$205,"&lt;="&amp;H132)))</x:f>
      </x:c>
      <x:c r="G132" s="11" t="str">
        <x:f>IF(OR(H132="",SUMIF('Backlog'!$B$6:$B$25,"S2",'Backlog'!$E$6:$E$25)=0,Burndown!$B$6="",Burndown!$C$6="",Burndown!$C$6&lt;=Burndown!$B$6),"",MAX(0,SUMIF('Backlog'!$B$6:$B$25,"S2",'Backlog'!$E$6:$E$25)*(Burndown!$C$6-H132)/(Burndown!$C$6-Burndown!$B$6)))</x:f>
      </x:c>
      <x:c r="H132" s="10" t="str">
        <x:f>IF(OR('Work Log'!$E$135&lt;&gt;"S2",'Work Log'!$A$135=""),"",'Work Log'!$A$135)</x:f>
      </x:c>
      <x:c r="I132" t="str">
        <x:f>IF(L132="","",TEXT(L132,"mm/dd/yy"))</x:f>
      </x:c>
      <x:c r="J132" s="11" t="str">
        <x:f>IF(OR(L132="",SUMIF('Backlog'!$B$6:$B$25,"S3",'Backlog'!$E$6:$E$25)=0,Burndown!$B$7="",Burndown!$C$7=""),"",MAX(0,SUMIF('Backlog'!$B$6:$B$25,"S3",'Backlog'!$E$6:$E$25)-SUMIFS('Work Log'!$D$6:$D$205,'Work Log'!$E$6:$E$205,"S3",'Work Log'!$A$6:$A$205,"&lt;="&amp;L132)))</x:f>
      </x:c>
      <x:c r="K132" s="11" t="str">
        <x:f>IF(OR(L132="",SUMIF('Backlog'!$B$6:$B$25,"S3",'Backlog'!$E$6:$E$25)=0,Burndown!$B$7="",Burndown!$C$7="",Burndown!$C$7&lt;=Burndown!$B$7),"",MAX(0,SUMIF('Backlog'!$B$6:$B$25,"S3",'Backlog'!$E$6:$E$25)*(Burndown!$C$7-L132)/(Burndown!$C$7-Burndown!$B$7)))</x:f>
      </x:c>
      <x:c r="L132" s="10" t="str">
        <x:f>IF(OR('Work Log'!$E$135&lt;&gt;"S3",'Work Log'!$A$135=""),"",'Work Log'!$A$135)</x:f>
      </x:c>
      <x:c r="M132" t="str">
        <x:f>IF(P132="","",TEXT(P132,"mm/dd/yy"))</x:f>
      </x:c>
      <x:c r="N132" s="11" t="str">
        <x:f>IF(OR(P132="",SUMIF('Backlog'!$B$6:$B$25,"S4",'Backlog'!$E$6:$E$25)=0,Burndown!$B$8="",Burndown!$C$8=""),"",MAX(0,SUMIF('Backlog'!$B$6:$B$25,"S4",'Backlog'!$E$6:$E$25)-SUMIFS('Work Log'!$D$6:$D$205,'Work Log'!$E$6:$E$205,"S4",'Work Log'!$A$6:$A$205,"&lt;="&amp;P132)))</x:f>
      </x:c>
      <x:c r="O132" s="11" t="str">
        <x:f>IF(OR(P132="",SUMIF('Backlog'!$B$6:$B$25,"S4",'Backlog'!$E$6:$E$25)=0,Burndown!$B$8="",Burndown!$C$8="",Burndown!$C$8&lt;=Burndown!$B$8),"",MAX(0,SUMIF('Backlog'!$B$6:$B$25,"S4",'Backlog'!$E$6:$E$25)*(Burndown!$C$8-P132)/(Burndown!$C$8-Burndown!$B$8)))</x:f>
      </x:c>
      <x:c r="P132" s="10" t="str">
        <x:f>IF(OR('Work Log'!$E$135&lt;&gt;"S4",'Work Log'!$A$135=""),"",'Work Log'!$A$135)</x:f>
      </x:c>
      <x:c r="Q132" t="str">
        <x:f>IF(T132="","",TEXT(T132,"mm/dd/yy"))</x:f>
      </x:c>
      <x:c r="R132" s="11" t="str">
        <x:f>IF(OR(T132="",SUMIF('Backlog'!$B$6:$B$25,"S5",'Backlog'!$E$6:$E$25)=0,Burndown!$B$9="",Burndown!$C$9=""),"",MAX(0,SUMIF('Backlog'!$B$6:$B$25,"S5",'Backlog'!$E$6:$E$25)-SUMIFS('Work Log'!$D$6:$D$205,'Work Log'!$E$6:$E$205,"S5",'Work Log'!$A$6:$A$205,"&lt;="&amp;T132)))</x:f>
      </x:c>
      <x:c r="S132" s="11" t="str">
        <x:f>IF(OR(T132="",SUMIF('Backlog'!$B$6:$B$25,"S5",'Backlog'!$E$6:$E$25)=0,Burndown!$B$9="",Burndown!$C$9="",Burndown!$C$9&lt;=Burndown!$B$9),"",MAX(0,SUMIF('Backlog'!$B$6:$B$25,"S5",'Backlog'!$E$6:$E$25)*(Burndown!$C$9-T132)/(Burndown!$C$9-Burndown!$B$9)))</x:f>
      </x:c>
      <x:c r="T132" s="10" t="str">
        <x:f>IF(OR('Work Log'!$E$135&lt;&gt;"S5",'Work Log'!$A$135=""),"",'Work Log'!$A$135)</x:f>
      </x:c>
    </x:row>
    <x:row r="133">
      <x:c r="A133" t="str">
        <x:f>IF(D133="","",TEXT(D133,"mm/dd/yy"))</x:f>
      </x:c>
      <x:c r="B133" s="11" t="str">
        <x:f>IF(OR(D133="",SUMIF('Backlog'!$B$6:$B$25,"S1",'Backlog'!$E$6:$E$25)=0,Burndown!$B$5="",Burndown!$C$5=""),"",MAX(0,SUMIF('Backlog'!$B$6:$B$25,"S1",'Backlog'!$E$6:$E$25)-SUMIFS('Work Log'!$D$6:$D$205,'Work Log'!$E$6:$E$205,"S1",'Work Log'!$A$6:$A$205,"&lt;="&amp;D133)))</x:f>
      </x:c>
      <x:c r="C133" s="11" t="str">
        <x:f>IF(OR(D133="",SUMIF('Backlog'!$B$6:$B$25,"S1",'Backlog'!$E$6:$E$25)=0,Burndown!$B$5="",Burndown!$C$5="",Burndown!$C$5&lt;=Burndown!$B$5),"",MAX(0,SUMIF('Backlog'!$B$6:$B$25,"S1",'Backlog'!$E$6:$E$25)*(Burndown!$C$5-D133)/(Burndown!$C$5-Burndown!$B$5)))</x:f>
      </x:c>
      <x:c r="D133" s="10" t="str">
        <x:f>IF(OR('Work Log'!$E$136&lt;&gt;"S1",'Work Log'!$A$136=""),"",'Work Log'!$A$136)</x:f>
      </x:c>
      <x:c r="E133" t="str">
        <x:f>IF(H133="","",TEXT(H133,"mm/dd/yy"))</x:f>
      </x:c>
      <x:c r="F133" s="11" t="str">
        <x:f>IF(OR(H133="",SUMIF('Backlog'!$B$6:$B$25,"S2",'Backlog'!$E$6:$E$25)=0,Burndown!$B$6="",Burndown!$C$6=""),"",MAX(0,SUMIF('Backlog'!$B$6:$B$25,"S2",'Backlog'!$E$6:$E$25)-SUMIFS('Work Log'!$D$6:$D$205,'Work Log'!$E$6:$E$205,"S2",'Work Log'!$A$6:$A$205,"&lt;="&amp;H133)))</x:f>
      </x:c>
      <x:c r="G133" s="11" t="str">
        <x:f>IF(OR(H133="",SUMIF('Backlog'!$B$6:$B$25,"S2",'Backlog'!$E$6:$E$25)=0,Burndown!$B$6="",Burndown!$C$6="",Burndown!$C$6&lt;=Burndown!$B$6),"",MAX(0,SUMIF('Backlog'!$B$6:$B$25,"S2",'Backlog'!$E$6:$E$25)*(Burndown!$C$6-H133)/(Burndown!$C$6-Burndown!$B$6)))</x:f>
      </x:c>
      <x:c r="H133" s="10" t="str">
        <x:f>IF(OR('Work Log'!$E$136&lt;&gt;"S2",'Work Log'!$A$136=""),"",'Work Log'!$A$136)</x:f>
      </x:c>
      <x:c r="I133" t="str">
        <x:f>IF(L133="","",TEXT(L133,"mm/dd/yy"))</x:f>
      </x:c>
      <x:c r="J133" s="11" t="str">
        <x:f>IF(OR(L133="",SUMIF('Backlog'!$B$6:$B$25,"S3",'Backlog'!$E$6:$E$25)=0,Burndown!$B$7="",Burndown!$C$7=""),"",MAX(0,SUMIF('Backlog'!$B$6:$B$25,"S3",'Backlog'!$E$6:$E$25)-SUMIFS('Work Log'!$D$6:$D$205,'Work Log'!$E$6:$E$205,"S3",'Work Log'!$A$6:$A$205,"&lt;="&amp;L133)))</x:f>
      </x:c>
      <x:c r="K133" s="11" t="str">
        <x:f>IF(OR(L133="",SUMIF('Backlog'!$B$6:$B$25,"S3",'Backlog'!$E$6:$E$25)=0,Burndown!$B$7="",Burndown!$C$7="",Burndown!$C$7&lt;=Burndown!$B$7),"",MAX(0,SUMIF('Backlog'!$B$6:$B$25,"S3",'Backlog'!$E$6:$E$25)*(Burndown!$C$7-L133)/(Burndown!$C$7-Burndown!$B$7)))</x:f>
      </x:c>
      <x:c r="L133" s="10" t="str">
        <x:f>IF(OR('Work Log'!$E$136&lt;&gt;"S3",'Work Log'!$A$136=""),"",'Work Log'!$A$136)</x:f>
      </x:c>
      <x:c r="M133" t="str">
        <x:f>IF(P133="","",TEXT(P133,"mm/dd/yy"))</x:f>
      </x:c>
      <x:c r="N133" s="11" t="str">
        <x:f>IF(OR(P133="",SUMIF('Backlog'!$B$6:$B$25,"S4",'Backlog'!$E$6:$E$25)=0,Burndown!$B$8="",Burndown!$C$8=""),"",MAX(0,SUMIF('Backlog'!$B$6:$B$25,"S4",'Backlog'!$E$6:$E$25)-SUMIFS('Work Log'!$D$6:$D$205,'Work Log'!$E$6:$E$205,"S4",'Work Log'!$A$6:$A$205,"&lt;="&amp;P133)))</x:f>
      </x:c>
      <x:c r="O133" s="11" t="str">
        <x:f>IF(OR(P133="",SUMIF('Backlog'!$B$6:$B$25,"S4",'Backlog'!$E$6:$E$25)=0,Burndown!$B$8="",Burndown!$C$8="",Burndown!$C$8&lt;=Burndown!$B$8),"",MAX(0,SUMIF('Backlog'!$B$6:$B$25,"S4",'Backlog'!$E$6:$E$25)*(Burndown!$C$8-P133)/(Burndown!$C$8-Burndown!$B$8)))</x:f>
      </x:c>
      <x:c r="P133" s="10" t="str">
        <x:f>IF(OR('Work Log'!$E$136&lt;&gt;"S4",'Work Log'!$A$136=""),"",'Work Log'!$A$136)</x:f>
      </x:c>
      <x:c r="Q133" t="str">
        <x:f>IF(T133="","",TEXT(T133,"mm/dd/yy"))</x:f>
      </x:c>
      <x:c r="R133" s="11" t="str">
        <x:f>IF(OR(T133="",SUMIF('Backlog'!$B$6:$B$25,"S5",'Backlog'!$E$6:$E$25)=0,Burndown!$B$9="",Burndown!$C$9=""),"",MAX(0,SUMIF('Backlog'!$B$6:$B$25,"S5",'Backlog'!$E$6:$E$25)-SUMIFS('Work Log'!$D$6:$D$205,'Work Log'!$E$6:$E$205,"S5",'Work Log'!$A$6:$A$205,"&lt;="&amp;T133)))</x:f>
      </x:c>
      <x:c r="S133" s="11" t="str">
        <x:f>IF(OR(T133="",SUMIF('Backlog'!$B$6:$B$25,"S5",'Backlog'!$E$6:$E$25)=0,Burndown!$B$9="",Burndown!$C$9="",Burndown!$C$9&lt;=Burndown!$B$9),"",MAX(0,SUMIF('Backlog'!$B$6:$B$25,"S5",'Backlog'!$E$6:$E$25)*(Burndown!$C$9-T133)/(Burndown!$C$9-Burndown!$B$9)))</x:f>
      </x:c>
      <x:c r="T133" s="10" t="str">
        <x:f>IF(OR('Work Log'!$E$136&lt;&gt;"S5",'Work Log'!$A$136=""),"",'Work Log'!$A$136)</x:f>
      </x:c>
    </x:row>
    <x:row r="134">
      <x:c r="A134" t="str">
        <x:f>IF(D134="","",TEXT(D134,"mm/dd/yy"))</x:f>
      </x:c>
      <x:c r="B134" s="11" t="str">
        <x:f>IF(OR(D134="",SUMIF('Backlog'!$B$6:$B$25,"S1",'Backlog'!$E$6:$E$25)=0,Burndown!$B$5="",Burndown!$C$5=""),"",MAX(0,SUMIF('Backlog'!$B$6:$B$25,"S1",'Backlog'!$E$6:$E$25)-SUMIFS('Work Log'!$D$6:$D$205,'Work Log'!$E$6:$E$205,"S1",'Work Log'!$A$6:$A$205,"&lt;="&amp;D134)))</x:f>
      </x:c>
      <x:c r="C134" s="11" t="str">
        <x:f>IF(OR(D134="",SUMIF('Backlog'!$B$6:$B$25,"S1",'Backlog'!$E$6:$E$25)=0,Burndown!$B$5="",Burndown!$C$5="",Burndown!$C$5&lt;=Burndown!$B$5),"",MAX(0,SUMIF('Backlog'!$B$6:$B$25,"S1",'Backlog'!$E$6:$E$25)*(Burndown!$C$5-D134)/(Burndown!$C$5-Burndown!$B$5)))</x:f>
      </x:c>
      <x:c r="D134" s="10" t="str">
        <x:f>IF(OR('Work Log'!$E$137&lt;&gt;"S1",'Work Log'!$A$137=""),"",'Work Log'!$A$137)</x:f>
      </x:c>
      <x:c r="E134" t="str">
        <x:f>IF(H134="","",TEXT(H134,"mm/dd/yy"))</x:f>
      </x:c>
      <x:c r="F134" s="11" t="str">
        <x:f>IF(OR(H134="",SUMIF('Backlog'!$B$6:$B$25,"S2",'Backlog'!$E$6:$E$25)=0,Burndown!$B$6="",Burndown!$C$6=""),"",MAX(0,SUMIF('Backlog'!$B$6:$B$25,"S2",'Backlog'!$E$6:$E$25)-SUMIFS('Work Log'!$D$6:$D$205,'Work Log'!$E$6:$E$205,"S2",'Work Log'!$A$6:$A$205,"&lt;="&amp;H134)))</x:f>
      </x:c>
      <x:c r="G134" s="11" t="str">
        <x:f>IF(OR(H134="",SUMIF('Backlog'!$B$6:$B$25,"S2",'Backlog'!$E$6:$E$25)=0,Burndown!$B$6="",Burndown!$C$6="",Burndown!$C$6&lt;=Burndown!$B$6),"",MAX(0,SUMIF('Backlog'!$B$6:$B$25,"S2",'Backlog'!$E$6:$E$25)*(Burndown!$C$6-H134)/(Burndown!$C$6-Burndown!$B$6)))</x:f>
      </x:c>
      <x:c r="H134" s="10" t="str">
        <x:f>IF(OR('Work Log'!$E$137&lt;&gt;"S2",'Work Log'!$A$137=""),"",'Work Log'!$A$137)</x:f>
      </x:c>
      <x:c r="I134" t="str">
        <x:f>IF(L134="","",TEXT(L134,"mm/dd/yy"))</x:f>
      </x:c>
      <x:c r="J134" s="11" t="str">
        <x:f>IF(OR(L134="",SUMIF('Backlog'!$B$6:$B$25,"S3",'Backlog'!$E$6:$E$25)=0,Burndown!$B$7="",Burndown!$C$7=""),"",MAX(0,SUMIF('Backlog'!$B$6:$B$25,"S3",'Backlog'!$E$6:$E$25)-SUMIFS('Work Log'!$D$6:$D$205,'Work Log'!$E$6:$E$205,"S3",'Work Log'!$A$6:$A$205,"&lt;="&amp;L134)))</x:f>
      </x:c>
      <x:c r="K134" s="11" t="str">
        <x:f>IF(OR(L134="",SUMIF('Backlog'!$B$6:$B$25,"S3",'Backlog'!$E$6:$E$25)=0,Burndown!$B$7="",Burndown!$C$7="",Burndown!$C$7&lt;=Burndown!$B$7),"",MAX(0,SUMIF('Backlog'!$B$6:$B$25,"S3",'Backlog'!$E$6:$E$25)*(Burndown!$C$7-L134)/(Burndown!$C$7-Burndown!$B$7)))</x:f>
      </x:c>
      <x:c r="L134" s="10" t="str">
        <x:f>IF(OR('Work Log'!$E$137&lt;&gt;"S3",'Work Log'!$A$137=""),"",'Work Log'!$A$137)</x:f>
      </x:c>
      <x:c r="M134" t="str">
        <x:f>IF(P134="","",TEXT(P134,"mm/dd/yy"))</x:f>
      </x:c>
      <x:c r="N134" s="11" t="str">
        <x:f>IF(OR(P134="",SUMIF('Backlog'!$B$6:$B$25,"S4",'Backlog'!$E$6:$E$25)=0,Burndown!$B$8="",Burndown!$C$8=""),"",MAX(0,SUMIF('Backlog'!$B$6:$B$25,"S4",'Backlog'!$E$6:$E$25)-SUMIFS('Work Log'!$D$6:$D$205,'Work Log'!$E$6:$E$205,"S4",'Work Log'!$A$6:$A$205,"&lt;="&amp;P134)))</x:f>
      </x:c>
      <x:c r="O134" s="11" t="str">
        <x:f>IF(OR(P134="",SUMIF('Backlog'!$B$6:$B$25,"S4",'Backlog'!$E$6:$E$25)=0,Burndown!$B$8="",Burndown!$C$8="",Burndown!$C$8&lt;=Burndown!$B$8),"",MAX(0,SUMIF('Backlog'!$B$6:$B$25,"S4",'Backlog'!$E$6:$E$25)*(Burndown!$C$8-P134)/(Burndown!$C$8-Burndown!$B$8)))</x:f>
      </x:c>
      <x:c r="P134" s="10" t="str">
        <x:f>IF(OR('Work Log'!$E$137&lt;&gt;"S4",'Work Log'!$A$137=""),"",'Work Log'!$A$137)</x:f>
      </x:c>
      <x:c r="Q134" t="str">
        <x:f>IF(T134="","",TEXT(T134,"mm/dd/yy"))</x:f>
      </x:c>
      <x:c r="R134" s="11" t="str">
        <x:f>IF(OR(T134="",SUMIF('Backlog'!$B$6:$B$25,"S5",'Backlog'!$E$6:$E$25)=0,Burndown!$B$9="",Burndown!$C$9=""),"",MAX(0,SUMIF('Backlog'!$B$6:$B$25,"S5",'Backlog'!$E$6:$E$25)-SUMIFS('Work Log'!$D$6:$D$205,'Work Log'!$E$6:$E$205,"S5",'Work Log'!$A$6:$A$205,"&lt;="&amp;T134)))</x:f>
      </x:c>
      <x:c r="S134" s="11" t="str">
        <x:f>IF(OR(T134="",SUMIF('Backlog'!$B$6:$B$25,"S5",'Backlog'!$E$6:$E$25)=0,Burndown!$B$9="",Burndown!$C$9="",Burndown!$C$9&lt;=Burndown!$B$9),"",MAX(0,SUMIF('Backlog'!$B$6:$B$25,"S5",'Backlog'!$E$6:$E$25)*(Burndown!$C$9-T134)/(Burndown!$C$9-Burndown!$B$9)))</x:f>
      </x:c>
      <x:c r="T134" s="10" t="str">
        <x:f>IF(OR('Work Log'!$E$137&lt;&gt;"S5",'Work Log'!$A$137=""),"",'Work Log'!$A$137)</x:f>
      </x:c>
    </x:row>
    <x:row r="135">
      <x:c r="A135" t="str">
        <x:f>IF(D135="","",TEXT(D135,"mm/dd/yy"))</x:f>
      </x:c>
      <x:c r="B135" s="11" t="str">
        <x:f>IF(OR(D135="",SUMIF('Backlog'!$B$6:$B$25,"S1",'Backlog'!$E$6:$E$25)=0,Burndown!$B$5="",Burndown!$C$5=""),"",MAX(0,SUMIF('Backlog'!$B$6:$B$25,"S1",'Backlog'!$E$6:$E$25)-SUMIFS('Work Log'!$D$6:$D$205,'Work Log'!$E$6:$E$205,"S1",'Work Log'!$A$6:$A$205,"&lt;="&amp;D135)))</x:f>
      </x:c>
      <x:c r="C135" s="11" t="str">
        <x:f>IF(OR(D135="",SUMIF('Backlog'!$B$6:$B$25,"S1",'Backlog'!$E$6:$E$25)=0,Burndown!$B$5="",Burndown!$C$5="",Burndown!$C$5&lt;=Burndown!$B$5),"",MAX(0,SUMIF('Backlog'!$B$6:$B$25,"S1",'Backlog'!$E$6:$E$25)*(Burndown!$C$5-D135)/(Burndown!$C$5-Burndown!$B$5)))</x:f>
      </x:c>
      <x:c r="D135" s="10" t="str">
        <x:f>IF(OR('Work Log'!$E$138&lt;&gt;"S1",'Work Log'!$A$138=""),"",'Work Log'!$A$138)</x:f>
      </x:c>
      <x:c r="E135" t="str">
        <x:f>IF(H135="","",TEXT(H135,"mm/dd/yy"))</x:f>
      </x:c>
      <x:c r="F135" s="11" t="str">
        <x:f>IF(OR(H135="",SUMIF('Backlog'!$B$6:$B$25,"S2",'Backlog'!$E$6:$E$25)=0,Burndown!$B$6="",Burndown!$C$6=""),"",MAX(0,SUMIF('Backlog'!$B$6:$B$25,"S2",'Backlog'!$E$6:$E$25)-SUMIFS('Work Log'!$D$6:$D$205,'Work Log'!$E$6:$E$205,"S2",'Work Log'!$A$6:$A$205,"&lt;="&amp;H135)))</x:f>
      </x:c>
      <x:c r="G135" s="11" t="str">
        <x:f>IF(OR(H135="",SUMIF('Backlog'!$B$6:$B$25,"S2",'Backlog'!$E$6:$E$25)=0,Burndown!$B$6="",Burndown!$C$6="",Burndown!$C$6&lt;=Burndown!$B$6),"",MAX(0,SUMIF('Backlog'!$B$6:$B$25,"S2",'Backlog'!$E$6:$E$25)*(Burndown!$C$6-H135)/(Burndown!$C$6-Burndown!$B$6)))</x:f>
      </x:c>
      <x:c r="H135" s="10" t="str">
        <x:f>IF(OR('Work Log'!$E$138&lt;&gt;"S2",'Work Log'!$A$138=""),"",'Work Log'!$A$138)</x:f>
      </x:c>
      <x:c r="I135" t="str">
        <x:f>IF(L135="","",TEXT(L135,"mm/dd/yy"))</x:f>
      </x:c>
      <x:c r="J135" s="11" t="str">
        <x:f>IF(OR(L135="",SUMIF('Backlog'!$B$6:$B$25,"S3",'Backlog'!$E$6:$E$25)=0,Burndown!$B$7="",Burndown!$C$7=""),"",MAX(0,SUMIF('Backlog'!$B$6:$B$25,"S3",'Backlog'!$E$6:$E$25)-SUMIFS('Work Log'!$D$6:$D$205,'Work Log'!$E$6:$E$205,"S3",'Work Log'!$A$6:$A$205,"&lt;="&amp;L135)))</x:f>
      </x:c>
      <x:c r="K135" s="11" t="str">
        <x:f>IF(OR(L135="",SUMIF('Backlog'!$B$6:$B$25,"S3",'Backlog'!$E$6:$E$25)=0,Burndown!$B$7="",Burndown!$C$7="",Burndown!$C$7&lt;=Burndown!$B$7),"",MAX(0,SUMIF('Backlog'!$B$6:$B$25,"S3",'Backlog'!$E$6:$E$25)*(Burndown!$C$7-L135)/(Burndown!$C$7-Burndown!$B$7)))</x:f>
      </x:c>
      <x:c r="L135" s="10" t="str">
        <x:f>IF(OR('Work Log'!$E$138&lt;&gt;"S3",'Work Log'!$A$138=""),"",'Work Log'!$A$138)</x:f>
      </x:c>
      <x:c r="M135" t="str">
        <x:f>IF(P135="","",TEXT(P135,"mm/dd/yy"))</x:f>
      </x:c>
      <x:c r="N135" s="11" t="str">
        <x:f>IF(OR(P135="",SUMIF('Backlog'!$B$6:$B$25,"S4",'Backlog'!$E$6:$E$25)=0,Burndown!$B$8="",Burndown!$C$8=""),"",MAX(0,SUMIF('Backlog'!$B$6:$B$25,"S4",'Backlog'!$E$6:$E$25)-SUMIFS('Work Log'!$D$6:$D$205,'Work Log'!$E$6:$E$205,"S4",'Work Log'!$A$6:$A$205,"&lt;="&amp;P135)))</x:f>
      </x:c>
      <x:c r="O135" s="11" t="str">
        <x:f>IF(OR(P135="",SUMIF('Backlog'!$B$6:$B$25,"S4",'Backlog'!$E$6:$E$25)=0,Burndown!$B$8="",Burndown!$C$8="",Burndown!$C$8&lt;=Burndown!$B$8),"",MAX(0,SUMIF('Backlog'!$B$6:$B$25,"S4",'Backlog'!$E$6:$E$25)*(Burndown!$C$8-P135)/(Burndown!$C$8-Burndown!$B$8)))</x:f>
      </x:c>
      <x:c r="P135" s="10" t="str">
        <x:f>IF(OR('Work Log'!$E$138&lt;&gt;"S4",'Work Log'!$A$138=""),"",'Work Log'!$A$138)</x:f>
      </x:c>
      <x:c r="Q135" t="str">
        <x:f>IF(T135="","",TEXT(T135,"mm/dd/yy"))</x:f>
      </x:c>
      <x:c r="R135" s="11" t="str">
        <x:f>IF(OR(T135="",SUMIF('Backlog'!$B$6:$B$25,"S5",'Backlog'!$E$6:$E$25)=0,Burndown!$B$9="",Burndown!$C$9=""),"",MAX(0,SUMIF('Backlog'!$B$6:$B$25,"S5",'Backlog'!$E$6:$E$25)-SUMIFS('Work Log'!$D$6:$D$205,'Work Log'!$E$6:$E$205,"S5",'Work Log'!$A$6:$A$205,"&lt;="&amp;T135)))</x:f>
      </x:c>
      <x:c r="S135" s="11" t="str">
        <x:f>IF(OR(T135="",SUMIF('Backlog'!$B$6:$B$25,"S5",'Backlog'!$E$6:$E$25)=0,Burndown!$B$9="",Burndown!$C$9="",Burndown!$C$9&lt;=Burndown!$B$9),"",MAX(0,SUMIF('Backlog'!$B$6:$B$25,"S5",'Backlog'!$E$6:$E$25)*(Burndown!$C$9-T135)/(Burndown!$C$9-Burndown!$B$9)))</x:f>
      </x:c>
      <x:c r="T135" s="10" t="str">
        <x:f>IF(OR('Work Log'!$E$138&lt;&gt;"S5",'Work Log'!$A$138=""),"",'Work Log'!$A$138)</x:f>
      </x:c>
    </x:row>
    <x:row r="136">
      <x:c r="A136" t="str">
        <x:f>IF(D136="","",TEXT(D136,"mm/dd/yy"))</x:f>
      </x:c>
      <x:c r="B136" s="11" t="str">
        <x:f>IF(OR(D136="",SUMIF('Backlog'!$B$6:$B$25,"S1",'Backlog'!$E$6:$E$25)=0,Burndown!$B$5="",Burndown!$C$5=""),"",MAX(0,SUMIF('Backlog'!$B$6:$B$25,"S1",'Backlog'!$E$6:$E$25)-SUMIFS('Work Log'!$D$6:$D$205,'Work Log'!$E$6:$E$205,"S1",'Work Log'!$A$6:$A$205,"&lt;="&amp;D136)))</x:f>
      </x:c>
      <x:c r="C136" s="11" t="str">
        <x:f>IF(OR(D136="",SUMIF('Backlog'!$B$6:$B$25,"S1",'Backlog'!$E$6:$E$25)=0,Burndown!$B$5="",Burndown!$C$5="",Burndown!$C$5&lt;=Burndown!$B$5),"",MAX(0,SUMIF('Backlog'!$B$6:$B$25,"S1",'Backlog'!$E$6:$E$25)*(Burndown!$C$5-D136)/(Burndown!$C$5-Burndown!$B$5)))</x:f>
      </x:c>
      <x:c r="D136" s="10" t="str">
        <x:f>IF(OR('Work Log'!$E$139&lt;&gt;"S1",'Work Log'!$A$139=""),"",'Work Log'!$A$139)</x:f>
      </x:c>
      <x:c r="E136" t="str">
        <x:f>IF(H136="","",TEXT(H136,"mm/dd/yy"))</x:f>
      </x:c>
      <x:c r="F136" s="11" t="str">
        <x:f>IF(OR(H136="",SUMIF('Backlog'!$B$6:$B$25,"S2",'Backlog'!$E$6:$E$25)=0,Burndown!$B$6="",Burndown!$C$6=""),"",MAX(0,SUMIF('Backlog'!$B$6:$B$25,"S2",'Backlog'!$E$6:$E$25)-SUMIFS('Work Log'!$D$6:$D$205,'Work Log'!$E$6:$E$205,"S2",'Work Log'!$A$6:$A$205,"&lt;="&amp;H136)))</x:f>
      </x:c>
      <x:c r="G136" s="11" t="str">
        <x:f>IF(OR(H136="",SUMIF('Backlog'!$B$6:$B$25,"S2",'Backlog'!$E$6:$E$25)=0,Burndown!$B$6="",Burndown!$C$6="",Burndown!$C$6&lt;=Burndown!$B$6),"",MAX(0,SUMIF('Backlog'!$B$6:$B$25,"S2",'Backlog'!$E$6:$E$25)*(Burndown!$C$6-H136)/(Burndown!$C$6-Burndown!$B$6)))</x:f>
      </x:c>
      <x:c r="H136" s="10" t="str">
        <x:f>IF(OR('Work Log'!$E$139&lt;&gt;"S2",'Work Log'!$A$139=""),"",'Work Log'!$A$139)</x:f>
      </x:c>
      <x:c r="I136" t="str">
        <x:f>IF(L136="","",TEXT(L136,"mm/dd/yy"))</x:f>
      </x:c>
      <x:c r="J136" s="11" t="str">
        <x:f>IF(OR(L136="",SUMIF('Backlog'!$B$6:$B$25,"S3",'Backlog'!$E$6:$E$25)=0,Burndown!$B$7="",Burndown!$C$7=""),"",MAX(0,SUMIF('Backlog'!$B$6:$B$25,"S3",'Backlog'!$E$6:$E$25)-SUMIFS('Work Log'!$D$6:$D$205,'Work Log'!$E$6:$E$205,"S3",'Work Log'!$A$6:$A$205,"&lt;="&amp;L136)))</x:f>
      </x:c>
      <x:c r="K136" s="11" t="str">
        <x:f>IF(OR(L136="",SUMIF('Backlog'!$B$6:$B$25,"S3",'Backlog'!$E$6:$E$25)=0,Burndown!$B$7="",Burndown!$C$7="",Burndown!$C$7&lt;=Burndown!$B$7),"",MAX(0,SUMIF('Backlog'!$B$6:$B$25,"S3",'Backlog'!$E$6:$E$25)*(Burndown!$C$7-L136)/(Burndown!$C$7-Burndown!$B$7)))</x:f>
      </x:c>
      <x:c r="L136" s="10" t="str">
        <x:f>IF(OR('Work Log'!$E$139&lt;&gt;"S3",'Work Log'!$A$139=""),"",'Work Log'!$A$139)</x:f>
      </x:c>
      <x:c r="M136" t="str">
        <x:f>IF(P136="","",TEXT(P136,"mm/dd/yy"))</x:f>
      </x:c>
      <x:c r="N136" s="11" t="str">
        <x:f>IF(OR(P136="",SUMIF('Backlog'!$B$6:$B$25,"S4",'Backlog'!$E$6:$E$25)=0,Burndown!$B$8="",Burndown!$C$8=""),"",MAX(0,SUMIF('Backlog'!$B$6:$B$25,"S4",'Backlog'!$E$6:$E$25)-SUMIFS('Work Log'!$D$6:$D$205,'Work Log'!$E$6:$E$205,"S4",'Work Log'!$A$6:$A$205,"&lt;="&amp;P136)))</x:f>
      </x:c>
      <x:c r="O136" s="11" t="str">
        <x:f>IF(OR(P136="",SUMIF('Backlog'!$B$6:$B$25,"S4",'Backlog'!$E$6:$E$25)=0,Burndown!$B$8="",Burndown!$C$8="",Burndown!$C$8&lt;=Burndown!$B$8),"",MAX(0,SUMIF('Backlog'!$B$6:$B$25,"S4",'Backlog'!$E$6:$E$25)*(Burndown!$C$8-P136)/(Burndown!$C$8-Burndown!$B$8)))</x:f>
      </x:c>
      <x:c r="P136" s="10" t="str">
        <x:f>IF(OR('Work Log'!$E$139&lt;&gt;"S4",'Work Log'!$A$139=""),"",'Work Log'!$A$139)</x:f>
      </x:c>
      <x:c r="Q136" t="str">
        <x:f>IF(T136="","",TEXT(T136,"mm/dd/yy"))</x:f>
      </x:c>
      <x:c r="R136" s="11" t="str">
        <x:f>IF(OR(T136="",SUMIF('Backlog'!$B$6:$B$25,"S5",'Backlog'!$E$6:$E$25)=0,Burndown!$B$9="",Burndown!$C$9=""),"",MAX(0,SUMIF('Backlog'!$B$6:$B$25,"S5",'Backlog'!$E$6:$E$25)-SUMIFS('Work Log'!$D$6:$D$205,'Work Log'!$E$6:$E$205,"S5",'Work Log'!$A$6:$A$205,"&lt;="&amp;T136)))</x:f>
      </x:c>
      <x:c r="S136" s="11" t="str">
        <x:f>IF(OR(T136="",SUMIF('Backlog'!$B$6:$B$25,"S5",'Backlog'!$E$6:$E$25)=0,Burndown!$B$9="",Burndown!$C$9="",Burndown!$C$9&lt;=Burndown!$B$9),"",MAX(0,SUMIF('Backlog'!$B$6:$B$25,"S5",'Backlog'!$E$6:$E$25)*(Burndown!$C$9-T136)/(Burndown!$C$9-Burndown!$B$9)))</x:f>
      </x:c>
      <x:c r="T136" s="10" t="str">
        <x:f>IF(OR('Work Log'!$E$139&lt;&gt;"S5",'Work Log'!$A$139=""),"",'Work Log'!$A$139)</x:f>
      </x:c>
    </x:row>
    <x:row r="137">
      <x:c r="A137" t="str">
        <x:f>IF(D137="","",TEXT(D137,"mm/dd/yy"))</x:f>
      </x:c>
      <x:c r="B137" s="11" t="str">
        <x:f>IF(OR(D137="",SUMIF('Backlog'!$B$6:$B$25,"S1",'Backlog'!$E$6:$E$25)=0,Burndown!$B$5="",Burndown!$C$5=""),"",MAX(0,SUMIF('Backlog'!$B$6:$B$25,"S1",'Backlog'!$E$6:$E$25)-SUMIFS('Work Log'!$D$6:$D$205,'Work Log'!$E$6:$E$205,"S1",'Work Log'!$A$6:$A$205,"&lt;="&amp;D137)))</x:f>
      </x:c>
      <x:c r="C137" s="11" t="str">
        <x:f>IF(OR(D137="",SUMIF('Backlog'!$B$6:$B$25,"S1",'Backlog'!$E$6:$E$25)=0,Burndown!$B$5="",Burndown!$C$5="",Burndown!$C$5&lt;=Burndown!$B$5),"",MAX(0,SUMIF('Backlog'!$B$6:$B$25,"S1",'Backlog'!$E$6:$E$25)*(Burndown!$C$5-D137)/(Burndown!$C$5-Burndown!$B$5)))</x:f>
      </x:c>
      <x:c r="D137" s="10" t="str">
        <x:f>IF(OR('Work Log'!$E$140&lt;&gt;"S1",'Work Log'!$A$140=""),"",'Work Log'!$A$140)</x:f>
      </x:c>
      <x:c r="E137" t="str">
        <x:f>IF(H137="","",TEXT(H137,"mm/dd/yy"))</x:f>
      </x:c>
      <x:c r="F137" s="11" t="str">
        <x:f>IF(OR(H137="",SUMIF('Backlog'!$B$6:$B$25,"S2",'Backlog'!$E$6:$E$25)=0,Burndown!$B$6="",Burndown!$C$6=""),"",MAX(0,SUMIF('Backlog'!$B$6:$B$25,"S2",'Backlog'!$E$6:$E$25)-SUMIFS('Work Log'!$D$6:$D$205,'Work Log'!$E$6:$E$205,"S2",'Work Log'!$A$6:$A$205,"&lt;="&amp;H137)))</x:f>
      </x:c>
      <x:c r="G137" s="11" t="str">
        <x:f>IF(OR(H137="",SUMIF('Backlog'!$B$6:$B$25,"S2",'Backlog'!$E$6:$E$25)=0,Burndown!$B$6="",Burndown!$C$6="",Burndown!$C$6&lt;=Burndown!$B$6),"",MAX(0,SUMIF('Backlog'!$B$6:$B$25,"S2",'Backlog'!$E$6:$E$25)*(Burndown!$C$6-H137)/(Burndown!$C$6-Burndown!$B$6)))</x:f>
      </x:c>
      <x:c r="H137" s="10" t="str">
        <x:f>IF(OR('Work Log'!$E$140&lt;&gt;"S2",'Work Log'!$A$140=""),"",'Work Log'!$A$140)</x:f>
      </x:c>
      <x:c r="I137" t="str">
        <x:f>IF(L137="","",TEXT(L137,"mm/dd/yy"))</x:f>
      </x:c>
      <x:c r="J137" s="11" t="str">
        <x:f>IF(OR(L137="",SUMIF('Backlog'!$B$6:$B$25,"S3",'Backlog'!$E$6:$E$25)=0,Burndown!$B$7="",Burndown!$C$7=""),"",MAX(0,SUMIF('Backlog'!$B$6:$B$25,"S3",'Backlog'!$E$6:$E$25)-SUMIFS('Work Log'!$D$6:$D$205,'Work Log'!$E$6:$E$205,"S3",'Work Log'!$A$6:$A$205,"&lt;="&amp;L137)))</x:f>
      </x:c>
      <x:c r="K137" s="11" t="str">
        <x:f>IF(OR(L137="",SUMIF('Backlog'!$B$6:$B$25,"S3",'Backlog'!$E$6:$E$25)=0,Burndown!$B$7="",Burndown!$C$7="",Burndown!$C$7&lt;=Burndown!$B$7),"",MAX(0,SUMIF('Backlog'!$B$6:$B$25,"S3",'Backlog'!$E$6:$E$25)*(Burndown!$C$7-L137)/(Burndown!$C$7-Burndown!$B$7)))</x:f>
      </x:c>
      <x:c r="L137" s="10" t="str">
        <x:f>IF(OR('Work Log'!$E$140&lt;&gt;"S3",'Work Log'!$A$140=""),"",'Work Log'!$A$140)</x:f>
      </x:c>
      <x:c r="M137" t="str">
        <x:f>IF(P137="","",TEXT(P137,"mm/dd/yy"))</x:f>
      </x:c>
      <x:c r="N137" s="11" t="str">
        <x:f>IF(OR(P137="",SUMIF('Backlog'!$B$6:$B$25,"S4",'Backlog'!$E$6:$E$25)=0,Burndown!$B$8="",Burndown!$C$8=""),"",MAX(0,SUMIF('Backlog'!$B$6:$B$25,"S4",'Backlog'!$E$6:$E$25)-SUMIFS('Work Log'!$D$6:$D$205,'Work Log'!$E$6:$E$205,"S4",'Work Log'!$A$6:$A$205,"&lt;="&amp;P137)))</x:f>
      </x:c>
      <x:c r="O137" s="11" t="str">
        <x:f>IF(OR(P137="",SUMIF('Backlog'!$B$6:$B$25,"S4",'Backlog'!$E$6:$E$25)=0,Burndown!$B$8="",Burndown!$C$8="",Burndown!$C$8&lt;=Burndown!$B$8),"",MAX(0,SUMIF('Backlog'!$B$6:$B$25,"S4",'Backlog'!$E$6:$E$25)*(Burndown!$C$8-P137)/(Burndown!$C$8-Burndown!$B$8)))</x:f>
      </x:c>
      <x:c r="P137" s="10" t="str">
        <x:f>IF(OR('Work Log'!$E$140&lt;&gt;"S4",'Work Log'!$A$140=""),"",'Work Log'!$A$140)</x:f>
      </x:c>
      <x:c r="Q137" t="str">
        <x:f>IF(T137="","",TEXT(T137,"mm/dd/yy"))</x:f>
      </x:c>
      <x:c r="R137" s="11" t="str">
        <x:f>IF(OR(T137="",SUMIF('Backlog'!$B$6:$B$25,"S5",'Backlog'!$E$6:$E$25)=0,Burndown!$B$9="",Burndown!$C$9=""),"",MAX(0,SUMIF('Backlog'!$B$6:$B$25,"S5",'Backlog'!$E$6:$E$25)-SUMIFS('Work Log'!$D$6:$D$205,'Work Log'!$E$6:$E$205,"S5",'Work Log'!$A$6:$A$205,"&lt;="&amp;T137)))</x:f>
      </x:c>
      <x:c r="S137" s="11" t="str">
        <x:f>IF(OR(T137="",SUMIF('Backlog'!$B$6:$B$25,"S5",'Backlog'!$E$6:$E$25)=0,Burndown!$B$9="",Burndown!$C$9="",Burndown!$C$9&lt;=Burndown!$B$9),"",MAX(0,SUMIF('Backlog'!$B$6:$B$25,"S5",'Backlog'!$E$6:$E$25)*(Burndown!$C$9-T137)/(Burndown!$C$9-Burndown!$B$9)))</x:f>
      </x:c>
      <x:c r="T137" s="10" t="str">
        <x:f>IF(OR('Work Log'!$E$140&lt;&gt;"S5",'Work Log'!$A$140=""),"",'Work Log'!$A$140)</x:f>
      </x:c>
    </x:row>
    <x:row r="138">
      <x:c r="A138" t="str">
        <x:f>IF(D138="","",TEXT(D138,"mm/dd/yy"))</x:f>
      </x:c>
      <x:c r="B138" s="11" t="str">
        <x:f>IF(OR(D138="",SUMIF('Backlog'!$B$6:$B$25,"S1",'Backlog'!$E$6:$E$25)=0,Burndown!$B$5="",Burndown!$C$5=""),"",MAX(0,SUMIF('Backlog'!$B$6:$B$25,"S1",'Backlog'!$E$6:$E$25)-SUMIFS('Work Log'!$D$6:$D$205,'Work Log'!$E$6:$E$205,"S1",'Work Log'!$A$6:$A$205,"&lt;="&amp;D138)))</x:f>
      </x:c>
      <x:c r="C138" s="11" t="str">
        <x:f>IF(OR(D138="",SUMIF('Backlog'!$B$6:$B$25,"S1",'Backlog'!$E$6:$E$25)=0,Burndown!$B$5="",Burndown!$C$5="",Burndown!$C$5&lt;=Burndown!$B$5),"",MAX(0,SUMIF('Backlog'!$B$6:$B$25,"S1",'Backlog'!$E$6:$E$25)*(Burndown!$C$5-D138)/(Burndown!$C$5-Burndown!$B$5)))</x:f>
      </x:c>
      <x:c r="D138" s="10" t="str">
        <x:f>IF(OR('Work Log'!$E$141&lt;&gt;"S1",'Work Log'!$A$141=""),"",'Work Log'!$A$141)</x:f>
      </x:c>
      <x:c r="E138" t="str">
        <x:f>IF(H138="","",TEXT(H138,"mm/dd/yy"))</x:f>
      </x:c>
      <x:c r="F138" s="11" t="str">
        <x:f>IF(OR(H138="",SUMIF('Backlog'!$B$6:$B$25,"S2",'Backlog'!$E$6:$E$25)=0,Burndown!$B$6="",Burndown!$C$6=""),"",MAX(0,SUMIF('Backlog'!$B$6:$B$25,"S2",'Backlog'!$E$6:$E$25)-SUMIFS('Work Log'!$D$6:$D$205,'Work Log'!$E$6:$E$205,"S2",'Work Log'!$A$6:$A$205,"&lt;="&amp;H138)))</x:f>
      </x:c>
      <x:c r="G138" s="11" t="str">
        <x:f>IF(OR(H138="",SUMIF('Backlog'!$B$6:$B$25,"S2",'Backlog'!$E$6:$E$25)=0,Burndown!$B$6="",Burndown!$C$6="",Burndown!$C$6&lt;=Burndown!$B$6),"",MAX(0,SUMIF('Backlog'!$B$6:$B$25,"S2",'Backlog'!$E$6:$E$25)*(Burndown!$C$6-H138)/(Burndown!$C$6-Burndown!$B$6)))</x:f>
      </x:c>
      <x:c r="H138" s="10" t="str">
        <x:f>IF(OR('Work Log'!$E$141&lt;&gt;"S2",'Work Log'!$A$141=""),"",'Work Log'!$A$141)</x:f>
      </x:c>
      <x:c r="I138" t="str">
        <x:f>IF(L138="","",TEXT(L138,"mm/dd/yy"))</x:f>
      </x:c>
      <x:c r="J138" s="11" t="str">
        <x:f>IF(OR(L138="",SUMIF('Backlog'!$B$6:$B$25,"S3",'Backlog'!$E$6:$E$25)=0,Burndown!$B$7="",Burndown!$C$7=""),"",MAX(0,SUMIF('Backlog'!$B$6:$B$25,"S3",'Backlog'!$E$6:$E$25)-SUMIFS('Work Log'!$D$6:$D$205,'Work Log'!$E$6:$E$205,"S3",'Work Log'!$A$6:$A$205,"&lt;="&amp;L138)))</x:f>
      </x:c>
      <x:c r="K138" s="11" t="str">
        <x:f>IF(OR(L138="",SUMIF('Backlog'!$B$6:$B$25,"S3",'Backlog'!$E$6:$E$25)=0,Burndown!$B$7="",Burndown!$C$7="",Burndown!$C$7&lt;=Burndown!$B$7),"",MAX(0,SUMIF('Backlog'!$B$6:$B$25,"S3",'Backlog'!$E$6:$E$25)*(Burndown!$C$7-L138)/(Burndown!$C$7-Burndown!$B$7)))</x:f>
      </x:c>
      <x:c r="L138" s="10" t="str">
        <x:f>IF(OR('Work Log'!$E$141&lt;&gt;"S3",'Work Log'!$A$141=""),"",'Work Log'!$A$141)</x:f>
      </x:c>
      <x:c r="M138" t="str">
        <x:f>IF(P138="","",TEXT(P138,"mm/dd/yy"))</x:f>
      </x:c>
      <x:c r="N138" s="11" t="str">
        <x:f>IF(OR(P138="",SUMIF('Backlog'!$B$6:$B$25,"S4",'Backlog'!$E$6:$E$25)=0,Burndown!$B$8="",Burndown!$C$8=""),"",MAX(0,SUMIF('Backlog'!$B$6:$B$25,"S4",'Backlog'!$E$6:$E$25)-SUMIFS('Work Log'!$D$6:$D$205,'Work Log'!$E$6:$E$205,"S4",'Work Log'!$A$6:$A$205,"&lt;="&amp;P138)))</x:f>
      </x:c>
      <x:c r="O138" s="11" t="str">
        <x:f>IF(OR(P138="",SUMIF('Backlog'!$B$6:$B$25,"S4",'Backlog'!$E$6:$E$25)=0,Burndown!$B$8="",Burndown!$C$8="",Burndown!$C$8&lt;=Burndown!$B$8),"",MAX(0,SUMIF('Backlog'!$B$6:$B$25,"S4",'Backlog'!$E$6:$E$25)*(Burndown!$C$8-P138)/(Burndown!$C$8-Burndown!$B$8)))</x:f>
      </x:c>
      <x:c r="P138" s="10" t="str">
        <x:f>IF(OR('Work Log'!$E$141&lt;&gt;"S4",'Work Log'!$A$141=""),"",'Work Log'!$A$141)</x:f>
      </x:c>
      <x:c r="Q138" t="str">
        <x:f>IF(T138="","",TEXT(T138,"mm/dd/yy"))</x:f>
      </x:c>
      <x:c r="R138" s="11" t="str">
        <x:f>IF(OR(T138="",SUMIF('Backlog'!$B$6:$B$25,"S5",'Backlog'!$E$6:$E$25)=0,Burndown!$B$9="",Burndown!$C$9=""),"",MAX(0,SUMIF('Backlog'!$B$6:$B$25,"S5",'Backlog'!$E$6:$E$25)-SUMIFS('Work Log'!$D$6:$D$205,'Work Log'!$E$6:$E$205,"S5",'Work Log'!$A$6:$A$205,"&lt;="&amp;T138)))</x:f>
      </x:c>
      <x:c r="S138" s="11" t="str">
        <x:f>IF(OR(T138="",SUMIF('Backlog'!$B$6:$B$25,"S5",'Backlog'!$E$6:$E$25)=0,Burndown!$B$9="",Burndown!$C$9="",Burndown!$C$9&lt;=Burndown!$B$9),"",MAX(0,SUMIF('Backlog'!$B$6:$B$25,"S5",'Backlog'!$E$6:$E$25)*(Burndown!$C$9-T138)/(Burndown!$C$9-Burndown!$B$9)))</x:f>
      </x:c>
      <x:c r="T138" s="10" t="str">
        <x:f>IF(OR('Work Log'!$E$141&lt;&gt;"S5",'Work Log'!$A$141=""),"",'Work Log'!$A$141)</x:f>
      </x:c>
    </x:row>
    <x:row r="139">
      <x:c r="A139" t="str">
        <x:f>IF(D139="","",TEXT(D139,"mm/dd/yy"))</x:f>
      </x:c>
      <x:c r="B139" s="11" t="str">
        <x:f>IF(OR(D139="",SUMIF('Backlog'!$B$6:$B$25,"S1",'Backlog'!$E$6:$E$25)=0,Burndown!$B$5="",Burndown!$C$5=""),"",MAX(0,SUMIF('Backlog'!$B$6:$B$25,"S1",'Backlog'!$E$6:$E$25)-SUMIFS('Work Log'!$D$6:$D$205,'Work Log'!$E$6:$E$205,"S1",'Work Log'!$A$6:$A$205,"&lt;="&amp;D139)))</x:f>
      </x:c>
      <x:c r="C139" s="11" t="str">
        <x:f>IF(OR(D139="",SUMIF('Backlog'!$B$6:$B$25,"S1",'Backlog'!$E$6:$E$25)=0,Burndown!$B$5="",Burndown!$C$5="",Burndown!$C$5&lt;=Burndown!$B$5),"",MAX(0,SUMIF('Backlog'!$B$6:$B$25,"S1",'Backlog'!$E$6:$E$25)*(Burndown!$C$5-D139)/(Burndown!$C$5-Burndown!$B$5)))</x:f>
      </x:c>
      <x:c r="D139" s="10" t="str">
        <x:f>IF(OR('Work Log'!$E$142&lt;&gt;"S1",'Work Log'!$A$142=""),"",'Work Log'!$A$142)</x:f>
      </x:c>
      <x:c r="E139" t="str">
        <x:f>IF(H139="","",TEXT(H139,"mm/dd/yy"))</x:f>
      </x:c>
      <x:c r="F139" s="11" t="str">
        <x:f>IF(OR(H139="",SUMIF('Backlog'!$B$6:$B$25,"S2",'Backlog'!$E$6:$E$25)=0,Burndown!$B$6="",Burndown!$C$6=""),"",MAX(0,SUMIF('Backlog'!$B$6:$B$25,"S2",'Backlog'!$E$6:$E$25)-SUMIFS('Work Log'!$D$6:$D$205,'Work Log'!$E$6:$E$205,"S2",'Work Log'!$A$6:$A$205,"&lt;="&amp;H139)))</x:f>
      </x:c>
      <x:c r="G139" s="11" t="str">
        <x:f>IF(OR(H139="",SUMIF('Backlog'!$B$6:$B$25,"S2",'Backlog'!$E$6:$E$25)=0,Burndown!$B$6="",Burndown!$C$6="",Burndown!$C$6&lt;=Burndown!$B$6),"",MAX(0,SUMIF('Backlog'!$B$6:$B$25,"S2",'Backlog'!$E$6:$E$25)*(Burndown!$C$6-H139)/(Burndown!$C$6-Burndown!$B$6)))</x:f>
      </x:c>
      <x:c r="H139" s="10" t="str">
        <x:f>IF(OR('Work Log'!$E$142&lt;&gt;"S2",'Work Log'!$A$142=""),"",'Work Log'!$A$142)</x:f>
      </x:c>
      <x:c r="I139" t="str">
        <x:f>IF(L139="","",TEXT(L139,"mm/dd/yy"))</x:f>
      </x:c>
      <x:c r="J139" s="11" t="str">
        <x:f>IF(OR(L139="",SUMIF('Backlog'!$B$6:$B$25,"S3",'Backlog'!$E$6:$E$25)=0,Burndown!$B$7="",Burndown!$C$7=""),"",MAX(0,SUMIF('Backlog'!$B$6:$B$25,"S3",'Backlog'!$E$6:$E$25)-SUMIFS('Work Log'!$D$6:$D$205,'Work Log'!$E$6:$E$205,"S3",'Work Log'!$A$6:$A$205,"&lt;="&amp;L139)))</x:f>
      </x:c>
      <x:c r="K139" s="11" t="str">
        <x:f>IF(OR(L139="",SUMIF('Backlog'!$B$6:$B$25,"S3",'Backlog'!$E$6:$E$25)=0,Burndown!$B$7="",Burndown!$C$7="",Burndown!$C$7&lt;=Burndown!$B$7),"",MAX(0,SUMIF('Backlog'!$B$6:$B$25,"S3",'Backlog'!$E$6:$E$25)*(Burndown!$C$7-L139)/(Burndown!$C$7-Burndown!$B$7)))</x:f>
      </x:c>
      <x:c r="L139" s="10" t="str">
        <x:f>IF(OR('Work Log'!$E$142&lt;&gt;"S3",'Work Log'!$A$142=""),"",'Work Log'!$A$142)</x:f>
      </x:c>
      <x:c r="M139" t="str">
        <x:f>IF(P139="","",TEXT(P139,"mm/dd/yy"))</x:f>
      </x:c>
      <x:c r="N139" s="11" t="str">
        <x:f>IF(OR(P139="",SUMIF('Backlog'!$B$6:$B$25,"S4",'Backlog'!$E$6:$E$25)=0,Burndown!$B$8="",Burndown!$C$8=""),"",MAX(0,SUMIF('Backlog'!$B$6:$B$25,"S4",'Backlog'!$E$6:$E$25)-SUMIFS('Work Log'!$D$6:$D$205,'Work Log'!$E$6:$E$205,"S4",'Work Log'!$A$6:$A$205,"&lt;="&amp;P139)))</x:f>
      </x:c>
      <x:c r="O139" s="11" t="str">
        <x:f>IF(OR(P139="",SUMIF('Backlog'!$B$6:$B$25,"S4",'Backlog'!$E$6:$E$25)=0,Burndown!$B$8="",Burndown!$C$8="",Burndown!$C$8&lt;=Burndown!$B$8),"",MAX(0,SUMIF('Backlog'!$B$6:$B$25,"S4",'Backlog'!$E$6:$E$25)*(Burndown!$C$8-P139)/(Burndown!$C$8-Burndown!$B$8)))</x:f>
      </x:c>
      <x:c r="P139" s="10" t="str">
        <x:f>IF(OR('Work Log'!$E$142&lt;&gt;"S4",'Work Log'!$A$142=""),"",'Work Log'!$A$142)</x:f>
      </x:c>
      <x:c r="Q139" t="str">
        <x:f>IF(T139="","",TEXT(T139,"mm/dd/yy"))</x:f>
      </x:c>
      <x:c r="R139" s="11" t="str">
        <x:f>IF(OR(T139="",SUMIF('Backlog'!$B$6:$B$25,"S5",'Backlog'!$E$6:$E$25)=0,Burndown!$B$9="",Burndown!$C$9=""),"",MAX(0,SUMIF('Backlog'!$B$6:$B$25,"S5",'Backlog'!$E$6:$E$25)-SUMIFS('Work Log'!$D$6:$D$205,'Work Log'!$E$6:$E$205,"S5",'Work Log'!$A$6:$A$205,"&lt;="&amp;T139)))</x:f>
      </x:c>
      <x:c r="S139" s="11" t="str">
        <x:f>IF(OR(T139="",SUMIF('Backlog'!$B$6:$B$25,"S5",'Backlog'!$E$6:$E$25)=0,Burndown!$B$9="",Burndown!$C$9="",Burndown!$C$9&lt;=Burndown!$B$9),"",MAX(0,SUMIF('Backlog'!$B$6:$B$25,"S5",'Backlog'!$E$6:$E$25)*(Burndown!$C$9-T139)/(Burndown!$C$9-Burndown!$B$9)))</x:f>
      </x:c>
      <x:c r="T139" s="10" t="str">
        <x:f>IF(OR('Work Log'!$E$142&lt;&gt;"S5",'Work Log'!$A$142=""),"",'Work Log'!$A$142)</x:f>
      </x:c>
    </x:row>
    <x:row r="140">
      <x:c r="A140" t="str">
        <x:f>IF(D140="","",TEXT(D140,"mm/dd/yy"))</x:f>
      </x:c>
      <x:c r="B140" s="11" t="str">
        <x:f>IF(OR(D140="",SUMIF('Backlog'!$B$6:$B$25,"S1",'Backlog'!$E$6:$E$25)=0,Burndown!$B$5="",Burndown!$C$5=""),"",MAX(0,SUMIF('Backlog'!$B$6:$B$25,"S1",'Backlog'!$E$6:$E$25)-SUMIFS('Work Log'!$D$6:$D$205,'Work Log'!$E$6:$E$205,"S1",'Work Log'!$A$6:$A$205,"&lt;="&amp;D140)))</x:f>
      </x:c>
      <x:c r="C140" s="11" t="str">
        <x:f>IF(OR(D140="",SUMIF('Backlog'!$B$6:$B$25,"S1",'Backlog'!$E$6:$E$25)=0,Burndown!$B$5="",Burndown!$C$5="",Burndown!$C$5&lt;=Burndown!$B$5),"",MAX(0,SUMIF('Backlog'!$B$6:$B$25,"S1",'Backlog'!$E$6:$E$25)*(Burndown!$C$5-D140)/(Burndown!$C$5-Burndown!$B$5)))</x:f>
      </x:c>
      <x:c r="D140" s="10" t="str">
        <x:f>IF(OR('Work Log'!$E$143&lt;&gt;"S1",'Work Log'!$A$143=""),"",'Work Log'!$A$143)</x:f>
      </x:c>
      <x:c r="E140" t="str">
        <x:f>IF(H140="","",TEXT(H140,"mm/dd/yy"))</x:f>
      </x:c>
      <x:c r="F140" s="11" t="str">
        <x:f>IF(OR(H140="",SUMIF('Backlog'!$B$6:$B$25,"S2",'Backlog'!$E$6:$E$25)=0,Burndown!$B$6="",Burndown!$C$6=""),"",MAX(0,SUMIF('Backlog'!$B$6:$B$25,"S2",'Backlog'!$E$6:$E$25)-SUMIFS('Work Log'!$D$6:$D$205,'Work Log'!$E$6:$E$205,"S2",'Work Log'!$A$6:$A$205,"&lt;="&amp;H140)))</x:f>
      </x:c>
      <x:c r="G140" s="11" t="str">
        <x:f>IF(OR(H140="",SUMIF('Backlog'!$B$6:$B$25,"S2",'Backlog'!$E$6:$E$25)=0,Burndown!$B$6="",Burndown!$C$6="",Burndown!$C$6&lt;=Burndown!$B$6),"",MAX(0,SUMIF('Backlog'!$B$6:$B$25,"S2",'Backlog'!$E$6:$E$25)*(Burndown!$C$6-H140)/(Burndown!$C$6-Burndown!$B$6)))</x:f>
      </x:c>
      <x:c r="H140" s="10" t="str">
        <x:f>IF(OR('Work Log'!$E$143&lt;&gt;"S2",'Work Log'!$A$143=""),"",'Work Log'!$A$143)</x:f>
      </x:c>
      <x:c r="I140" t="str">
        <x:f>IF(L140="","",TEXT(L140,"mm/dd/yy"))</x:f>
      </x:c>
      <x:c r="J140" s="11" t="str">
        <x:f>IF(OR(L140="",SUMIF('Backlog'!$B$6:$B$25,"S3",'Backlog'!$E$6:$E$25)=0,Burndown!$B$7="",Burndown!$C$7=""),"",MAX(0,SUMIF('Backlog'!$B$6:$B$25,"S3",'Backlog'!$E$6:$E$25)-SUMIFS('Work Log'!$D$6:$D$205,'Work Log'!$E$6:$E$205,"S3",'Work Log'!$A$6:$A$205,"&lt;="&amp;L140)))</x:f>
      </x:c>
      <x:c r="K140" s="11" t="str">
        <x:f>IF(OR(L140="",SUMIF('Backlog'!$B$6:$B$25,"S3",'Backlog'!$E$6:$E$25)=0,Burndown!$B$7="",Burndown!$C$7="",Burndown!$C$7&lt;=Burndown!$B$7),"",MAX(0,SUMIF('Backlog'!$B$6:$B$25,"S3",'Backlog'!$E$6:$E$25)*(Burndown!$C$7-L140)/(Burndown!$C$7-Burndown!$B$7)))</x:f>
      </x:c>
      <x:c r="L140" s="10" t="str">
        <x:f>IF(OR('Work Log'!$E$143&lt;&gt;"S3",'Work Log'!$A$143=""),"",'Work Log'!$A$143)</x:f>
      </x:c>
      <x:c r="M140" t="str">
        <x:f>IF(P140="","",TEXT(P140,"mm/dd/yy"))</x:f>
      </x:c>
      <x:c r="N140" s="11" t="str">
        <x:f>IF(OR(P140="",SUMIF('Backlog'!$B$6:$B$25,"S4",'Backlog'!$E$6:$E$25)=0,Burndown!$B$8="",Burndown!$C$8=""),"",MAX(0,SUMIF('Backlog'!$B$6:$B$25,"S4",'Backlog'!$E$6:$E$25)-SUMIFS('Work Log'!$D$6:$D$205,'Work Log'!$E$6:$E$205,"S4",'Work Log'!$A$6:$A$205,"&lt;="&amp;P140)))</x:f>
      </x:c>
      <x:c r="O140" s="11" t="str">
        <x:f>IF(OR(P140="",SUMIF('Backlog'!$B$6:$B$25,"S4",'Backlog'!$E$6:$E$25)=0,Burndown!$B$8="",Burndown!$C$8="",Burndown!$C$8&lt;=Burndown!$B$8),"",MAX(0,SUMIF('Backlog'!$B$6:$B$25,"S4",'Backlog'!$E$6:$E$25)*(Burndown!$C$8-P140)/(Burndown!$C$8-Burndown!$B$8)))</x:f>
      </x:c>
      <x:c r="P140" s="10" t="str">
        <x:f>IF(OR('Work Log'!$E$143&lt;&gt;"S4",'Work Log'!$A$143=""),"",'Work Log'!$A$143)</x:f>
      </x:c>
      <x:c r="Q140" t="str">
        <x:f>IF(T140="","",TEXT(T140,"mm/dd/yy"))</x:f>
      </x:c>
      <x:c r="R140" s="11" t="str">
        <x:f>IF(OR(T140="",SUMIF('Backlog'!$B$6:$B$25,"S5",'Backlog'!$E$6:$E$25)=0,Burndown!$B$9="",Burndown!$C$9=""),"",MAX(0,SUMIF('Backlog'!$B$6:$B$25,"S5",'Backlog'!$E$6:$E$25)-SUMIFS('Work Log'!$D$6:$D$205,'Work Log'!$E$6:$E$205,"S5",'Work Log'!$A$6:$A$205,"&lt;="&amp;T140)))</x:f>
      </x:c>
      <x:c r="S140" s="11" t="str">
        <x:f>IF(OR(T140="",SUMIF('Backlog'!$B$6:$B$25,"S5",'Backlog'!$E$6:$E$25)=0,Burndown!$B$9="",Burndown!$C$9="",Burndown!$C$9&lt;=Burndown!$B$9),"",MAX(0,SUMIF('Backlog'!$B$6:$B$25,"S5",'Backlog'!$E$6:$E$25)*(Burndown!$C$9-T140)/(Burndown!$C$9-Burndown!$B$9)))</x:f>
      </x:c>
      <x:c r="T140" s="10" t="str">
        <x:f>IF(OR('Work Log'!$E$143&lt;&gt;"S5",'Work Log'!$A$143=""),"",'Work Log'!$A$143)</x:f>
      </x:c>
    </x:row>
    <x:row r="141">
      <x:c r="A141" t="str">
        <x:f>IF(D141="","",TEXT(D141,"mm/dd/yy"))</x:f>
      </x:c>
      <x:c r="B141" s="11" t="str">
        <x:f>IF(OR(D141="",SUMIF('Backlog'!$B$6:$B$25,"S1",'Backlog'!$E$6:$E$25)=0,Burndown!$B$5="",Burndown!$C$5=""),"",MAX(0,SUMIF('Backlog'!$B$6:$B$25,"S1",'Backlog'!$E$6:$E$25)-SUMIFS('Work Log'!$D$6:$D$205,'Work Log'!$E$6:$E$205,"S1",'Work Log'!$A$6:$A$205,"&lt;="&amp;D141)))</x:f>
      </x:c>
      <x:c r="C141" s="11" t="str">
        <x:f>IF(OR(D141="",SUMIF('Backlog'!$B$6:$B$25,"S1",'Backlog'!$E$6:$E$25)=0,Burndown!$B$5="",Burndown!$C$5="",Burndown!$C$5&lt;=Burndown!$B$5),"",MAX(0,SUMIF('Backlog'!$B$6:$B$25,"S1",'Backlog'!$E$6:$E$25)*(Burndown!$C$5-D141)/(Burndown!$C$5-Burndown!$B$5)))</x:f>
      </x:c>
      <x:c r="D141" s="10" t="str">
        <x:f>IF(OR('Work Log'!$E$144&lt;&gt;"S1",'Work Log'!$A$144=""),"",'Work Log'!$A$144)</x:f>
      </x:c>
      <x:c r="E141" t="str">
        <x:f>IF(H141="","",TEXT(H141,"mm/dd/yy"))</x:f>
      </x:c>
      <x:c r="F141" s="11" t="str">
        <x:f>IF(OR(H141="",SUMIF('Backlog'!$B$6:$B$25,"S2",'Backlog'!$E$6:$E$25)=0,Burndown!$B$6="",Burndown!$C$6=""),"",MAX(0,SUMIF('Backlog'!$B$6:$B$25,"S2",'Backlog'!$E$6:$E$25)-SUMIFS('Work Log'!$D$6:$D$205,'Work Log'!$E$6:$E$205,"S2",'Work Log'!$A$6:$A$205,"&lt;="&amp;H141)))</x:f>
      </x:c>
      <x:c r="G141" s="11" t="str">
        <x:f>IF(OR(H141="",SUMIF('Backlog'!$B$6:$B$25,"S2",'Backlog'!$E$6:$E$25)=0,Burndown!$B$6="",Burndown!$C$6="",Burndown!$C$6&lt;=Burndown!$B$6),"",MAX(0,SUMIF('Backlog'!$B$6:$B$25,"S2",'Backlog'!$E$6:$E$25)*(Burndown!$C$6-H141)/(Burndown!$C$6-Burndown!$B$6)))</x:f>
      </x:c>
      <x:c r="H141" s="10" t="str">
        <x:f>IF(OR('Work Log'!$E$144&lt;&gt;"S2",'Work Log'!$A$144=""),"",'Work Log'!$A$144)</x:f>
      </x:c>
      <x:c r="I141" t="str">
        <x:f>IF(L141="","",TEXT(L141,"mm/dd/yy"))</x:f>
      </x:c>
      <x:c r="J141" s="11" t="str">
        <x:f>IF(OR(L141="",SUMIF('Backlog'!$B$6:$B$25,"S3",'Backlog'!$E$6:$E$25)=0,Burndown!$B$7="",Burndown!$C$7=""),"",MAX(0,SUMIF('Backlog'!$B$6:$B$25,"S3",'Backlog'!$E$6:$E$25)-SUMIFS('Work Log'!$D$6:$D$205,'Work Log'!$E$6:$E$205,"S3",'Work Log'!$A$6:$A$205,"&lt;="&amp;L141)))</x:f>
      </x:c>
      <x:c r="K141" s="11" t="str">
        <x:f>IF(OR(L141="",SUMIF('Backlog'!$B$6:$B$25,"S3",'Backlog'!$E$6:$E$25)=0,Burndown!$B$7="",Burndown!$C$7="",Burndown!$C$7&lt;=Burndown!$B$7),"",MAX(0,SUMIF('Backlog'!$B$6:$B$25,"S3",'Backlog'!$E$6:$E$25)*(Burndown!$C$7-L141)/(Burndown!$C$7-Burndown!$B$7)))</x:f>
      </x:c>
      <x:c r="L141" s="10" t="str">
        <x:f>IF(OR('Work Log'!$E$144&lt;&gt;"S3",'Work Log'!$A$144=""),"",'Work Log'!$A$144)</x:f>
      </x:c>
      <x:c r="M141" t="str">
        <x:f>IF(P141="","",TEXT(P141,"mm/dd/yy"))</x:f>
      </x:c>
      <x:c r="N141" s="11" t="str">
        <x:f>IF(OR(P141="",SUMIF('Backlog'!$B$6:$B$25,"S4",'Backlog'!$E$6:$E$25)=0,Burndown!$B$8="",Burndown!$C$8=""),"",MAX(0,SUMIF('Backlog'!$B$6:$B$25,"S4",'Backlog'!$E$6:$E$25)-SUMIFS('Work Log'!$D$6:$D$205,'Work Log'!$E$6:$E$205,"S4",'Work Log'!$A$6:$A$205,"&lt;="&amp;P141)))</x:f>
      </x:c>
      <x:c r="O141" s="11" t="str">
        <x:f>IF(OR(P141="",SUMIF('Backlog'!$B$6:$B$25,"S4",'Backlog'!$E$6:$E$25)=0,Burndown!$B$8="",Burndown!$C$8="",Burndown!$C$8&lt;=Burndown!$B$8),"",MAX(0,SUMIF('Backlog'!$B$6:$B$25,"S4",'Backlog'!$E$6:$E$25)*(Burndown!$C$8-P141)/(Burndown!$C$8-Burndown!$B$8)))</x:f>
      </x:c>
      <x:c r="P141" s="10" t="str">
        <x:f>IF(OR('Work Log'!$E$144&lt;&gt;"S4",'Work Log'!$A$144=""),"",'Work Log'!$A$144)</x:f>
      </x:c>
      <x:c r="Q141" t="str">
        <x:f>IF(T141="","",TEXT(T141,"mm/dd/yy"))</x:f>
      </x:c>
      <x:c r="R141" s="11" t="str">
        <x:f>IF(OR(T141="",SUMIF('Backlog'!$B$6:$B$25,"S5",'Backlog'!$E$6:$E$25)=0,Burndown!$B$9="",Burndown!$C$9=""),"",MAX(0,SUMIF('Backlog'!$B$6:$B$25,"S5",'Backlog'!$E$6:$E$25)-SUMIFS('Work Log'!$D$6:$D$205,'Work Log'!$E$6:$E$205,"S5",'Work Log'!$A$6:$A$205,"&lt;="&amp;T141)))</x:f>
      </x:c>
      <x:c r="S141" s="11" t="str">
        <x:f>IF(OR(T141="",SUMIF('Backlog'!$B$6:$B$25,"S5",'Backlog'!$E$6:$E$25)=0,Burndown!$B$9="",Burndown!$C$9="",Burndown!$C$9&lt;=Burndown!$B$9),"",MAX(0,SUMIF('Backlog'!$B$6:$B$25,"S5",'Backlog'!$E$6:$E$25)*(Burndown!$C$9-T141)/(Burndown!$C$9-Burndown!$B$9)))</x:f>
      </x:c>
      <x:c r="T141" s="10" t="str">
        <x:f>IF(OR('Work Log'!$E$144&lt;&gt;"S5",'Work Log'!$A$144=""),"",'Work Log'!$A$144)</x:f>
      </x:c>
    </x:row>
    <x:row r="142">
      <x:c r="A142" t="str">
        <x:f>IF(D142="","",TEXT(D142,"mm/dd/yy"))</x:f>
      </x:c>
      <x:c r="B142" s="11" t="str">
        <x:f>IF(OR(D142="",SUMIF('Backlog'!$B$6:$B$25,"S1",'Backlog'!$E$6:$E$25)=0,Burndown!$B$5="",Burndown!$C$5=""),"",MAX(0,SUMIF('Backlog'!$B$6:$B$25,"S1",'Backlog'!$E$6:$E$25)-SUMIFS('Work Log'!$D$6:$D$205,'Work Log'!$E$6:$E$205,"S1",'Work Log'!$A$6:$A$205,"&lt;="&amp;D142)))</x:f>
      </x:c>
      <x:c r="C142" s="11" t="str">
        <x:f>IF(OR(D142="",SUMIF('Backlog'!$B$6:$B$25,"S1",'Backlog'!$E$6:$E$25)=0,Burndown!$B$5="",Burndown!$C$5="",Burndown!$C$5&lt;=Burndown!$B$5),"",MAX(0,SUMIF('Backlog'!$B$6:$B$25,"S1",'Backlog'!$E$6:$E$25)*(Burndown!$C$5-D142)/(Burndown!$C$5-Burndown!$B$5)))</x:f>
      </x:c>
      <x:c r="D142" s="10" t="str">
        <x:f>IF(OR('Work Log'!$E$145&lt;&gt;"S1",'Work Log'!$A$145=""),"",'Work Log'!$A$145)</x:f>
      </x:c>
      <x:c r="E142" t="str">
        <x:f>IF(H142="","",TEXT(H142,"mm/dd/yy"))</x:f>
      </x:c>
      <x:c r="F142" s="11" t="str">
        <x:f>IF(OR(H142="",SUMIF('Backlog'!$B$6:$B$25,"S2",'Backlog'!$E$6:$E$25)=0,Burndown!$B$6="",Burndown!$C$6=""),"",MAX(0,SUMIF('Backlog'!$B$6:$B$25,"S2",'Backlog'!$E$6:$E$25)-SUMIFS('Work Log'!$D$6:$D$205,'Work Log'!$E$6:$E$205,"S2",'Work Log'!$A$6:$A$205,"&lt;="&amp;H142)))</x:f>
      </x:c>
      <x:c r="G142" s="11" t="str">
        <x:f>IF(OR(H142="",SUMIF('Backlog'!$B$6:$B$25,"S2",'Backlog'!$E$6:$E$25)=0,Burndown!$B$6="",Burndown!$C$6="",Burndown!$C$6&lt;=Burndown!$B$6),"",MAX(0,SUMIF('Backlog'!$B$6:$B$25,"S2",'Backlog'!$E$6:$E$25)*(Burndown!$C$6-H142)/(Burndown!$C$6-Burndown!$B$6)))</x:f>
      </x:c>
      <x:c r="H142" s="10" t="str">
        <x:f>IF(OR('Work Log'!$E$145&lt;&gt;"S2",'Work Log'!$A$145=""),"",'Work Log'!$A$145)</x:f>
      </x:c>
      <x:c r="I142" t="str">
        <x:f>IF(L142="","",TEXT(L142,"mm/dd/yy"))</x:f>
      </x:c>
      <x:c r="J142" s="11" t="str">
        <x:f>IF(OR(L142="",SUMIF('Backlog'!$B$6:$B$25,"S3",'Backlog'!$E$6:$E$25)=0,Burndown!$B$7="",Burndown!$C$7=""),"",MAX(0,SUMIF('Backlog'!$B$6:$B$25,"S3",'Backlog'!$E$6:$E$25)-SUMIFS('Work Log'!$D$6:$D$205,'Work Log'!$E$6:$E$205,"S3",'Work Log'!$A$6:$A$205,"&lt;="&amp;L142)))</x:f>
      </x:c>
      <x:c r="K142" s="11" t="str">
        <x:f>IF(OR(L142="",SUMIF('Backlog'!$B$6:$B$25,"S3",'Backlog'!$E$6:$E$25)=0,Burndown!$B$7="",Burndown!$C$7="",Burndown!$C$7&lt;=Burndown!$B$7),"",MAX(0,SUMIF('Backlog'!$B$6:$B$25,"S3",'Backlog'!$E$6:$E$25)*(Burndown!$C$7-L142)/(Burndown!$C$7-Burndown!$B$7)))</x:f>
      </x:c>
      <x:c r="L142" s="10" t="str">
        <x:f>IF(OR('Work Log'!$E$145&lt;&gt;"S3",'Work Log'!$A$145=""),"",'Work Log'!$A$145)</x:f>
      </x:c>
      <x:c r="M142" t="str">
        <x:f>IF(P142="","",TEXT(P142,"mm/dd/yy"))</x:f>
      </x:c>
      <x:c r="N142" s="11" t="str">
        <x:f>IF(OR(P142="",SUMIF('Backlog'!$B$6:$B$25,"S4",'Backlog'!$E$6:$E$25)=0,Burndown!$B$8="",Burndown!$C$8=""),"",MAX(0,SUMIF('Backlog'!$B$6:$B$25,"S4",'Backlog'!$E$6:$E$25)-SUMIFS('Work Log'!$D$6:$D$205,'Work Log'!$E$6:$E$205,"S4",'Work Log'!$A$6:$A$205,"&lt;="&amp;P142)))</x:f>
      </x:c>
      <x:c r="O142" s="11" t="str">
        <x:f>IF(OR(P142="",SUMIF('Backlog'!$B$6:$B$25,"S4",'Backlog'!$E$6:$E$25)=0,Burndown!$B$8="",Burndown!$C$8="",Burndown!$C$8&lt;=Burndown!$B$8),"",MAX(0,SUMIF('Backlog'!$B$6:$B$25,"S4",'Backlog'!$E$6:$E$25)*(Burndown!$C$8-P142)/(Burndown!$C$8-Burndown!$B$8)))</x:f>
      </x:c>
      <x:c r="P142" s="10" t="str">
        <x:f>IF(OR('Work Log'!$E$145&lt;&gt;"S4",'Work Log'!$A$145=""),"",'Work Log'!$A$145)</x:f>
      </x:c>
      <x:c r="Q142" t="str">
        <x:f>IF(T142="","",TEXT(T142,"mm/dd/yy"))</x:f>
      </x:c>
      <x:c r="R142" s="11" t="str">
        <x:f>IF(OR(T142="",SUMIF('Backlog'!$B$6:$B$25,"S5",'Backlog'!$E$6:$E$25)=0,Burndown!$B$9="",Burndown!$C$9=""),"",MAX(0,SUMIF('Backlog'!$B$6:$B$25,"S5",'Backlog'!$E$6:$E$25)-SUMIFS('Work Log'!$D$6:$D$205,'Work Log'!$E$6:$E$205,"S5",'Work Log'!$A$6:$A$205,"&lt;="&amp;T142)))</x:f>
      </x:c>
      <x:c r="S142" s="11" t="str">
        <x:f>IF(OR(T142="",SUMIF('Backlog'!$B$6:$B$25,"S5",'Backlog'!$E$6:$E$25)=0,Burndown!$B$9="",Burndown!$C$9="",Burndown!$C$9&lt;=Burndown!$B$9),"",MAX(0,SUMIF('Backlog'!$B$6:$B$25,"S5",'Backlog'!$E$6:$E$25)*(Burndown!$C$9-T142)/(Burndown!$C$9-Burndown!$B$9)))</x:f>
      </x:c>
      <x:c r="T142" s="10" t="str">
        <x:f>IF(OR('Work Log'!$E$145&lt;&gt;"S5",'Work Log'!$A$145=""),"",'Work Log'!$A$145)</x:f>
      </x:c>
    </x:row>
    <x:row r="143">
      <x:c r="A143" t="str">
        <x:f>IF(D143="","",TEXT(D143,"mm/dd/yy"))</x:f>
      </x:c>
      <x:c r="B143" s="11" t="str">
        <x:f>IF(OR(D143="",SUMIF('Backlog'!$B$6:$B$25,"S1",'Backlog'!$E$6:$E$25)=0,Burndown!$B$5="",Burndown!$C$5=""),"",MAX(0,SUMIF('Backlog'!$B$6:$B$25,"S1",'Backlog'!$E$6:$E$25)-SUMIFS('Work Log'!$D$6:$D$205,'Work Log'!$E$6:$E$205,"S1",'Work Log'!$A$6:$A$205,"&lt;="&amp;D143)))</x:f>
      </x:c>
      <x:c r="C143" s="11" t="str">
        <x:f>IF(OR(D143="",SUMIF('Backlog'!$B$6:$B$25,"S1",'Backlog'!$E$6:$E$25)=0,Burndown!$B$5="",Burndown!$C$5="",Burndown!$C$5&lt;=Burndown!$B$5),"",MAX(0,SUMIF('Backlog'!$B$6:$B$25,"S1",'Backlog'!$E$6:$E$25)*(Burndown!$C$5-D143)/(Burndown!$C$5-Burndown!$B$5)))</x:f>
      </x:c>
      <x:c r="D143" s="10" t="str">
        <x:f>IF(OR('Work Log'!$E$146&lt;&gt;"S1",'Work Log'!$A$146=""),"",'Work Log'!$A$146)</x:f>
      </x:c>
      <x:c r="E143" t="str">
        <x:f>IF(H143="","",TEXT(H143,"mm/dd/yy"))</x:f>
      </x:c>
      <x:c r="F143" s="11" t="str">
        <x:f>IF(OR(H143="",SUMIF('Backlog'!$B$6:$B$25,"S2",'Backlog'!$E$6:$E$25)=0,Burndown!$B$6="",Burndown!$C$6=""),"",MAX(0,SUMIF('Backlog'!$B$6:$B$25,"S2",'Backlog'!$E$6:$E$25)-SUMIFS('Work Log'!$D$6:$D$205,'Work Log'!$E$6:$E$205,"S2",'Work Log'!$A$6:$A$205,"&lt;="&amp;H143)))</x:f>
      </x:c>
      <x:c r="G143" s="11" t="str">
        <x:f>IF(OR(H143="",SUMIF('Backlog'!$B$6:$B$25,"S2",'Backlog'!$E$6:$E$25)=0,Burndown!$B$6="",Burndown!$C$6="",Burndown!$C$6&lt;=Burndown!$B$6),"",MAX(0,SUMIF('Backlog'!$B$6:$B$25,"S2",'Backlog'!$E$6:$E$25)*(Burndown!$C$6-H143)/(Burndown!$C$6-Burndown!$B$6)))</x:f>
      </x:c>
      <x:c r="H143" s="10" t="str">
        <x:f>IF(OR('Work Log'!$E$146&lt;&gt;"S2",'Work Log'!$A$146=""),"",'Work Log'!$A$146)</x:f>
      </x:c>
      <x:c r="I143" t="str">
        <x:f>IF(L143="","",TEXT(L143,"mm/dd/yy"))</x:f>
      </x:c>
      <x:c r="J143" s="11" t="str">
        <x:f>IF(OR(L143="",SUMIF('Backlog'!$B$6:$B$25,"S3",'Backlog'!$E$6:$E$25)=0,Burndown!$B$7="",Burndown!$C$7=""),"",MAX(0,SUMIF('Backlog'!$B$6:$B$25,"S3",'Backlog'!$E$6:$E$25)-SUMIFS('Work Log'!$D$6:$D$205,'Work Log'!$E$6:$E$205,"S3",'Work Log'!$A$6:$A$205,"&lt;="&amp;L143)))</x:f>
      </x:c>
      <x:c r="K143" s="11" t="str">
        <x:f>IF(OR(L143="",SUMIF('Backlog'!$B$6:$B$25,"S3",'Backlog'!$E$6:$E$25)=0,Burndown!$B$7="",Burndown!$C$7="",Burndown!$C$7&lt;=Burndown!$B$7),"",MAX(0,SUMIF('Backlog'!$B$6:$B$25,"S3",'Backlog'!$E$6:$E$25)*(Burndown!$C$7-L143)/(Burndown!$C$7-Burndown!$B$7)))</x:f>
      </x:c>
      <x:c r="L143" s="10" t="str">
        <x:f>IF(OR('Work Log'!$E$146&lt;&gt;"S3",'Work Log'!$A$146=""),"",'Work Log'!$A$146)</x:f>
      </x:c>
      <x:c r="M143" t="str">
        <x:f>IF(P143="","",TEXT(P143,"mm/dd/yy"))</x:f>
      </x:c>
      <x:c r="N143" s="11" t="str">
        <x:f>IF(OR(P143="",SUMIF('Backlog'!$B$6:$B$25,"S4",'Backlog'!$E$6:$E$25)=0,Burndown!$B$8="",Burndown!$C$8=""),"",MAX(0,SUMIF('Backlog'!$B$6:$B$25,"S4",'Backlog'!$E$6:$E$25)-SUMIFS('Work Log'!$D$6:$D$205,'Work Log'!$E$6:$E$205,"S4",'Work Log'!$A$6:$A$205,"&lt;="&amp;P143)))</x:f>
      </x:c>
      <x:c r="O143" s="11" t="str">
        <x:f>IF(OR(P143="",SUMIF('Backlog'!$B$6:$B$25,"S4",'Backlog'!$E$6:$E$25)=0,Burndown!$B$8="",Burndown!$C$8="",Burndown!$C$8&lt;=Burndown!$B$8),"",MAX(0,SUMIF('Backlog'!$B$6:$B$25,"S4",'Backlog'!$E$6:$E$25)*(Burndown!$C$8-P143)/(Burndown!$C$8-Burndown!$B$8)))</x:f>
      </x:c>
      <x:c r="P143" s="10" t="str">
        <x:f>IF(OR('Work Log'!$E$146&lt;&gt;"S4",'Work Log'!$A$146=""),"",'Work Log'!$A$146)</x:f>
      </x:c>
      <x:c r="Q143" t="str">
        <x:f>IF(T143="","",TEXT(T143,"mm/dd/yy"))</x:f>
      </x:c>
      <x:c r="R143" s="11" t="str">
        <x:f>IF(OR(T143="",SUMIF('Backlog'!$B$6:$B$25,"S5",'Backlog'!$E$6:$E$25)=0,Burndown!$B$9="",Burndown!$C$9=""),"",MAX(0,SUMIF('Backlog'!$B$6:$B$25,"S5",'Backlog'!$E$6:$E$25)-SUMIFS('Work Log'!$D$6:$D$205,'Work Log'!$E$6:$E$205,"S5",'Work Log'!$A$6:$A$205,"&lt;="&amp;T143)))</x:f>
      </x:c>
      <x:c r="S143" s="11" t="str">
        <x:f>IF(OR(T143="",SUMIF('Backlog'!$B$6:$B$25,"S5",'Backlog'!$E$6:$E$25)=0,Burndown!$B$9="",Burndown!$C$9="",Burndown!$C$9&lt;=Burndown!$B$9),"",MAX(0,SUMIF('Backlog'!$B$6:$B$25,"S5",'Backlog'!$E$6:$E$25)*(Burndown!$C$9-T143)/(Burndown!$C$9-Burndown!$B$9)))</x:f>
      </x:c>
      <x:c r="T143" s="10" t="str">
        <x:f>IF(OR('Work Log'!$E$146&lt;&gt;"S5",'Work Log'!$A$146=""),"",'Work Log'!$A$146)</x:f>
      </x:c>
    </x:row>
    <x:row r="144">
      <x:c r="A144" t="str">
        <x:f>IF(D144="","",TEXT(D144,"mm/dd/yy"))</x:f>
      </x:c>
      <x:c r="B144" s="11" t="str">
        <x:f>IF(OR(D144="",SUMIF('Backlog'!$B$6:$B$25,"S1",'Backlog'!$E$6:$E$25)=0,Burndown!$B$5="",Burndown!$C$5=""),"",MAX(0,SUMIF('Backlog'!$B$6:$B$25,"S1",'Backlog'!$E$6:$E$25)-SUMIFS('Work Log'!$D$6:$D$205,'Work Log'!$E$6:$E$205,"S1",'Work Log'!$A$6:$A$205,"&lt;="&amp;D144)))</x:f>
      </x:c>
      <x:c r="C144" s="11" t="str">
        <x:f>IF(OR(D144="",SUMIF('Backlog'!$B$6:$B$25,"S1",'Backlog'!$E$6:$E$25)=0,Burndown!$B$5="",Burndown!$C$5="",Burndown!$C$5&lt;=Burndown!$B$5),"",MAX(0,SUMIF('Backlog'!$B$6:$B$25,"S1",'Backlog'!$E$6:$E$25)*(Burndown!$C$5-D144)/(Burndown!$C$5-Burndown!$B$5)))</x:f>
      </x:c>
      <x:c r="D144" s="10" t="str">
        <x:f>IF(OR('Work Log'!$E$147&lt;&gt;"S1",'Work Log'!$A$147=""),"",'Work Log'!$A$147)</x:f>
      </x:c>
      <x:c r="E144" t="str">
        <x:f>IF(H144="","",TEXT(H144,"mm/dd/yy"))</x:f>
      </x:c>
      <x:c r="F144" s="11" t="str">
        <x:f>IF(OR(H144="",SUMIF('Backlog'!$B$6:$B$25,"S2",'Backlog'!$E$6:$E$25)=0,Burndown!$B$6="",Burndown!$C$6=""),"",MAX(0,SUMIF('Backlog'!$B$6:$B$25,"S2",'Backlog'!$E$6:$E$25)-SUMIFS('Work Log'!$D$6:$D$205,'Work Log'!$E$6:$E$205,"S2",'Work Log'!$A$6:$A$205,"&lt;="&amp;H144)))</x:f>
      </x:c>
      <x:c r="G144" s="11" t="str">
        <x:f>IF(OR(H144="",SUMIF('Backlog'!$B$6:$B$25,"S2",'Backlog'!$E$6:$E$25)=0,Burndown!$B$6="",Burndown!$C$6="",Burndown!$C$6&lt;=Burndown!$B$6),"",MAX(0,SUMIF('Backlog'!$B$6:$B$25,"S2",'Backlog'!$E$6:$E$25)*(Burndown!$C$6-H144)/(Burndown!$C$6-Burndown!$B$6)))</x:f>
      </x:c>
      <x:c r="H144" s="10" t="str">
        <x:f>IF(OR('Work Log'!$E$147&lt;&gt;"S2",'Work Log'!$A$147=""),"",'Work Log'!$A$147)</x:f>
      </x:c>
      <x:c r="I144" t="str">
        <x:f>IF(L144="","",TEXT(L144,"mm/dd/yy"))</x:f>
      </x:c>
      <x:c r="J144" s="11" t="str">
        <x:f>IF(OR(L144="",SUMIF('Backlog'!$B$6:$B$25,"S3",'Backlog'!$E$6:$E$25)=0,Burndown!$B$7="",Burndown!$C$7=""),"",MAX(0,SUMIF('Backlog'!$B$6:$B$25,"S3",'Backlog'!$E$6:$E$25)-SUMIFS('Work Log'!$D$6:$D$205,'Work Log'!$E$6:$E$205,"S3",'Work Log'!$A$6:$A$205,"&lt;="&amp;L144)))</x:f>
      </x:c>
      <x:c r="K144" s="11" t="str">
        <x:f>IF(OR(L144="",SUMIF('Backlog'!$B$6:$B$25,"S3",'Backlog'!$E$6:$E$25)=0,Burndown!$B$7="",Burndown!$C$7="",Burndown!$C$7&lt;=Burndown!$B$7),"",MAX(0,SUMIF('Backlog'!$B$6:$B$25,"S3",'Backlog'!$E$6:$E$25)*(Burndown!$C$7-L144)/(Burndown!$C$7-Burndown!$B$7)))</x:f>
      </x:c>
      <x:c r="L144" s="10" t="str">
        <x:f>IF(OR('Work Log'!$E$147&lt;&gt;"S3",'Work Log'!$A$147=""),"",'Work Log'!$A$147)</x:f>
      </x:c>
      <x:c r="M144" t="str">
        <x:f>IF(P144="","",TEXT(P144,"mm/dd/yy"))</x:f>
      </x:c>
      <x:c r="N144" s="11" t="str">
        <x:f>IF(OR(P144="",SUMIF('Backlog'!$B$6:$B$25,"S4",'Backlog'!$E$6:$E$25)=0,Burndown!$B$8="",Burndown!$C$8=""),"",MAX(0,SUMIF('Backlog'!$B$6:$B$25,"S4",'Backlog'!$E$6:$E$25)-SUMIFS('Work Log'!$D$6:$D$205,'Work Log'!$E$6:$E$205,"S4",'Work Log'!$A$6:$A$205,"&lt;="&amp;P144)))</x:f>
      </x:c>
      <x:c r="O144" s="11" t="str">
        <x:f>IF(OR(P144="",SUMIF('Backlog'!$B$6:$B$25,"S4",'Backlog'!$E$6:$E$25)=0,Burndown!$B$8="",Burndown!$C$8="",Burndown!$C$8&lt;=Burndown!$B$8),"",MAX(0,SUMIF('Backlog'!$B$6:$B$25,"S4",'Backlog'!$E$6:$E$25)*(Burndown!$C$8-P144)/(Burndown!$C$8-Burndown!$B$8)))</x:f>
      </x:c>
      <x:c r="P144" s="10" t="str">
        <x:f>IF(OR('Work Log'!$E$147&lt;&gt;"S4",'Work Log'!$A$147=""),"",'Work Log'!$A$147)</x:f>
      </x:c>
      <x:c r="Q144" t="str">
        <x:f>IF(T144="","",TEXT(T144,"mm/dd/yy"))</x:f>
      </x:c>
      <x:c r="R144" s="11" t="str">
        <x:f>IF(OR(T144="",SUMIF('Backlog'!$B$6:$B$25,"S5",'Backlog'!$E$6:$E$25)=0,Burndown!$B$9="",Burndown!$C$9=""),"",MAX(0,SUMIF('Backlog'!$B$6:$B$25,"S5",'Backlog'!$E$6:$E$25)-SUMIFS('Work Log'!$D$6:$D$205,'Work Log'!$E$6:$E$205,"S5",'Work Log'!$A$6:$A$205,"&lt;="&amp;T144)))</x:f>
      </x:c>
      <x:c r="S144" s="11" t="str">
        <x:f>IF(OR(T144="",SUMIF('Backlog'!$B$6:$B$25,"S5",'Backlog'!$E$6:$E$25)=0,Burndown!$B$9="",Burndown!$C$9="",Burndown!$C$9&lt;=Burndown!$B$9),"",MAX(0,SUMIF('Backlog'!$B$6:$B$25,"S5",'Backlog'!$E$6:$E$25)*(Burndown!$C$9-T144)/(Burndown!$C$9-Burndown!$B$9)))</x:f>
      </x:c>
      <x:c r="T144" s="10" t="str">
        <x:f>IF(OR('Work Log'!$E$147&lt;&gt;"S5",'Work Log'!$A$147=""),"",'Work Log'!$A$147)</x:f>
      </x:c>
    </x:row>
    <x:row r="145">
      <x:c r="A145" t="str">
        <x:f>IF(D145="","",TEXT(D145,"mm/dd/yy"))</x:f>
      </x:c>
      <x:c r="B145" s="11" t="str">
        <x:f>IF(OR(D145="",SUMIF('Backlog'!$B$6:$B$25,"S1",'Backlog'!$E$6:$E$25)=0,Burndown!$B$5="",Burndown!$C$5=""),"",MAX(0,SUMIF('Backlog'!$B$6:$B$25,"S1",'Backlog'!$E$6:$E$25)-SUMIFS('Work Log'!$D$6:$D$205,'Work Log'!$E$6:$E$205,"S1",'Work Log'!$A$6:$A$205,"&lt;="&amp;D145)))</x:f>
      </x:c>
      <x:c r="C145" s="11" t="str">
        <x:f>IF(OR(D145="",SUMIF('Backlog'!$B$6:$B$25,"S1",'Backlog'!$E$6:$E$25)=0,Burndown!$B$5="",Burndown!$C$5="",Burndown!$C$5&lt;=Burndown!$B$5),"",MAX(0,SUMIF('Backlog'!$B$6:$B$25,"S1",'Backlog'!$E$6:$E$25)*(Burndown!$C$5-D145)/(Burndown!$C$5-Burndown!$B$5)))</x:f>
      </x:c>
      <x:c r="D145" s="10" t="str">
        <x:f>IF(OR('Work Log'!$E$148&lt;&gt;"S1",'Work Log'!$A$148=""),"",'Work Log'!$A$148)</x:f>
      </x:c>
      <x:c r="E145" t="str">
        <x:f>IF(H145="","",TEXT(H145,"mm/dd/yy"))</x:f>
      </x:c>
      <x:c r="F145" s="11" t="str">
        <x:f>IF(OR(H145="",SUMIF('Backlog'!$B$6:$B$25,"S2",'Backlog'!$E$6:$E$25)=0,Burndown!$B$6="",Burndown!$C$6=""),"",MAX(0,SUMIF('Backlog'!$B$6:$B$25,"S2",'Backlog'!$E$6:$E$25)-SUMIFS('Work Log'!$D$6:$D$205,'Work Log'!$E$6:$E$205,"S2",'Work Log'!$A$6:$A$205,"&lt;="&amp;H145)))</x:f>
      </x:c>
      <x:c r="G145" s="11" t="str">
        <x:f>IF(OR(H145="",SUMIF('Backlog'!$B$6:$B$25,"S2",'Backlog'!$E$6:$E$25)=0,Burndown!$B$6="",Burndown!$C$6="",Burndown!$C$6&lt;=Burndown!$B$6),"",MAX(0,SUMIF('Backlog'!$B$6:$B$25,"S2",'Backlog'!$E$6:$E$25)*(Burndown!$C$6-H145)/(Burndown!$C$6-Burndown!$B$6)))</x:f>
      </x:c>
      <x:c r="H145" s="10" t="str">
        <x:f>IF(OR('Work Log'!$E$148&lt;&gt;"S2",'Work Log'!$A$148=""),"",'Work Log'!$A$148)</x:f>
      </x:c>
      <x:c r="I145" t="str">
        <x:f>IF(L145="","",TEXT(L145,"mm/dd/yy"))</x:f>
      </x:c>
      <x:c r="J145" s="11" t="str">
        <x:f>IF(OR(L145="",SUMIF('Backlog'!$B$6:$B$25,"S3",'Backlog'!$E$6:$E$25)=0,Burndown!$B$7="",Burndown!$C$7=""),"",MAX(0,SUMIF('Backlog'!$B$6:$B$25,"S3",'Backlog'!$E$6:$E$25)-SUMIFS('Work Log'!$D$6:$D$205,'Work Log'!$E$6:$E$205,"S3",'Work Log'!$A$6:$A$205,"&lt;="&amp;L145)))</x:f>
      </x:c>
      <x:c r="K145" s="11" t="str">
        <x:f>IF(OR(L145="",SUMIF('Backlog'!$B$6:$B$25,"S3",'Backlog'!$E$6:$E$25)=0,Burndown!$B$7="",Burndown!$C$7="",Burndown!$C$7&lt;=Burndown!$B$7),"",MAX(0,SUMIF('Backlog'!$B$6:$B$25,"S3",'Backlog'!$E$6:$E$25)*(Burndown!$C$7-L145)/(Burndown!$C$7-Burndown!$B$7)))</x:f>
      </x:c>
      <x:c r="L145" s="10" t="str">
        <x:f>IF(OR('Work Log'!$E$148&lt;&gt;"S3",'Work Log'!$A$148=""),"",'Work Log'!$A$148)</x:f>
      </x:c>
      <x:c r="M145" t="str">
        <x:f>IF(P145="","",TEXT(P145,"mm/dd/yy"))</x:f>
      </x:c>
      <x:c r="N145" s="11" t="str">
        <x:f>IF(OR(P145="",SUMIF('Backlog'!$B$6:$B$25,"S4",'Backlog'!$E$6:$E$25)=0,Burndown!$B$8="",Burndown!$C$8=""),"",MAX(0,SUMIF('Backlog'!$B$6:$B$25,"S4",'Backlog'!$E$6:$E$25)-SUMIFS('Work Log'!$D$6:$D$205,'Work Log'!$E$6:$E$205,"S4",'Work Log'!$A$6:$A$205,"&lt;="&amp;P145)))</x:f>
      </x:c>
      <x:c r="O145" s="11" t="str">
        <x:f>IF(OR(P145="",SUMIF('Backlog'!$B$6:$B$25,"S4",'Backlog'!$E$6:$E$25)=0,Burndown!$B$8="",Burndown!$C$8="",Burndown!$C$8&lt;=Burndown!$B$8),"",MAX(0,SUMIF('Backlog'!$B$6:$B$25,"S4",'Backlog'!$E$6:$E$25)*(Burndown!$C$8-P145)/(Burndown!$C$8-Burndown!$B$8)))</x:f>
      </x:c>
      <x:c r="P145" s="10" t="str">
        <x:f>IF(OR('Work Log'!$E$148&lt;&gt;"S4",'Work Log'!$A$148=""),"",'Work Log'!$A$148)</x:f>
      </x:c>
      <x:c r="Q145" t="str">
        <x:f>IF(T145="","",TEXT(T145,"mm/dd/yy"))</x:f>
      </x:c>
      <x:c r="R145" s="11" t="str">
        <x:f>IF(OR(T145="",SUMIF('Backlog'!$B$6:$B$25,"S5",'Backlog'!$E$6:$E$25)=0,Burndown!$B$9="",Burndown!$C$9=""),"",MAX(0,SUMIF('Backlog'!$B$6:$B$25,"S5",'Backlog'!$E$6:$E$25)-SUMIFS('Work Log'!$D$6:$D$205,'Work Log'!$E$6:$E$205,"S5",'Work Log'!$A$6:$A$205,"&lt;="&amp;T145)))</x:f>
      </x:c>
      <x:c r="S145" s="11" t="str">
        <x:f>IF(OR(T145="",SUMIF('Backlog'!$B$6:$B$25,"S5",'Backlog'!$E$6:$E$25)=0,Burndown!$B$9="",Burndown!$C$9="",Burndown!$C$9&lt;=Burndown!$B$9),"",MAX(0,SUMIF('Backlog'!$B$6:$B$25,"S5",'Backlog'!$E$6:$E$25)*(Burndown!$C$9-T145)/(Burndown!$C$9-Burndown!$B$9)))</x:f>
      </x:c>
      <x:c r="T145" s="10" t="str">
        <x:f>IF(OR('Work Log'!$E$148&lt;&gt;"S5",'Work Log'!$A$148=""),"",'Work Log'!$A$148)</x:f>
      </x:c>
    </x:row>
    <x:row r="146">
      <x:c r="A146" t="str">
        <x:f>IF(D146="","",TEXT(D146,"mm/dd/yy"))</x:f>
      </x:c>
      <x:c r="B146" s="11" t="str">
        <x:f>IF(OR(D146="",SUMIF('Backlog'!$B$6:$B$25,"S1",'Backlog'!$E$6:$E$25)=0,Burndown!$B$5="",Burndown!$C$5=""),"",MAX(0,SUMIF('Backlog'!$B$6:$B$25,"S1",'Backlog'!$E$6:$E$25)-SUMIFS('Work Log'!$D$6:$D$205,'Work Log'!$E$6:$E$205,"S1",'Work Log'!$A$6:$A$205,"&lt;="&amp;D146)))</x:f>
      </x:c>
      <x:c r="C146" s="11" t="str">
        <x:f>IF(OR(D146="",SUMIF('Backlog'!$B$6:$B$25,"S1",'Backlog'!$E$6:$E$25)=0,Burndown!$B$5="",Burndown!$C$5="",Burndown!$C$5&lt;=Burndown!$B$5),"",MAX(0,SUMIF('Backlog'!$B$6:$B$25,"S1",'Backlog'!$E$6:$E$25)*(Burndown!$C$5-D146)/(Burndown!$C$5-Burndown!$B$5)))</x:f>
      </x:c>
      <x:c r="D146" s="10" t="str">
        <x:f>IF(OR('Work Log'!$E$149&lt;&gt;"S1",'Work Log'!$A$149=""),"",'Work Log'!$A$149)</x:f>
      </x:c>
      <x:c r="E146" t="str">
        <x:f>IF(H146="","",TEXT(H146,"mm/dd/yy"))</x:f>
      </x:c>
      <x:c r="F146" s="11" t="str">
        <x:f>IF(OR(H146="",SUMIF('Backlog'!$B$6:$B$25,"S2",'Backlog'!$E$6:$E$25)=0,Burndown!$B$6="",Burndown!$C$6=""),"",MAX(0,SUMIF('Backlog'!$B$6:$B$25,"S2",'Backlog'!$E$6:$E$25)-SUMIFS('Work Log'!$D$6:$D$205,'Work Log'!$E$6:$E$205,"S2",'Work Log'!$A$6:$A$205,"&lt;="&amp;H146)))</x:f>
      </x:c>
      <x:c r="G146" s="11" t="str">
        <x:f>IF(OR(H146="",SUMIF('Backlog'!$B$6:$B$25,"S2",'Backlog'!$E$6:$E$25)=0,Burndown!$B$6="",Burndown!$C$6="",Burndown!$C$6&lt;=Burndown!$B$6),"",MAX(0,SUMIF('Backlog'!$B$6:$B$25,"S2",'Backlog'!$E$6:$E$25)*(Burndown!$C$6-H146)/(Burndown!$C$6-Burndown!$B$6)))</x:f>
      </x:c>
      <x:c r="H146" s="10" t="str">
        <x:f>IF(OR('Work Log'!$E$149&lt;&gt;"S2",'Work Log'!$A$149=""),"",'Work Log'!$A$149)</x:f>
      </x:c>
      <x:c r="I146" t="str">
        <x:f>IF(L146="","",TEXT(L146,"mm/dd/yy"))</x:f>
      </x:c>
      <x:c r="J146" s="11" t="str">
        <x:f>IF(OR(L146="",SUMIF('Backlog'!$B$6:$B$25,"S3",'Backlog'!$E$6:$E$25)=0,Burndown!$B$7="",Burndown!$C$7=""),"",MAX(0,SUMIF('Backlog'!$B$6:$B$25,"S3",'Backlog'!$E$6:$E$25)-SUMIFS('Work Log'!$D$6:$D$205,'Work Log'!$E$6:$E$205,"S3",'Work Log'!$A$6:$A$205,"&lt;="&amp;L146)))</x:f>
      </x:c>
      <x:c r="K146" s="11" t="str">
        <x:f>IF(OR(L146="",SUMIF('Backlog'!$B$6:$B$25,"S3",'Backlog'!$E$6:$E$25)=0,Burndown!$B$7="",Burndown!$C$7="",Burndown!$C$7&lt;=Burndown!$B$7),"",MAX(0,SUMIF('Backlog'!$B$6:$B$25,"S3",'Backlog'!$E$6:$E$25)*(Burndown!$C$7-L146)/(Burndown!$C$7-Burndown!$B$7)))</x:f>
      </x:c>
      <x:c r="L146" s="10" t="str">
        <x:f>IF(OR('Work Log'!$E$149&lt;&gt;"S3",'Work Log'!$A$149=""),"",'Work Log'!$A$149)</x:f>
      </x:c>
      <x:c r="M146" t="str">
        <x:f>IF(P146="","",TEXT(P146,"mm/dd/yy"))</x:f>
      </x:c>
      <x:c r="N146" s="11" t="str">
        <x:f>IF(OR(P146="",SUMIF('Backlog'!$B$6:$B$25,"S4",'Backlog'!$E$6:$E$25)=0,Burndown!$B$8="",Burndown!$C$8=""),"",MAX(0,SUMIF('Backlog'!$B$6:$B$25,"S4",'Backlog'!$E$6:$E$25)-SUMIFS('Work Log'!$D$6:$D$205,'Work Log'!$E$6:$E$205,"S4",'Work Log'!$A$6:$A$205,"&lt;="&amp;P146)))</x:f>
      </x:c>
      <x:c r="O146" s="11" t="str">
        <x:f>IF(OR(P146="",SUMIF('Backlog'!$B$6:$B$25,"S4",'Backlog'!$E$6:$E$25)=0,Burndown!$B$8="",Burndown!$C$8="",Burndown!$C$8&lt;=Burndown!$B$8),"",MAX(0,SUMIF('Backlog'!$B$6:$B$25,"S4",'Backlog'!$E$6:$E$25)*(Burndown!$C$8-P146)/(Burndown!$C$8-Burndown!$B$8)))</x:f>
      </x:c>
      <x:c r="P146" s="10" t="str">
        <x:f>IF(OR('Work Log'!$E$149&lt;&gt;"S4",'Work Log'!$A$149=""),"",'Work Log'!$A$149)</x:f>
      </x:c>
      <x:c r="Q146" t="str">
        <x:f>IF(T146="","",TEXT(T146,"mm/dd/yy"))</x:f>
      </x:c>
      <x:c r="R146" s="11" t="str">
        <x:f>IF(OR(T146="",SUMIF('Backlog'!$B$6:$B$25,"S5",'Backlog'!$E$6:$E$25)=0,Burndown!$B$9="",Burndown!$C$9=""),"",MAX(0,SUMIF('Backlog'!$B$6:$B$25,"S5",'Backlog'!$E$6:$E$25)-SUMIFS('Work Log'!$D$6:$D$205,'Work Log'!$E$6:$E$205,"S5",'Work Log'!$A$6:$A$205,"&lt;="&amp;T146)))</x:f>
      </x:c>
      <x:c r="S146" s="11" t="str">
        <x:f>IF(OR(T146="",SUMIF('Backlog'!$B$6:$B$25,"S5",'Backlog'!$E$6:$E$25)=0,Burndown!$B$9="",Burndown!$C$9="",Burndown!$C$9&lt;=Burndown!$B$9),"",MAX(0,SUMIF('Backlog'!$B$6:$B$25,"S5",'Backlog'!$E$6:$E$25)*(Burndown!$C$9-T146)/(Burndown!$C$9-Burndown!$B$9)))</x:f>
      </x:c>
      <x:c r="T146" s="10" t="str">
        <x:f>IF(OR('Work Log'!$E$149&lt;&gt;"S5",'Work Log'!$A$149=""),"",'Work Log'!$A$149)</x:f>
      </x:c>
    </x:row>
    <x:row r="147">
      <x:c r="A147" t="str">
        <x:f>IF(D147="","",TEXT(D147,"mm/dd/yy"))</x:f>
      </x:c>
      <x:c r="B147" s="11" t="str">
        <x:f>IF(OR(D147="",SUMIF('Backlog'!$B$6:$B$25,"S1",'Backlog'!$E$6:$E$25)=0,Burndown!$B$5="",Burndown!$C$5=""),"",MAX(0,SUMIF('Backlog'!$B$6:$B$25,"S1",'Backlog'!$E$6:$E$25)-SUMIFS('Work Log'!$D$6:$D$205,'Work Log'!$E$6:$E$205,"S1",'Work Log'!$A$6:$A$205,"&lt;="&amp;D147)))</x:f>
      </x:c>
      <x:c r="C147" s="11" t="str">
        <x:f>IF(OR(D147="",SUMIF('Backlog'!$B$6:$B$25,"S1",'Backlog'!$E$6:$E$25)=0,Burndown!$B$5="",Burndown!$C$5="",Burndown!$C$5&lt;=Burndown!$B$5),"",MAX(0,SUMIF('Backlog'!$B$6:$B$25,"S1",'Backlog'!$E$6:$E$25)*(Burndown!$C$5-D147)/(Burndown!$C$5-Burndown!$B$5)))</x:f>
      </x:c>
      <x:c r="D147" s="10" t="str">
        <x:f>IF(OR('Work Log'!$E$150&lt;&gt;"S1",'Work Log'!$A$150=""),"",'Work Log'!$A$150)</x:f>
      </x:c>
      <x:c r="E147" t="str">
        <x:f>IF(H147="","",TEXT(H147,"mm/dd/yy"))</x:f>
      </x:c>
      <x:c r="F147" s="11" t="str">
        <x:f>IF(OR(H147="",SUMIF('Backlog'!$B$6:$B$25,"S2",'Backlog'!$E$6:$E$25)=0,Burndown!$B$6="",Burndown!$C$6=""),"",MAX(0,SUMIF('Backlog'!$B$6:$B$25,"S2",'Backlog'!$E$6:$E$25)-SUMIFS('Work Log'!$D$6:$D$205,'Work Log'!$E$6:$E$205,"S2",'Work Log'!$A$6:$A$205,"&lt;="&amp;H147)))</x:f>
      </x:c>
      <x:c r="G147" s="11" t="str">
        <x:f>IF(OR(H147="",SUMIF('Backlog'!$B$6:$B$25,"S2",'Backlog'!$E$6:$E$25)=0,Burndown!$B$6="",Burndown!$C$6="",Burndown!$C$6&lt;=Burndown!$B$6),"",MAX(0,SUMIF('Backlog'!$B$6:$B$25,"S2",'Backlog'!$E$6:$E$25)*(Burndown!$C$6-H147)/(Burndown!$C$6-Burndown!$B$6)))</x:f>
      </x:c>
      <x:c r="H147" s="10" t="str">
        <x:f>IF(OR('Work Log'!$E$150&lt;&gt;"S2",'Work Log'!$A$150=""),"",'Work Log'!$A$150)</x:f>
      </x:c>
      <x:c r="I147" t="str">
        <x:f>IF(L147="","",TEXT(L147,"mm/dd/yy"))</x:f>
      </x:c>
      <x:c r="J147" s="11" t="str">
        <x:f>IF(OR(L147="",SUMIF('Backlog'!$B$6:$B$25,"S3",'Backlog'!$E$6:$E$25)=0,Burndown!$B$7="",Burndown!$C$7=""),"",MAX(0,SUMIF('Backlog'!$B$6:$B$25,"S3",'Backlog'!$E$6:$E$25)-SUMIFS('Work Log'!$D$6:$D$205,'Work Log'!$E$6:$E$205,"S3",'Work Log'!$A$6:$A$205,"&lt;="&amp;L147)))</x:f>
      </x:c>
      <x:c r="K147" s="11" t="str">
        <x:f>IF(OR(L147="",SUMIF('Backlog'!$B$6:$B$25,"S3",'Backlog'!$E$6:$E$25)=0,Burndown!$B$7="",Burndown!$C$7="",Burndown!$C$7&lt;=Burndown!$B$7),"",MAX(0,SUMIF('Backlog'!$B$6:$B$25,"S3",'Backlog'!$E$6:$E$25)*(Burndown!$C$7-L147)/(Burndown!$C$7-Burndown!$B$7)))</x:f>
      </x:c>
      <x:c r="L147" s="10" t="str">
        <x:f>IF(OR('Work Log'!$E$150&lt;&gt;"S3",'Work Log'!$A$150=""),"",'Work Log'!$A$150)</x:f>
      </x:c>
      <x:c r="M147" t="str">
        <x:f>IF(P147="","",TEXT(P147,"mm/dd/yy"))</x:f>
      </x:c>
      <x:c r="N147" s="11" t="str">
        <x:f>IF(OR(P147="",SUMIF('Backlog'!$B$6:$B$25,"S4",'Backlog'!$E$6:$E$25)=0,Burndown!$B$8="",Burndown!$C$8=""),"",MAX(0,SUMIF('Backlog'!$B$6:$B$25,"S4",'Backlog'!$E$6:$E$25)-SUMIFS('Work Log'!$D$6:$D$205,'Work Log'!$E$6:$E$205,"S4",'Work Log'!$A$6:$A$205,"&lt;="&amp;P147)))</x:f>
      </x:c>
      <x:c r="O147" s="11" t="str">
        <x:f>IF(OR(P147="",SUMIF('Backlog'!$B$6:$B$25,"S4",'Backlog'!$E$6:$E$25)=0,Burndown!$B$8="",Burndown!$C$8="",Burndown!$C$8&lt;=Burndown!$B$8),"",MAX(0,SUMIF('Backlog'!$B$6:$B$25,"S4",'Backlog'!$E$6:$E$25)*(Burndown!$C$8-P147)/(Burndown!$C$8-Burndown!$B$8)))</x:f>
      </x:c>
      <x:c r="P147" s="10" t="str">
        <x:f>IF(OR('Work Log'!$E$150&lt;&gt;"S4",'Work Log'!$A$150=""),"",'Work Log'!$A$150)</x:f>
      </x:c>
      <x:c r="Q147" t="str">
        <x:f>IF(T147="","",TEXT(T147,"mm/dd/yy"))</x:f>
      </x:c>
      <x:c r="R147" s="11" t="str">
        <x:f>IF(OR(T147="",SUMIF('Backlog'!$B$6:$B$25,"S5",'Backlog'!$E$6:$E$25)=0,Burndown!$B$9="",Burndown!$C$9=""),"",MAX(0,SUMIF('Backlog'!$B$6:$B$25,"S5",'Backlog'!$E$6:$E$25)-SUMIFS('Work Log'!$D$6:$D$205,'Work Log'!$E$6:$E$205,"S5",'Work Log'!$A$6:$A$205,"&lt;="&amp;T147)))</x:f>
      </x:c>
      <x:c r="S147" s="11" t="str">
        <x:f>IF(OR(T147="",SUMIF('Backlog'!$B$6:$B$25,"S5",'Backlog'!$E$6:$E$25)=0,Burndown!$B$9="",Burndown!$C$9="",Burndown!$C$9&lt;=Burndown!$B$9),"",MAX(0,SUMIF('Backlog'!$B$6:$B$25,"S5",'Backlog'!$E$6:$E$25)*(Burndown!$C$9-T147)/(Burndown!$C$9-Burndown!$B$9)))</x:f>
      </x:c>
      <x:c r="T147" s="10" t="str">
        <x:f>IF(OR('Work Log'!$E$150&lt;&gt;"S5",'Work Log'!$A$150=""),"",'Work Log'!$A$150)</x:f>
      </x:c>
    </x:row>
    <x:row r="148">
      <x:c r="A148" t="str">
        <x:f>IF(D148="","",TEXT(D148,"mm/dd/yy"))</x:f>
      </x:c>
      <x:c r="B148" s="11" t="str">
        <x:f>IF(OR(D148="",SUMIF('Backlog'!$B$6:$B$25,"S1",'Backlog'!$E$6:$E$25)=0,Burndown!$B$5="",Burndown!$C$5=""),"",MAX(0,SUMIF('Backlog'!$B$6:$B$25,"S1",'Backlog'!$E$6:$E$25)-SUMIFS('Work Log'!$D$6:$D$205,'Work Log'!$E$6:$E$205,"S1",'Work Log'!$A$6:$A$205,"&lt;="&amp;D148)))</x:f>
      </x:c>
      <x:c r="C148" s="11" t="str">
        <x:f>IF(OR(D148="",SUMIF('Backlog'!$B$6:$B$25,"S1",'Backlog'!$E$6:$E$25)=0,Burndown!$B$5="",Burndown!$C$5="",Burndown!$C$5&lt;=Burndown!$B$5),"",MAX(0,SUMIF('Backlog'!$B$6:$B$25,"S1",'Backlog'!$E$6:$E$25)*(Burndown!$C$5-D148)/(Burndown!$C$5-Burndown!$B$5)))</x:f>
      </x:c>
      <x:c r="D148" s="10" t="str">
        <x:f>IF(OR('Work Log'!$E$151&lt;&gt;"S1",'Work Log'!$A$151=""),"",'Work Log'!$A$151)</x:f>
      </x:c>
      <x:c r="E148" t="str">
        <x:f>IF(H148="","",TEXT(H148,"mm/dd/yy"))</x:f>
      </x:c>
      <x:c r="F148" s="11" t="str">
        <x:f>IF(OR(H148="",SUMIF('Backlog'!$B$6:$B$25,"S2",'Backlog'!$E$6:$E$25)=0,Burndown!$B$6="",Burndown!$C$6=""),"",MAX(0,SUMIF('Backlog'!$B$6:$B$25,"S2",'Backlog'!$E$6:$E$25)-SUMIFS('Work Log'!$D$6:$D$205,'Work Log'!$E$6:$E$205,"S2",'Work Log'!$A$6:$A$205,"&lt;="&amp;H148)))</x:f>
      </x:c>
      <x:c r="G148" s="11" t="str">
        <x:f>IF(OR(H148="",SUMIF('Backlog'!$B$6:$B$25,"S2",'Backlog'!$E$6:$E$25)=0,Burndown!$B$6="",Burndown!$C$6="",Burndown!$C$6&lt;=Burndown!$B$6),"",MAX(0,SUMIF('Backlog'!$B$6:$B$25,"S2",'Backlog'!$E$6:$E$25)*(Burndown!$C$6-H148)/(Burndown!$C$6-Burndown!$B$6)))</x:f>
      </x:c>
      <x:c r="H148" s="10" t="str">
        <x:f>IF(OR('Work Log'!$E$151&lt;&gt;"S2",'Work Log'!$A$151=""),"",'Work Log'!$A$151)</x:f>
      </x:c>
      <x:c r="I148" t="str">
        <x:f>IF(L148="","",TEXT(L148,"mm/dd/yy"))</x:f>
      </x:c>
      <x:c r="J148" s="11" t="str">
        <x:f>IF(OR(L148="",SUMIF('Backlog'!$B$6:$B$25,"S3",'Backlog'!$E$6:$E$25)=0,Burndown!$B$7="",Burndown!$C$7=""),"",MAX(0,SUMIF('Backlog'!$B$6:$B$25,"S3",'Backlog'!$E$6:$E$25)-SUMIFS('Work Log'!$D$6:$D$205,'Work Log'!$E$6:$E$205,"S3",'Work Log'!$A$6:$A$205,"&lt;="&amp;L148)))</x:f>
      </x:c>
      <x:c r="K148" s="11" t="str">
        <x:f>IF(OR(L148="",SUMIF('Backlog'!$B$6:$B$25,"S3",'Backlog'!$E$6:$E$25)=0,Burndown!$B$7="",Burndown!$C$7="",Burndown!$C$7&lt;=Burndown!$B$7),"",MAX(0,SUMIF('Backlog'!$B$6:$B$25,"S3",'Backlog'!$E$6:$E$25)*(Burndown!$C$7-L148)/(Burndown!$C$7-Burndown!$B$7)))</x:f>
      </x:c>
      <x:c r="L148" s="10" t="str">
        <x:f>IF(OR('Work Log'!$E$151&lt;&gt;"S3",'Work Log'!$A$151=""),"",'Work Log'!$A$151)</x:f>
      </x:c>
      <x:c r="M148" t="str">
        <x:f>IF(P148="","",TEXT(P148,"mm/dd/yy"))</x:f>
      </x:c>
      <x:c r="N148" s="11" t="str">
        <x:f>IF(OR(P148="",SUMIF('Backlog'!$B$6:$B$25,"S4",'Backlog'!$E$6:$E$25)=0,Burndown!$B$8="",Burndown!$C$8=""),"",MAX(0,SUMIF('Backlog'!$B$6:$B$25,"S4",'Backlog'!$E$6:$E$25)-SUMIFS('Work Log'!$D$6:$D$205,'Work Log'!$E$6:$E$205,"S4",'Work Log'!$A$6:$A$205,"&lt;="&amp;P148)))</x:f>
      </x:c>
      <x:c r="O148" s="11" t="str">
        <x:f>IF(OR(P148="",SUMIF('Backlog'!$B$6:$B$25,"S4",'Backlog'!$E$6:$E$25)=0,Burndown!$B$8="",Burndown!$C$8="",Burndown!$C$8&lt;=Burndown!$B$8),"",MAX(0,SUMIF('Backlog'!$B$6:$B$25,"S4",'Backlog'!$E$6:$E$25)*(Burndown!$C$8-P148)/(Burndown!$C$8-Burndown!$B$8)))</x:f>
      </x:c>
      <x:c r="P148" s="10" t="str">
        <x:f>IF(OR('Work Log'!$E$151&lt;&gt;"S4",'Work Log'!$A$151=""),"",'Work Log'!$A$151)</x:f>
      </x:c>
      <x:c r="Q148" t="str">
        <x:f>IF(T148="","",TEXT(T148,"mm/dd/yy"))</x:f>
      </x:c>
      <x:c r="R148" s="11" t="str">
        <x:f>IF(OR(T148="",SUMIF('Backlog'!$B$6:$B$25,"S5",'Backlog'!$E$6:$E$25)=0,Burndown!$B$9="",Burndown!$C$9=""),"",MAX(0,SUMIF('Backlog'!$B$6:$B$25,"S5",'Backlog'!$E$6:$E$25)-SUMIFS('Work Log'!$D$6:$D$205,'Work Log'!$E$6:$E$205,"S5",'Work Log'!$A$6:$A$205,"&lt;="&amp;T148)))</x:f>
      </x:c>
      <x:c r="S148" s="11" t="str">
        <x:f>IF(OR(T148="",SUMIF('Backlog'!$B$6:$B$25,"S5",'Backlog'!$E$6:$E$25)=0,Burndown!$B$9="",Burndown!$C$9="",Burndown!$C$9&lt;=Burndown!$B$9),"",MAX(0,SUMIF('Backlog'!$B$6:$B$25,"S5",'Backlog'!$E$6:$E$25)*(Burndown!$C$9-T148)/(Burndown!$C$9-Burndown!$B$9)))</x:f>
      </x:c>
      <x:c r="T148" s="10" t="str">
        <x:f>IF(OR('Work Log'!$E$151&lt;&gt;"S5",'Work Log'!$A$151=""),"",'Work Log'!$A$151)</x:f>
      </x:c>
    </x:row>
    <x:row r="149">
      <x:c r="A149" t="str">
        <x:f>IF(D149="","",TEXT(D149,"mm/dd/yy"))</x:f>
      </x:c>
      <x:c r="B149" s="11" t="str">
        <x:f>IF(OR(D149="",SUMIF('Backlog'!$B$6:$B$25,"S1",'Backlog'!$E$6:$E$25)=0,Burndown!$B$5="",Burndown!$C$5=""),"",MAX(0,SUMIF('Backlog'!$B$6:$B$25,"S1",'Backlog'!$E$6:$E$25)-SUMIFS('Work Log'!$D$6:$D$205,'Work Log'!$E$6:$E$205,"S1",'Work Log'!$A$6:$A$205,"&lt;="&amp;D149)))</x:f>
      </x:c>
      <x:c r="C149" s="11" t="str">
        <x:f>IF(OR(D149="",SUMIF('Backlog'!$B$6:$B$25,"S1",'Backlog'!$E$6:$E$25)=0,Burndown!$B$5="",Burndown!$C$5="",Burndown!$C$5&lt;=Burndown!$B$5),"",MAX(0,SUMIF('Backlog'!$B$6:$B$25,"S1",'Backlog'!$E$6:$E$25)*(Burndown!$C$5-D149)/(Burndown!$C$5-Burndown!$B$5)))</x:f>
      </x:c>
      <x:c r="D149" s="10" t="str">
        <x:f>IF(OR('Work Log'!$E$152&lt;&gt;"S1",'Work Log'!$A$152=""),"",'Work Log'!$A$152)</x:f>
      </x:c>
      <x:c r="E149" t="str">
        <x:f>IF(H149="","",TEXT(H149,"mm/dd/yy"))</x:f>
      </x:c>
      <x:c r="F149" s="11" t="str">
        <x:f>IF(OR(H149="",SUMIF('Backlog'!$B$6:$B$25,"S2",'Backlog'!$E$6:$E$25)=0,Burndown!$B$6="",Burndown!$C$6=""),"",MAX(0,SUMIF('Backlog'!$B$6:$B$25,"S2",'Backlog'!$E$6:$E$25)-SUMIFS('Work Log'!$D$6:$D$205,'Work Log'!$E$6:$E$205,"S2",'Work Log'!$A$6:$A$205,"&lt;="&amp;H149)))</x:f>
      </x:c>
      <x:c r="G149" s="11" t="str">
        <x:f>IF(OR(H149="",SUMIF('Backlog'!$B$6:$B$25,"S2",'Backlog'!$E$6:$E$25)=0,Burndown!$B$6="",Burndown!$C$6="",Burndown!$C$6&lt;=Burndown!$B$6),"",MAX(0,SUMIF('Backlog'!$B$6:$B$25,"S2",'Backlog'!$E$6:$E$25)*(Burndown!$C$6-H149)/(Burndown!$C$6-Burndown!$B$6)))</x:f>
      </x:c>
      <x:c r="H149" s="10" t="str">
        <x:f>IF(OR('Work Log'!$E$152&lt;&gt;"S2",'Work Log'!$A$152=""),"",'Work Log'!$A$152)</x:f>
      </x:c>
      <x:c r="I149" t="str">
        <x:f>IF(L149="","",TEXT(L149,"mm/dd/yy"))</x:f>
      </x:c>
      <x:c r="J149" s="11" t="str">
        <x:f>IF(OR(L149="",SUMIF('Backlog'!$B$6:$B$25,"S3",'Backlog'!$E$6:$E$25)=0,Burndown!$B$7="",Burndown!$C$7=""),"",MAX(0,SUMIF('Backlog'!$B$6:$B$25,"S3",'Backlog'!$E$6:$E$25)-SUMIFS('Work Log'!$D$6:$D$205,'Work Log'!$E$6:$E$205,"S3",'Work Log'!$A$6:$A$205,"&lt;="&amp;L149)))</x:f>
      </x:c>
      <x:c r="K149" s="11" t="str">
        <x:f>IF(OR(L149="",SUMIF('Backlog'!$B$6:$B$25,"S3",'Backlog'!$E$6:$E$25)=0,Burndown!$B$7="",Burndown!$C$7="",Burndown!$C$7&lt;=Burndown!$B$7),"",MAX(0,SUMIF('Backlog'!$B$6:$B$25,"S3",'Backlog'!$E$6:$E$25)*(Burndown!$C$7-L149)/(Burndown!$C$7-Burndown!$B$7)))</x:f>
      </x:c>
      <x:c r="L149" s="10" t="str">
        <x:f>IF(OR('Work Log'!$E$152&lt;&gt;"S3",'Work Log'!$A$152=""),"",'Work Log'!$A$152)</x:f>
      </x:c>
      <x:c r="M149" t="str">
        <x:f>IF(P149="","",TEXT(P149,"mm/dd/yy"))</x:f>
      </x:c>
      <x:c r="N149" s="11" t="str">
        <x:f>IF(OR(P149="",SUMIF('Backlog'!$B$6:$B$25,"S4",'Backlog'!$E$6:$E$25)=0,Burndown!$B$8="",Burndown!$C$8=""),"",MAX(0,SUMIF('Backlog'!$B$6:$B$25,"S4",'Backlog'!$E$6:$E$25)-SUMIFS('Work Log'!$D$6:$D$205,'Work Log'!$E$6:$E$205,"S4",'Work Log'!$A$6:$A$205,"&lt;="&amp;P149)))</x:f>
      </x:c>
      <x:c r="O149" s="11" t="str">
        <x:f>IF(OR(P149="",SUMIF('Backlog'!$B$6:$B$25,"S4",'Backlog'!$E$6:$E$25)=0,Burndown!$B$8="",Burndown!$C$8="",Burndown!$C$8&lt;=Burndown!$B$8),"",MAX(0,SUMIF('Backlog'!$B$6:$B$25,"S4",'Backlog'!$E$6:$E$25)*(Burndown!$C$8-P149)/(Burndown!$C$8-Burndown!$B$8)))</x:f>
      </x:c>
      <x:c r="P149" s="10" t="str">
        <x:f>IF(OR('Work Log'!$E$152&lt;&gt;"S4",'Work Log'!$A$152=""),"",'Work Log'!$A$152)</x:f>
      </x:c>
      <x:c r="Q149" t="str">
        <x:f>IF(T149="","",TEXT(T149,"mm/dd/yy"))</x:f>
      </x:c>
      <x:c r="R149" s="11" t="str">
        <x:f>IF(OR(T149="",SUMIF('Backlog'!$B$6:$B$25,"S5",'Backlog'!$E$6:$E$25)=0,Burndown!$B$9="",Burndown!$C$9=""),"",MAX(0,SUMIF('Backlog'!$B$6:$B$25,"S5",'Backlog'!$E$6:$E$25)-SUMIFS('Work Log'!$D$6:$D$205,'Work Log'!$E$6:$E$205,"S5",'Work Log'!$A$6:$A$205,"&lt;="&amp;T149)))</x:f>
      </x:c>
      <x:c r="S149" s="11" t="str">
        <x:f>IF(OR(T149="",SUMIF('Backlog'!$B$6:$B$25,"S5",'Backlog'!$E$6:$E$25)=0,Burndown!$B$9="",Burndown!$C$9="",Burndown!$C$9&lt;=Burndown!$B$9),"",MAX(0,SUMIF('Backlog'!$B$6:$B$25,"S5",'Backlog'!$E$6:$E$25)*(Burndown!$C$9-T149)/(Burndown!$C$9-Burndown!$B$9)))</x:f>
      </x:c>
      <x:c r="T149" s="10" t="str">
        <x:f>IF(OR('Work Log'!$E$152&lt;&gt;"S5",'Work Log'!$A$152=""),"",'Work Log'!$A$152)</x:f>
      </x:c>
    </x:row>
    <x:row r="150">
      <x:c r="A150" t="str">
        <x:f>IF(D150="","",TEXT(D150,"mm/dd/yy"))</x:f>
      </x:c>
      <x:c r="B150" s="11" t="str">
        <x:f>IF(OR(D150="",SUMIF('Backlog'!$B$6:$B$25,"S1",'Backlog'!$E$6:$E$25)=0,Burndown!$B$5="",Burndown!$C$5=""),"",MAX(0,SUMIF('Backlog'!$B$6:$B$25,"S1",'Backlog'!$E$6:$E$25)-SUMIFS('Work Log'!$D$6:$D$205,'Work Log'!$E$6:$E$205,"S1",'Work Log'!$A$6:$A$205,"&lt;="&amp;D150)))</x:f>
      </x:c>
      <x:c r="C150" s="11" t="str">
        <x:f>IF(OR(D150="",SUMIF('Backlog'!$B$6:$B$25,"S1",'Backlog'!$E$6:$E$25)=0,Burndown!$B$5="",Burndown!$C$5="",Burndown!$C$5&lt;=Burndown!$B$5),"",MAX(0,SUMIF('Backlog'!$B$6:$B$25,"S1",'Backlog'!$E$6:$E$25)*(Burndown!$C$5-D150)/(Burndown!$C$5-Burndown!$B$5)))</x:f>
      </x:c>
      <x:c r="D150" s="10" t="str">
        <x:f>IF(OR('Work Log'!$E$153&lt;&gt;"S1",'Work Log'!$A$153=""),"",'Work Log'!$A$153)</x:f>
      </x:c>
      <x:c r="E150" t="str">
        <x:f>IF(H150="","",TEXT(H150,"mm/dd/yy"))</x:f>
      </x:c>
      <x:c r="F150" s="11" t="str">
        <x:f>IF(OR(H150="",SUMIF('Backlog'!$B$6:$B$25,"S2",'Backlog'!$E$6:$E$25)=0,Burndown!$B$6="",Burndown!$C$6=""),"",MAX(0,SUMIF('Backlog'!$B$6:$B$25,"S2",'Backlog'!$E$6:$E$25)-SUMIFS('Work Log'!$D$6:$D$205,'Work Log'!$E$6:$E$205,"S2",'Work Log'!$A$6:$A$205,"&lt;="&amp;H150)))</x:f>
      </x:c>
      <x:c r="G150" s="11" t="str">
        <x:f>IF(OR(H150="",SUMIF('Backlog'!$B$6:$B$25,"S2",'Backlog'!$E$6:$E$25)=0,Burndown!$B$6="",Burndown!$C$6="",Burndown!$C$6&lt;=Burndown!$B$6),"",MAX(0,SUMIF('Backlog'!$B$6:$B$25,"S2",'Backlog'!$E$6:$E$25)*(Burndown!$C$6-H150)/(Burndown!$C$6-Burndown!$B$6)))</x:f>
      </x:c>
      <x:c r="H150" s="10" t="str">
        <x:f>IF(OR('Work Log'!$E$153&lt;&gt;"S2",'Work Log'!$A$153=""),"",'Work Log'!$A$153)</x:f>
      </x:c>
      <x:c r="I150" t="str">
        <x:f>IF(L150="","",TEXT(L150,"mm/dd/yy"))</x:f>
      </x:c>
      <x:c r="J150" s="11" t="str">
        <x:f>IF(OR(L150="",SUMIF('Backlog'!$B$6:$B$25,"S3",'Backlog'!$E$6:$E$25)=0,Burndown!$B$7="",Burndown!$C$7=""),"",MAX(0,SUMIF('Backlog'!$B$6:$B$25,"S3",'Backlog'!$E$6:$E$25)-SUMIFS('Work Log'!$D$6:$D$205,'Work Log'!$E$6:$E$205,"S3",'Work Log'!$A$6:$A$205,"&lt;="&amp;L150)))</x:f>
      </x:c>
      <x:c r="K150" s="11" t="str">
        <x:f>IF(OR(L150="",SUMIF('Backlog'!$B$6:$B$25,"S3",'Backlog'!$E$6:$E$25)=0,Burndown!$B$7="",Burndown!$C$7="",Burndown!$C$7&lt;=Burndown!$B$7),"",MAX(0,SUMIF('Backlog'!$B$6:$B$25,"S3",'Backlog'!$E$6:$E$25)*(Burndown!$C$7-L150)/(Burndown!$C$7-Burndown!$B$7)))</x:f>
      </x:c>
      <x:c r="L150" s="10" t="str">
        <x:f>IF(OR('Work Log'!$E$153&lt;&gt;"S3",'Work Log'!$A$153=""),"",'Work Log'!$A$153)</x:f>
      </x:c>
      <x:c r="M150" t="str">
        <x:f>IF(P150="","",TEXT(P150,"mm/dd/yy"))</x:f>
      </x:c>
      <x:c r="N150" s="11" t="str">
        <x:f>IF(OR(P150="",SUMIF('Backlog'!$B$6:$B$25,"S4",'Backlog'!$E$6:$E$25)=0,Burndown!$B$8="",Burndown!$C$8=""),"",MAX(0,SUMIF('Backlog'!$B$6:$B$25,"S4",'Backlog'!$E$6:$E$25)-SUMIFS('Work Log'!$D$6:$D$205,'Work Log'!$E$6:$E$205,"S4",'Work Log'!$A$6:$A$205,"&lt;="&amp;P150)))</x:f>
      </x:c>
      <x:c r="O150" s="11" t="str">
        <x:f>IF(OR(P150="",SUMIF('Backlog'!$B$6:$B$25,"S4",'Backlog'!$E$6:$E$25)=0,Burndown!$B$8="",Burndown!$C$8="",Burndown!$C$8&lt;=Burndown!$B$8),"",MAX(0,SUMIF('Backlog'!$B$6:$B$25,"S4",'Backlog'!$E$6:$E$25)*(Burndown!$C$8-P150)/(Burndown!$C$8-Burndown!$B$8)))</x:f>
      </x:c>
      <x:c r="P150" s="10" t="str">
        <x:f>IF(OR('Work Log'!$E$153&lt;&gt;"S4",'Work Log'!$A$153=""),"",'Work Log'!$A$153)</x:f>
      </x:c>
      <x:c r="Q150" t="str">
        <x:f>IF(T150="","",TEXT(T150,"mm/dd/yy"))</x:f>
      </x:c>
      <x:c r="R150" s="11" t="str">
        <x:f>IF(OR(T150="",SUMIF('Backlog'!$B$6:$B$25,"S5",'Backlog'!$E$6:$E$25)=0,Burndown!$B$9="",Burndown!$C$9=""),"",MAX(0,SUMIF('Backlog'!$B$6:$B$25,"S5",'Backlog'!$E$6:$E$25)-SUMIFS('Work Log'!$D$6:$D$205,'Work Log'!$E$6:$E$205,"S5",'Work Log'!$A$6:$A$205,"&lt;="&amp;T150)))</x:f>
      </x:c>
      <x:c r="S150" s="11" t="str">
        <x:f>IF(OR(T150="",SUMIF('Backlog'!$B$6:$B$25,"S5",'Backlog'!$E$6:$E$25)=0,Burndown!$B$9="",Burndown!$C$9="",Burndown!$C$9&lt;=Burndown!$B$9),"",MAX(0,SUMIF('Backlog'!$B$6:$B$25,"S5",'Backlog'!$E$6:$E$25)*(Burndown!$C$9-T150)/(Burndown!$C$9-Burndown!$B$9)))</x:f>
      </x:c>
      <x:c r="T150" s="10" t="str">
        <x:f>IF(OR('Work Log'!$E$153&lt;&gt;"S5",'Work Log'!$A$153=""),"",'Work Log'!$A$153)</x:f>
      </x:c>
    </x:row>
    <x:row r="151">
      <x:c r="A151" t="str">
        <x:f>IF(D151="","",TEXT(D151,"mm/dd/yy"))</x:f>
      </x:c>
      <x:c r="B151" s="11" t="str">
        <x:f>IF(OR(D151="",SUMIF('Backlog'!$B$6:$B$25,"S1",'Backlog'!$E$6:$E$25)=0,Burndown!$B$5="",Burndown!$C$5=""),"",MAX(0,SUMIF('Backlog'!$B$6:$B$25,"S1",'Backlog'!$E$6:$E$25)-SUMIFS('Work Log'!$D$6:$D$205,'Work Log'!$E$6:$E$205,"S1",'Work Log'!$A$6:$A$205,"&lt;="&amp;D151)))</x:f>
      </x:c>
      <x:c r="C151" s="11" t="str">
        <x:f>IF(OR(D151="",SUMIF('Backlog'!$B$6:$B$25,"S1",'Backlog'!$E$6:$E$25)=0,Burndown!$B$5="",Burndown!$C$5="",Burndown!$C$5&lt;=Burndown!$B$5),"",MAX(0,SUMIF('Backlog'!$B$6:$B$25,"S1",'Backlog'!$E$6:$E$25)*(Burndown!$C$5-D151)/(Burndown!$C$5-Burndown!$B$5)))</x:f>
      </x:c>
      <x:c r="D151" s="10" t="str">
        <x:f>IF(OR('Work Log'!$E$154&lt;&gt;"S1",'Work Log'!$A$154=""),"",'Work Log'!$A$154)</x:f>
      </x:c>
      <x:c r="E151" t="str">
        <x:f>IF(H151="","",TEXT(H151,"mm/dd/yy"))</x:f>
      </x:c>
      <x:c r="F151" s="11" t="str">
        <x:f>IF(OR(H151="",SUMIF('Backlog'!$B$6:$B$25,"S2",'Backlog'!$E$6:$E$25)=0,Burndown!$B$6="",Burndown!$C$6=""),"",MAX(0,SUMIF('Backlog'!$B$6:$B$25,"S2",'Backlog'!$E$6:$E$25)-SUMIFS('Work Log'!$D$6:$D$205,'Work Log'!$E$6:$E$205,"S2",'Work Log'!$A$6:$A$205,"&lt;="&amp;H151)))</x:f>
      </x:c>
      <x:c r="G151" s="11" t="str">
        <x:f>IF(OR(H151="",SUMIF('Backlog'!$B$6:$B$25,"S2",'Backlog'!$E$6:$E$25)=0,Burndown!$B$6="",Burndown!$C$6="",Burndown!$C$6&lt;=Burndown!$B$6),"",MAX(0,SUMIF('Backlog'!$B$6:$B$25,"S2",'Backlog'!$E$6:$E$25)*(Burndown!$C$6-H151)/(Burndown!$C$6-Burndown!$B$6)))</x:f>
      </x:c>
      <x:c r="H151" s="10" t="str">
        <x:f>IF(OR('Work Log'!$E$154&lt;&gt;"S2",'Work Log'!$A$154=""),"",'Work Log'!$A$154)</x:f>
      </x:c>
      <x:c r="I151" t="str">
        <x:f>IF(L151="","",TEXT(L151,"mm/dd/yy"))</x:f>
      </x:c>
      <x:c r="J151" s="11" t="str">
        <x:f>IF(OR(L151="",SUMIF('Backlog'!$B$6:$B$25,"S3",'Backlog'!$E$6:$E$25)=0,Burndown!$B$7="",Burndown!$C$7=""),"",MAX(0,SUMIF('Backlog'!$B$6:$B$25,"S3",'Backlog'!$E$6:$E$25)-SUMIFS('Work Log'!$D$6:$D$205,'Work Log'!$E$6:$E$205,"S3",'Work Log'!$A$6:$A$205,"&lt;="&amp;L151)))</x:f>
      </x:c>
      <x:c r="K151" s="11" t="str">
        <x:f>IF(OR(L151="",SUMIF('Backlog'!$B$6:$B$25,"S3",'Backlog'!$E$6:$E$25)=0,Burndown!$B$7="",Burndown!$C$7="",Burndown!$C$7&lt;=Burndown!$B$7),"",MAX(0,SUMIF('Backlog'!$B$6:$B$25,"S3",'Backlog'!$E$6:$E$25)*(Burndown!$C$7-L151)/(Burndown!$C$7-Burndown!$B$7)))</x:f>
      </x:c>
      <x:c r="L151" s="10" t="str">
        <x:f>IF(OR('Work Log'!$E$154&lt;&gt;"S3",'Work Log'!$A$154=""),"",'Work Log'!$A$154)</x:f>
      </x:c>
      <x:c r="M151" t="str">
        <x:f>IF(P151="","",TEXT(P151,"mm/dd/yy"))</x:f>
      </x:c>
      <x:c r="N151" s="11" t="str">
        <x:f>IF(OR(P151="",SUMIF('Backlog'!$B$6:$B$25,"S4",'Backlog'!$E$6:$E$25)=0,Burndown!$B$8="",Burndown!$C$8=""),"",MAX(0,SUMIF('Backlog'!$B$6:$B$25,"S4",'Backlog'!$E$6:$E$25)-SUMIFS('Work Log'!$D$6:$D$205,'Work Log'!$E$6:$E$205,"S4",'Work Log'!$A$6:$A$205,"&lt;="&amp;P151)))</x:f>
      </x:c>
      <x:c r="O151" s="11" t="str">
        <x:f>IF(OR(P151="",SUMIF('Backlog'!$B$6:$B$25,"S4",'Backlog'!$E$6:$E$25)=0,Burndown!$B$8="",Burndown!$C$8="",Burndown!$C$8&lt;=Burndown!$B$8),"",MAX(0,SUMIF('Backlog'!$B$6:$B$25,"S4",'Backlog'!$E$6:$E$25)*(Burndown!$C$8-P151)/(Burndown!$C$8-Burndown!$B$8)))</x:f>
      </x:c>
      <x:c r="P151" s="10" t="str">
        <x:f>IF(OR('Work Log'!$E$154&lt;&gt;"S4",'Work Log'!$A$154=""),"",'Work Log'!$A$154)</x:f>
      </x:c>
      <x:c r="Q151" t="str">
        <x:f>IF(T151="","",TEXT(T151,"mm/dd/yy"))</x:f>
      </x:c>
      <x:c r="R151" s="11" t="str">
        <x:f>IF(OR(T151="",SUMIF('Backlog'!$B$6:$B$25,"S5",'Backlog'!$E$6:$E$25)=0,Burndown!$B$9="",Burndown!$C$9=""),"",MAX(0,SUMIF('Backlog'!$B$6:$B$25,"S5",'Backlog'!$E$6:$E$25)-SUMIFS('Work Log'!$D$6:$D$205,'Work Log'!$E$6:$E$205,"S5",'Work Log'!$A$6:$A$205,"&lt;="&amp;T151)))</x:f>
      </x:c>
      <x:c r="S151" s="11" t="str">
        <x:f>IF(OR(T151="",SUMIF('Backlog'!$B$6:$B$25,"S5",'Backlog'!$E$6:$E$25)=0,Burndown!$B$9="",Burndown!$C$9="",Burndown!$C$9&lt;=Burndown!$B$9),"",MAX(0,SUMIF('Backlog'!$B$6:$B$25,"S5",'Backlog'!$E$6:$E$25)*(Burndown!$C$9-T151)/(Burndown!$C$9-Burndown!$B$9)))</x:f>
      </x:c>
      <x:c r="T151" s="10" t="str">
        <x:f>IF(OR('Work Log'!$E$154&lt;&gt;"S5",'Work Log'!$A$154=""),"",'Work Log'!$A$154)</x:f>
      </x:c>
    </x:row>
    <x:row r="152">
      <x:c r="A152" t="str">
        <x:f>IF(D152="","",TEXT(D152,"mm/dd/yy"))</x:f>
      </x:c>
      <x:c r="B152" s="11" t="str">
        <x:f>IF(OR(D152="",SUMIF('Backlog'!$B$6:$B$25,"S1",'Backlog'!$E$6:$E$25)=0,Burndown!$B$5="",Burndown!$C$5=""),"",MAX(0,SUMIF('Backlog'!$B$6:$B$25,"S1",'Backlog'!$E$6:$E$25)-SUMIFS('Work Log'!$D$6:$D$205,'Work Log'!$E$6:$E$205,"S1",'Work Log'!$A$6:$A$205,"&lt;="&amp;D152)))</x:f>
      </x:c>
      <x:c r="C152" s="11" t="str">
        <x:f>IF(OR(D152="",SUMIF('Backlog'!$B$6:$B$25,"S1",'Backlog'!$E$6:$E$25)=0,Burndown!$B$5="",Burndown!$C$5="",Burndown!$C$5&lt;=Burndown!$B$5),"",MAX(0,SUMIF('Backlog'!$B$6:$B$25,"S1",'Backlog'!$E$6:$E$25)*(Burndown!$C$5-D152)/(Burndown!$C$5-Burndown!$B$5)))</x:f>
      </x:c>
      <x:c r="D152" s="10" t="str">
        <x:f>IF(OR('Work Log'!$E$155&lt;&gt;"S1",'Work Log'!$A$155=""),"",'Work Log'!$A$155)</x:f>
      </x:c>
      <x:c r="E152" t="str">
        <x:f>IF(H152="","",TEXT(H152,"mm/dd/yy"))</x:f>
      </x:c>
      <x:c r="F152" s="11" t="str">
        <x:f>IF(OR(H152="",SUMIF('Backlog'!$B$6:$B$25,"S2",'Backlog'!$E$6:$E$25)=0,Burndown!$B$6="",Burndown!$C$6=""),"",MAX(0,SUMIF('Backlog'!$B$6:$B$25,"S2",'Backlog'!$E$6:$E$25)-SUMIFS('Work Log'!$D$6:$D$205,'Work Log'!$E$6:$E$205,"S2",'Work Log'!$A$6:$A$205,"&lt;="&amp;H152)))</x:f>
      </x:c>
      <x:c r="G152" s="11" t="str">
        <x:f>IF(OR(H152="",SUMIF('Backlog'!$B$6:$B$25,"S2",'Backlog'!$E$6:$E$25)=0,Burndown!$B$6="",Burndown!$C$6="",Burndown!$C$6&lt;=Burndown!$B$6),"",MAX(0,SUMIF('Backlog'!$B$6:$B$25,"S2",'Backlog'!$E$6:$E$25)*(Burndown!$C$6-H152)/(Burndown!$C$6-Burndown!$B$6)))</x:f>
      </x:c>
      <x:c r="H152" s="10" t="str">
        <x:f>IF(OR('Work Log'!$E$155&lt;&gt;"S2",'Work Log'!$A$155=""),"",'Work Log'!$A$155)</x:f>
      </x:c>
      <x:c r="I152" t="str">
        <x:f>IF(L152="","",TEXT(L152,"mm/dd/yy"))</x:f>
      </x:c>
      <x:c r="J152" s="11" t="str">
        <x:f>IF(OR(L152="",SUMIF('Backlog'!$B$6:$B$25,"S3",'Backlog'!$E$6:$E$25)=0,Burndown!$B$7="",Burndown!$C$7=""),"",MAX(0,SUMIF('Backlog'!$B$6:$B$25,"S3",'Backlog'!$E$6:$E$25)-SUMIFS('Work Log'!$D$6:$D$205,'Work Log'!$E$6:$E$205,"S3",'Work Log'!$A$6:$A$205,"&lt;="&amp;L152)))</x:f>
      </x:c>
      <x:c r="K152" s="11" t="str">
        <x:f>IF(OR(L152="",SUMIF('Backlog'!$B$6:$B$25,"S3",'Backlog'!$E$6:$E$25)=0,Burndown!$B$7="",Burndown!$C$7="",Burndown!$C$7&lt;=Burndown!$B$7),"",MAX(0,SUMIF('Backlog'!$B$6:$B$25,"S3",'Backlog'!$E$6:$E$25)*(Burndown!$C$7-L152)/(Burndown!$C$7-Burndown!$B$7)))</x:f>
      </x:c>
      <x:c r="L152" s="10" t="str">
        <x:f>IF(OR('Work Log'!$E$155&lt;&gt;"S3",'Work Log'!$A$155=""),"",'Work Log'!$A$155)</x:f>
      </x:c>
      <x:c r="M152" t="str">
        <x:f>IF(P152="","",TEXT(P152,"mm/dd/yy"))</x:f>
      </x:c>
      <x:c r="N152" s="11" t="str">
        <x:f>IF(OR(P152="",SUMIF('Backlog'!$B$6:$B$25,"S4",'Backlog'!$E$6:$E$25)=0,Burndown!$B$8="",Burndown!$C$8=""),"",MAX(0,SUMIF('Backlog'!$B$6:$B$25,"S4",'Backlog'!$E$6:$E$25)-SUMIFS('Work Log'!$D$6:$D$205,'Work Log'!$E$6:$E$205,"S4",'Work Log'!$A$6:$A$205,"&lt;="&amp;P152)))</x:f>
      </x:c>
      <x:c r="O152" s="11" t="str">
        <x:f>IF(OR(P152="",SUMIF('Backlog'!$B$6:$B$25,"S4",'Backlog'!$E$6:$E$25)=0,Burndown!$B$8="",Burndown!$C$8="",Burndown!$C$8&lt;=Burndown!$B$8),"",MAX(0,SUMIF('Backlog'!$B$6:$B$25,"S4",'Backlog'!$E$6:$E$25)*(Burndown!$C$8-P152)/(Burndown!$C$8-Burndown!$B$8)))</x:f>
      </x:c>
      <x:c r="P152" s="10" t="str">
        <x:f>IF(OR('Work Log'!$E$155&lt;&gt;"S4",'Work Log'!$A$155=""),"",'Work Log'!$A$155)</x:f>
      </x:c>
      <x:c r="Q152" t="str">
        <x:f>IF(T152="","",TEXT(T152,"mm/dd/yy"))</x:f>
      </x:c>
      <x:c r="R152" s="11" t="str">
        <x:f>IF(OR(T152="",SUMIF('Backlog'!$B$6:$B$25,"S5",'Backlog'!$E$6:$E$25)=0,Burndown!$B$9="",Burndown!$C$9=""),"",MAX(0,SUMIF('Backlog'!$B$6:$B$25,"S5",'Backlog'!$E$6:$E$25)-SUMIFS('Work Log'!$D$6:$D$205,'Work Log'!$E$6:$E$205,"S5",'Work Log'!$A$6:$A$205,"&lt;="&amp;T152)))</x:f>
      </x:c>
      <x:c r="S152" s="11" t="str">
        <x:f>IF(OR(T152="",SUMIF('Backlog'!$B$6:$B$25,"S5",'Backlog'!$E$6:$E$25)=0,Burndown!$B$9="",Burndown!$C$9="",Burndown!$C$9&lt;=Burndown!$B$9),"",MAX(0,SUMIF('Backlog'!$B$6:$B$25,"S5",'Backlog'!$E$6:$E$25)*(Burndown!$C$9-T152)/(Burndown!$C$9-Burndown!$B$9)))</x:f>
      </x:c>
      <x:c r="T152" s="10" t="str">
        <x:f>IF(OR('Work Log'!$E$155&lt;&gt;"S5",'Work Log'!$A$155=""),"",'Work Log'!$A$155)</x:f>
      </x:c>
    </x:row>
    <x:row r="153">
      <x:c r="A153" t="str">
        <x:f>IF(D153="","",TEXT(D153,"mm/dd/yy"))</x:f>
      </x:c>
      <x:c r="B153" s="11" t="str">
        <x:f>IF(OR(D153="",SUMIF('Backlog'!$B$6:$B$25,"S1",'Backlog'!$E$6:$E$25)=0,Burndown!$B$5="",Burndown!$C$5=""),"",MAX(0,SUMIF('Backlog'!$B$6:$B$25,"S1",'Backlog'!$E$6:$E$25)-SUMIFS('Work Log'!$D$6:$D$205,'Work Log'!$E$6:$E$205,"S1",'Work Log'!$A$6:$A$205,"&lt;="&amp;D153)))</x:f>
      </x:c>
      <x:c r="C153" s="11" t="str">
        <x:f>IF(OR(D153="",SUMIF('Backlog'!$B$6:$B$25,"S1",'Backlog'!$E$6:$E$25)=0,Burndown!$B$5="",Burndown!$C$5="",Burndown!$C$5&lt;=Burndown!$B$5),"",MAX(0,SUMIF('Backlog'!$B$6:$B$25,"S1",'Backlog'!$E$6:$E$25)*(Burndown!$C$5-D153)/(Burndown!$C$5-Burndown!$B$5)))</x:f>
      </x:c>
      <x:c r="D153" s="10" t="str">
        <x:f>IF(OR('Work Log'!$E$156&lt;&gt;"S1",'Work Log'!$A$156=""),"",'Work Log'!$A$156)</x:f>
      </x:c>
      <x:c r="E153" t="str">
        <x:f>IF(H153="","",TEXT(H153,"mm/dd/yy"))</x:f>
      </x:c>
      <x:c r="F153" s="11" t="str">
        <x:f>IF(OR(H153="",SUMIF('Backlog'!$B$6:$B$25,"S2",'Backlog'!$E$6:$E$25)=0,Burndown!$B$6="",Burndown!$C$6=""),"",MAX(0,SUMIF('Backlog'!$B$6:$B$25,"S2",'Backlog'!$E$6:$E$25)-SUMIFS('Work Log'!$D$6:$D$205,'Work Log'!$E$6:$E$205,"S2",'Work Log'!$A$6:$A$205,"&lt;="&amp;H153)))</x:f>
      </x:c>
      <x:c r="G153" s="11" t="str">
        <x:f>IF(OR(H153="",SUMIF('Backlog'!$B$6:$B$25,"S2",'Backlog'!$E$6:$E$25)=0,Burndown!$B$6="",Burndown!$C$6="",Burndown!$C$6&lt;=Burndown!$B$6),"",MAX(0,SUMIF('Backlog'!$B$6:$B$25,"S2",'Backlog'!$E$6:$E$25)*(Burndown!$C$6-H153)/(Burndown!$C$6-Burndown!$B$6)))</x:f>
      </x:c>
      <x:c r="H153" s="10" t="str">
        <x:f>IF(OR('Work Log'!$E$156&lt;&gt;"S2",'Work Log'!$A$156=""),"",'Work Log'!$A$156)</x:f>
      </x:c>
      <x:c r="I153" t="str">
        <x:f>IF(L153="","",TEXT(L153,"mm/dd/yy"))</x:f>
      </x:c>
      <x:c r="J153" s="11" t="str">
        <x:f>IF(OR(L153="",SUMIF('Backlog'!$B$6:$B$25,"S3",'Backlog'!$E$6:$E$25)=0,Burndown!$B$7="",Burndown!$C$7=""),"",MAX(0,SUMIF('Backlog'!$B$6:$B$25,"S3",'Backlog'!$E$6:$E$25)-SUMIFS('Work Log'!$D$6:$D$205,'Work Log'!$E$6:$E$205,"S3",'Work Log'!$A$6:$A$205,"&lt;="&amp;L153)))</x:f>
      </x:c>
      <x:c r="K153" s="11" t="str">
        <x:f>IF(OR(L153="",SUMIF('Backlog'!$B$6:$B$25,"S3",'Backlog'!$E$6:$E$25)=0,Burndown!$B$7="",Burndown!$C$7="",Burndown!$C$7&lt;=Burndown!$B$7),"",MAX(0,SUMIF('Backlog'!$B$6:$B$25,"S3",'Backlog'!$E$6:$E$25)*(Burndown!$C$7-L153)/(Burndown!$C$7-Burndown!$B$7)))</x:f>
      </x:c>
      <x:c r="L153" s="10" t="str">
        <x:f>IF(OR('Work Log'!$E$156&lt;&gt;"S3",'Work Log'!$A$156=""),"",'Work Log'!$A$156)</x:f>
      </x:c>
      <x:c r="M153" t="str">
        <x:f>IF(P153="","",TEXT(P153,"mm/dd/yy"))</x:f>
      </x:c>
      <x:c r="N153" s="11" t="str">
        <x:f>IF(OR(P153="",SUMIF('Backlog'!$B$6:$B$25,"S4",'Backlog'!$E$6:$E$25)=0,Burndown!$B$8="",Burndown!$C$8=""),"",MAX(0,SUMIF('Backlog'!$B$6:$B$25,"S4",'Backlog'!$E$6:$E$25)-SUMIFS('Work Log'!$D$6:$D$205,'Work Log'!$E$6:$E$205,"S4",'Work Log'!$A$6:$A$205,"&lt;="&amp;P153)))</x:f>
      </x:c>
      <x:c r="O153" s="11" t="str">
        <x:f>IF(OR(P153="",SUMIF('Backlog'!$B$6:$B$25,"S4",'Backlog'!$E$6:$E$25)=0,Burndown!$B$8="",Burndown!$C$8="",Burndown!$C$8&lt;=Burndown!$B$8),"",MAX(0,SUMIF('Backlog'!$B$6:$B$25,"S4",'Backlog'!$E$6:$E$25)*(Burndown!$C$8-P153)/(Burndown!$C$8-Burndown!$B$8)))</x:f>
      </x:c>
      <x:c r="P153" s="10" t="str">
        <x:f>IF(OR('Work Log'!$E$156&lt;&gt;"S4",'Work Log'!$A$156=""),"",'Work Log'!$A$156)</x:f>
      </x:c>
      <x:c r="Q153" t="str">
        <x:f>IF(T153="","",TEXT(T153,"mm/dd/yy"))</x:f>
      </x:c>
      <x:c r="R153" s="11" t="str">
        <x:f>IF(OR(T153="",SUMIF('Backlog'!$B$6:$B$25,"S5",'Backlog'!$E$6:$E$25)=0,Burndown!$B$9="",Burndown!$C$9=""),"",MAX(0,SUMIF('Backlog'!$B$6:$B$25,"S5",'Backlog'!$E$6:$E$25)-SUMIFS('Work Log'!$D$6:$D$205,'Work Log'!$E$6:$E$205,"S5",'Work Log'!$A$6:$A$205,"&lt;="&amp;T153)))</x:f>
      </x:c>
      <x:c r="S153" s="11" t="str">
        <x:f>IF(OR(T153="",SUMIF('Backlog'!$B$6:$B$25,"S5",'Backlog'!$E$6:$E$25)=0,Burndown!$B$9="",Burndown!$C$9="",Burndown!$C$9&lt;=Burndown!$B$9),"",MAX(0,SUMIF('Backlog'!$B$6:$B$25,"S5",'Backlog'!$E$6:$E$25)*(Burndown!$C$9-T153)/(Burndown!$C$9-Burndown!$B$9)))</x:f>
      </x:c>
      <x:c r="T153" s="10" t="str">
        <x:f>IF(OR('Work Log'!$E$156&lt;&gt;"S5",'Work Log'!$A$156=""),"",'Work Log'!$A$156)</x:f>
      </x:c>
    </x:row>
    <x:row r="154">
      <x:c r="A154" t="str">
        <x:f>IF(D154="","",TEXT(D154,"mm/dd/yy"))</x:f>
      </x:c>
      <x:c r="B154" s="11" t="str">
        <x:f>IF(OR(D154="",SUMIF('Backlog'!$B$6:$B$25,"S1",'Backlog'!$E$6:$E$25)=0,Burndown!$B$5="",Burndown!$C$5=""),"",MAX(0,SUMIF('Backlog'!$B$6:$B$25,"S1",'Backlog'!$E$6:$E$25)-SUMIFS('Work Log'!$D$6:$D$205,'Work Log'!$E$6:$E$205,"S1",'Work Log'!$A$6:$A$205,"&lt;="&amp;D154)))</x:f>
      </x:c>
      <x:c r="C154" s="11" t="str">
        <x:f>IF(OR(D154="",SUMIF('Backlog'!$B$6:$B$25,"S1",'Backlog'!$E$6:$E$25)=0,Burndown!$B$5="",Burndown!$C$5="",Burndown!$C$5&lt;=Burndown!$B$5),"",MAX(0,SUMIF('Backlog'!$B$6:$B$25,"S1",'Backlog'!$E$6:$E$25)*(Burndown!$C$5-D154)/(Burndown!$C$5-Burndown!$B$5)))</x:f>
      </x:c>
      <x:c r="D154" s="10" t="str">
        <x:f>IF(OR('Work Log'!$E$157&lt;&gt;"S1",'Work Log'!$A$157=""),"",'Work Log'!$A$157)</x:f>
      </x:c>
      <x:c r="E154" t="str">
        <x:f>IF(H154="","",TEXT(H154,"mm/dd/yy"))</x:f>
      </x:c>
      <x:c r="F154" s="11" t="str">
        <x:f>IF(OR(H154="",SUMIF('Backlog'!$B$6:$B$25,"S2",'Backlog'!$E$6:$E$25)=0,Burndown!$B$6="",Burndown!$C$6=""),"",MAX(0,SUMIF('Backlog'!$B$6:$B$25,"S2",'Backlog'!$E$6:$E$25)-SUMIFS('Work Log'!$D$6:$D$205,'Work Log'!$E$6:$E$205,"S2",'Work Log'!$A$6:$A$205,"&lt;="&amp;H154)))</x:f>
      </x:c>
      <x:c r="G154" s="11" t="str">
        <x:f>IF(OR(H154="",SUMIF('Backlog'!$B$6:$B$25,"S2",'Backlog'!$E$6:$E$25)=0,Burndown!$B$6="",Burndown!$C$6="",Burndown!$C$6&lt;=Burndown!$B$6),"",MAX(0,SUMIF('Backlog'!$B$6:$B$25,"S2",'Backlog'!$E$6:$E$25)*(Burndown!$C$6-H154)/(Burndown!$C$6-Burndown!$B$6)))</x:f>
      </x:c>
      <x:c r="H154" s="10" t="str">
        <x:f>IF(OR('Work Log'!$E$157&lt;&gt;"S2",'Work Log'!$A$157=""),"",'Work Log'!$A$157)</x:f>
      </x:c>
      <x:c r="I154" t="str">
        <x:f>IF(L154="","",TEXT(L154,"mm/dd/yy"))</x:f>
      </x:c>
      <x:c r="J154" s="11" t="str">
        <x:f>IF(OR(L154="",SUMIF('Backlog'!$B$6:$B$25,"S3",'Backlog'!$E$6:$E$25)=0,Burndown!$B$7="",Burndown!$C$7=""),"",MAX(0,SUMIF('Backlog'!$B$6:$B$25,"S3",'Backlog'!$E$6:$E$25)-SUMIFS('Work Log'!$D$6:$D$205,'Work Log'!$E$6:$E$205,"S3",'Work Log'!$A$6:$A$205,"&lt;="&amp;L154)))</x:f>
      </x:c>
      <x:c r="K154" s="11" t="str">
        <x:f>IF(OR(L154="",SUMIF('Backlog'!$B$6:$B$25,"S3",'Backlog'!$E$6:$E$25)=0,Burndown!$B$7="",Burndown!$C$7="",Burndown!$C$7&lt;=Burndown!$B$7),"",MAX(0,SUMIF('Backlog'!$B$6:$B$25,"S3",'Backlog'!$E$6:$E$25)*(Burndown!$C$7-L154)/(Burndown!$C$7-Burndown!$B$7)))</x:f>
      </x:c>
      <x:c r="L154" s="10" t="str">
        <x:f>IF(OR('Work Log'!$E$157&lt;&gt;"S3",'Work Log'!$A$157=""),"",'Work Log'!$A$157)</x:f>
      </x:c>
      <x:c r="M154" t="str">
        <x:f>IF(P154="","",TEXT(P154,"mm/dd/yy"))</x:f>
      </x:c>
      <x:c r="N154" s="11" t="str">
        <x:f>IF(OR(P154="",SUMIF('Backlog'!$B$6:$B$25,"S4",'Backlog'!$E$6:$E$25)=0,Burndown!$B$8="",Burndown!$C$8=""),"",MAX(0,SUMIF('Backlog'!$B$6:$B$25,"S4",'Backlog'!$E$6:$E$25)-SUMIFS('Work Log'!$D$6:$D$205,'Work Log'!$E$6:$E$205,"S4",'Work Log'!$A$6:$A$205,"&lt;="&amp;P154)))</x:f>
      </x:c>
      <x:c r="O154" s="11" t="str">
        <x:f>IF(OR(P154="",SUMIF('Backlog'!$B$6:$B$25,"S4",'Backlog'!$E$6:$E$25)=0,Burndown!$B$8="",Burndown!$C$8="",Burndown!$C$8&lt;=Burndown!$B$8),"",MAX(0,SUMIF('Backlog'!$B$6:$B$25,"S4",'Backlog'!$E$6:$E$25)*(Burndown!$C$8-P154)/(Burndown!$C$8-Burndown!$B$8)))</x:f>
      </x:c>
      <x:c r="P154" s="10" t="str">
        <x:f>IF(OR('Work Log'!$E$157&lt;&gt;"S4",'Work Log'!$A$157=""),"",'Work Log'!$A$157)</x:f>
      </x:c>
      <x:c r="Q154" t="str">
        <x:f>IF(T154="","",TEXT(T154,"mm/dd/yy"))</x:f>
      </x:c>
      <x:c r="R154" s="11" t="str">
        <x:f>IF(OR(T154="",SUMIF('Backlog'!$B$6:$B$25,"S5",'Backlog'!$E$6:$E$25)=0,Burndown!$B$9="",Burndown!$C$9=""),"",MAX(0,SUMIF('Backlog'!$B$6:$B$25,"S5",'Backlog'!$E$6:$E$25)-SUMIFS('Work Log'!$D$6:$D$205,'Work Log'!$E$6:$E$205,"S5",'Work Log'!$A$6:$A$205,"&lt;="&amp;T154)))</x:f>
      </x:c>
      <x:c r="S154" s="11" t="str">
        <x:f>IF(OR(T154="",SUMIF('Backlog'!$B$6:$B$25,"S5",'Backlog'!$E$6:$E$25)=0,Burndown!$B$9="",Burndown!$C$9="",Burndown!$C$9&lt;=Burndown!$B$9),"",MAX(0,SUMIF('Backlog'!$B$6:$B$25,"S5",'Backlog'!$E$6:$E$25)*(Burndown!$C$9-T154)/(Burndown!$C$9-Burndown!$B$9)))</x:f>
      </x:c>
      <x:c r="T154" s="10" t="str">
        <x:f>IF(OR('Work Log'!$E$157&lt;&gt;"S5",'Work Log'!$A$157=""),"",'Work Log'!$A$157)</x:f>
      </x:c>
    </x:row>
    <x:row r="155">
      <x:c r="A155" t="str">
        <x:f>IF(D155="","",TEXT(D155,"mm/dd/yy"))</x:f>
      </x:c>
      <x:c r="B155" s="11" t="str">
        <x:f>IF(OR(D155="",SUMIF('Backlog'!$B$6:$B$25,"S1",'Backlog'!$E$6:$E$25)=0,Burndown!$B$5="",Burndown!$C$5=""),"",MAX(0,SUMIF('Backlog'!$B$6:$B$25,"S1",'Backlog'!$E$6:$E$25)-SUMIFS('Work Log'!$D$6:$D$205,'Work Log'!$E$6:$E$205,"S1",'Work Log'!$A$6:$A$205,"&lt;="&amp;D155)))</x:f>
      </x:c>
      <x:c r="C155" s="11" t="str">
        <x:f>IF(OR(D155="",SUMIF('Backlog'!$B$6:$B$25,"S1",'Backlog'!$E$6:$E$25)=0,Burndown!$B$5="",Burndown!$C$5="",Burndown!$C$5&lt;=Burndown!$B$5),"",MAX(0,SUMIF('Backlog'!$B$6:$B$25,"S1",'Backlog'!$E$6:$E$25)*(Burndown!$C$5-D155)/(Burndown!$C$5-Burndown!$B$5)))</x:f>
      </x:c>
      <x:c r="D155" s="10" t="str">
        <x:f>IF(OR('Work Log'!$E$158&lt;&gt;"S1",'Work Log'!$A$158=""),"",'Work Log'!$A$158)</x:f>
      </x:c>
      <x:c r="E155" t="str">
        <x:f>IF(H155="","",TEXT(H155,"mm/dd/yy"))</x:f>
      </x:c>
      <x:c r="F155" s="11" t="str">
        <x:f>IF(OR(H155="",SUMIF('Backlog'!$B$6:$B$25,"S2",'Backlog'!$E$6:$E$25)=0,Burndown!$B$6="",Burndown!$C$6=""),"",MAX(0,SUMIF('Backlog'!$B$6:$B$25,"S2",'Backlog'!$E$6:$E$25)-SUMIFS('Work Log'!$D$6:$D$205,'Work Log'!$E$6:$E$205,"S2",'Work Log'!$A$6:$A$205,"&lt;="&amp;H155)))</x:f>
      </x:c>
      <x:c r="G155" s="11" t="str">
        <x:f>IF(OR(H155="",SUMIF('Backlog'!$B$6:$B$25,"S2",'Backlog'!$E$6:$E$25)=0,Burndown!$B$6="",Burndown!$C$6="",Burndown!$C$6&lt;=Burndown!$B$6),"",MAX(0,SUMIF('Backlog'!$B$6:$B$25,"S2",'Backlog'!$E$6:$E$25)*(Burndown!$C$6-H155)/(Burndown!$C$6-Burndown!$B$6)))</x:f>
      </x:c>
      <x:c r="H155" s="10" t="str">
        <x:f>IF(OR('Work Log'!$E$158&lt;&gt;"S2",'Work Log'!$A$158=""),"",'Work Log'!$A$158)</x:f>
      </x:c>
      <x:c r="I155" t="str">
        <x:f>IF(L155="","",TEXT(L155,"mm/dd/yy"))</x:f>
      </x:c>
      <x:c r="J155" s="11" t="str">
        <x:f>IF(OR(L155="",SUMIF('Backlog'!$B$6:$B$25,"S3",'Backlog'!$E$6:$E$25)=0,Burndown!$B$7="",Burndown!$C$7=""),"",MAX(0,SUMIF('Backlog'!$B$6:$B$25,"S3",'Backlog'!$E$6:$E$25)-SUMIFS('Work Log'!$D$6:$D$205,'Work Log'!$E$6:$E$205,"S3",'Work Log'!$A$6:$A$205,"&lt;="&amp;L155)))</x:f>
      </x:c>
      <x:c r="K155" s="11" t="str">
        <x:f>IF(OR(L155="",SUMIF('Backlog'!$B$6:$B$25,"S3",'Backlog'!$E$6:$E$25)=0,Burndown!$B$7="",Burndown!$C$7="",Burndown!$C$7&lt;=Burndown!$B$7),"",MAX(0,SUMIF('Backlog'!$B$6:$B$25,"S3",'Backlog'!$E$6:$E$25)*(Burndown!$C$7-L155)/(Burndown!$C$7-Burndown!$B$7)))</x:f>
      </x:c>
      <x:c r="L155" s="10" t="str">
        <x:f>IF(OR('Work Log'!$E$158&lt;&gt;"S3",'Work Log'!$A$158=""),"",'Work Log'!$A$158)</x:f>
      </x:c>
      <x:c r="M155" t="str">
        <x:f>IF(P155="","",TEXT(P155,"mm/dd/yy"))</x:f>
      </x:c>
      <x:c r="N155" s="11" t="str">
        <x:f>IF(OR(P155="",SUMIF('Backlog'!$B$6:$B$25,"S4",'Backlog'!$E$6:$E$25)=0,Burndown!$B$8="",Burndown!$C$8=""),"",MAX(0,SUMIF('Backlog'!$B$6:$B$25,"S4",'Backlog'!$E$6:$E$25)-SUMIFS('Work Log'!$D$6:$D$205,'Work Log'!$E$6:$E$205,"S4",'Work Log'!$A$6:$A$205,"&lt;="&amp;P155)))</x:f>
      </x:c>
      <x:c r="O155" s="11" t="str">
        <x:f>IF(OR(P155="",SUMIF('Backlog'!$B$6:$B$25,"S4",'Backlog'!$E$6:$E$25)=0,Burndown!$B$8="",Burndown!$C$8="",Burndown!$C$8&lt;=Burndown!$B$8),"",MAX(0,SUMIF('Backlog'!$B$6:$B$25,"S4",'Backlog'!$E$6:$E$25)*(Burndown!$C$8-P155)/(Burndown!$C$8-Burndown!$B$8)))</x:f>
      </x:c>
      <x:c r="P155" s="10" t="str">
        <x:f>IF(OR('Work Log'!$E$158&lt;&gt;"S4",'Work Log'!$A$158=""),"",'Work Log'!$A$158)</x:f>
      </x:c>
      <x:c r="Q155" t="str">
        <x:f>IF(T155="","",TEXT(T155,"mm/dd/yy"))</x:f>
      </x:c>
      <x:c r="R155" s="11" t="str">
        <x:f>IF(OR(T155="",SUMIF('Backlog'!$B$6:$B$25,"S5",'Backlog'!$E$6:$E$25)=0,Burndown!$B$9="",Burndown!$C$9=""),"",MAX(0,SUMIF('Backlog'!$B$6:$B$25,"S5",'Backlog'!$E$6:$E$25)-SUMIFS('Work Log'!$D$6:$D$205,'Work Log'!$E$6:$E$205,"S5",'Work Log'!$A$6:$A$205,"&lt;="&amp;T155)))</x:f>
      </x:c>
      <x:c r="S155" s="11" t="str">
        <x:f>IF(OR(T155="",SUMIF('Backlog'!$B$6:$B$25,"S5",'Backlog'!$E$6:$E$25)=0,Burndown!$B$9="",Burndown!$C$9="",Burndown!$C$9&lt;=Burndown!$B$9),"",MAX(0,SUMIF('Backlog'!$B$6:$B$25,"S5",'Backlog'!$E$6:$E$25)*(Burndown!$C$9-T155)/(Burndown!$C$9-Burndown!$B$9)))</x:f>
      </x:c>
      <x:c r="T155" s="10" t="str">
        <x:f>IF(OR('Work Log'!$E$158&lt;&gt;"S5",'Work Log'!$A$158=""),"",'Work Log'!$A$158)</x:f>
      </x:c>
    </x:row>
    <x:row r="156">
      <x:c r="A156" t="str">
        <x:f>IF(D156="","",TEXT(D156,"mm/dd/yy"))</x:f>
      </x:c>
      <x:c r="B156" s="11" t="str">
        <x:f>IF(OR(D156="",SUMIF('Backlog'!$B$6:$B$25,"S1",'Backlog'!$E$6:$E$25)=0,Burndown!$B$5="",Burndown!$C$5=""),"",MAX(0,SUMIF('Backlog'!$B$6:$B$25,"S1",'Backlog'!$E$6:$E$25)-SUMIFS('Work Log'!$D$6:$D$205,'Work Log'!$E$6:$E$205,"S1",'Work Log'!$A$6:$A$205,"&lt;="&amp;D156)))</x:f>
      </x:c>
      <x:c r="C156" s="11" t="str">
        <x:f>IF(OR(D156="",SUMIF('Backlog'!$B$6:$B$25,"S1",'Backlog'!$E$6:$E$25)=0,Burndown!$B$5="",Burndown!$C$5="",Burndown!$C$5&lt;=Burndown!$B$5),"",MAX(0,SUMIF('Backlog'!$B$6:$B$25,"S1",'Backlog'!$E$6:$E$25)*(Burndown!$C$5-D156)/(Burndown!$C$5-Burndown!$B$5)))</x:f>
      </x:c>
      <x:c r="D156" s="10" t="str">
        <x:f>IF(OR('Work Log'!$E$159&lt;&gt;"S1",'Work Log'!$A$159=""),"",'Work Log'!$A$159)</x:f>
      </x:c>
      <x:c r="E156" t="str">
        <x:f>IF(H156="","",TEXT(H156,"mm/dd/yy"))</x:f>
      </x:c>
      <x:c r="F156" s="11" t="str">
        <x:f>IF(OR(H156="",SUMIF('Backlog'!$B$6:$B$25,"S2",'Backlog'!$E$6:$E$25)=0,Burndown!$B$6="",Burndown!$C$6=""),"",MAX(0,SUMIF('Backlog'!$B$6:$B$25,"S2",'Backlog'!$E$6:$E$25)-SUMIFS('Work Log'!$D$6:$D$205,'Work Log'!$E$6:$E$205,"S2",'Work Log'!$A$6:$A$205,"&lt;="&amp;H156)))</x:f>
      </x:c>
      <x:c r="G156" s="11" t="str">
        <x:f>IF(OR(H156="",SUMIF('Backlog'!$B$6:$B$25,"S2",'Backlog'!$E$6:$E$25)=0,Burndown!$B$6="",Burndown!$C$6="",Burndown!$C$6&lt;=Burndown!$B$6),"",MAX(0,SUMIF('Backlog'!$B$6:$B$25,"S2",'Backlog'!$E$6:$E$25)*(Burndown!$C$6-H156)/(Burndown!$C$6-Burndown!$B$6)))</x:f>
      </x:c>
      <x:c r="H156" s="10" t="str">
        <x:f>IF(OR('Work Log'!$E$159&lt;&gt;"S2",'Work Log'!$A$159=""),"",'Work Log'!$A$159)</x:f>
      </x:c>
      <x:c r="I156" t="str">
        <x:f>IF(L156="","",TEXT(L156,"mm/dd/yy"))</x:f>
      </x:c>
      <x:c r="J156" s="11" t="str">
        <x:f>IF(OR(L156="",SUMIF('Backlog'!$B$6:$B$25,"S3",'Backlog'!$E$6:$E$25)=0,Burndown!$B$7="",Burndown!$C$7=""),"",MAX(0,SUMIF('Backlog'!$B$6:$B$25,"S3",'Backlog'!$E$6:$E$25)-SUMIFS('Work Log'!$D$6:$D$205,'Work Log'!$E$6:$E$205,"S3",'Work Log'!$A$6:$A$205,"&lt;="&amp;L156)))</x:f>
      </x:c>
      <x:c r="K156" s="11" t="str">
        <x:f>IF(OR(L156="",SUMIF('Backlog'!$B$6:$B$25,"S3",'Backlog'!$E$6:$E$25)=0,Burndown!$B$7="",Burndown!$C$7="",Burndown!$C$7&lt;=Burndown!$B$7),"",MAX(0,SUMIF('Backlog'!$B$6:$B$25,"S3",'Backlog'!$E$6:$E$25)*(Burndown!$C$7-L156)/(Burndown!$C$7-Burndown!$B$7)))</x:f>
      </x:c>
      <x:c r="L156" s="10" t="str">
        <x:f>IF(OR('Work Log'!$E$159&lt;&gt;"S3",'Work Log'!$A$159=""),"",'Work Log'!$A$159)</x:f>
      </x:c>
      <x:c r="M156" t="str">
        <x:f>IF(P156="","",TEXT(P156,"mm/dd/yy"))</x:f>
      </x:c>
      <x:c r="N156" s="11" t="str">
        <x:f>IF(OR(P156="",SUMIF('Backlog'!$B$6:$B$25,"S4",'Backlog'!$E$6:$E$25)=0,Burndown!$B$8="",Burndown!$C$8=""),"",MAX(0,SUMIF('Backlog'!$B$6:$B$25,"S4",'Backlog'!$E$6:$E$25)-SUMIFS('Work Log'!$D$6:$D$205,'Work Log'!$E$6:$E$205,"S4",'Work Log'!$A$6:$A$205,"&lt;="&amp;P156)))</x:f>
      </x:c>
      <x:c r="O156" s="11" t="str">
        <x:f>IF(OR(P156="",SUMIF('Backlog'!$B$6:$B$25,"S4",'Backlog'!$E$6:$E$25)=0,Burndown!$B$8="",Burndown!$C$8="",Burndown!$C$8&lt;=Burndown!$B$8),"",MAX(0,SUMIF('Backlog'!$B$6:$B$25,"S4",'Backlog'!$E$6:$E$25)*(Burndown!$C$8-P156)/(Burndown!$C$8-Burndown!$B$8)))</x:f>
      </x:c>
      <x:c r="P156" s="10" t="str">
        <x:f>IF(OR('Work Log'!$E$159&lt;&gt;"S4",'Work Log'!$A$159=""),"",'Work Log'!$A$159)</x:f>
      </x:c>
      <x:c r="Q156" t="str">
        <x:f>IF(T156="","",TEXT(T156,"mm/dd/yy"))</x:f>
      </x:c>
      <x:c r="R156" s="11" t="str">
        <x:f>IF(OR(T156="",SUMIF('Backlog'!$B$6:$B$25,"S5",'Backlog'!$E$6:$E$25)=0,Burndown!$B$9="",Burndown!$C$9=""),"",MAX(0,SUMIF('Backlog'!$B$6:$B$25,"S5",'Backlog'!$E$6:$E$25)-SUMIFS('Work Log'!$D$6:$D$205,'Work Log'!$E$6:$E$205,"S5",'Work Log'!$A$6:$A$205,"&lt;="&amp;T156)))</x:f>
      </x:c>
      <x:c r="S156" s="11" t="str">
        <x:f>IF(OR(T156="",SUMIF('Backlog'!$B$6:$B$25,"S5",'Backlog'!$E$6:$E$25)=0,Burndown!$B$9="",Burndown!$C$9="",Burndown!$C$9&lt;=Burndown!$B$9),"",MAX(0,SUMIF('Backlog'!$B$6:$B$25,"S5",'Backlog'!$E$6:$E$25)*(Burndown!$C$9-T156)/(Burndown!$C$9-Burndown!$B$9)))</x:f>
      </x:c>
      <x:c r="T156" s="10" t="str">
        <x:f>IF(OR('Work Log'!$E$159&lt;&gt;"S5",'Work Log'!$A$159=""),"",'Work Log'!$A$159)</x:f>
      </x:c>
    </x:row>
    <x:row r="157">
      <x:c r="A157" t="str">
        <x:f>IF(D157="","",TEXT(D157,"mm/dd/yy"))</x:f>
      </x:c>
      <x:c r="B157" s="11" t="str">
        <x:f>IF(OR(D157="",SUMIF('Backlog'!$B$6:$B$25,"S1",'Backlog'!$E$6:$E$25)=0,Burndown!$B$5="",Burndown!$C$5=""),"",MAX(0,SUMIF('Backlog'!$B$6:$B$25,"S1",'Backlog'!$E$6:$E$25)-SUMIFS('Work Log'!$D$6:$D$205,'Work Log'!$E$6:$E$205,"S1",'Work Log'!$A$6:$A$205,"&lt;="&amp;D157)))</x:f>
      </x:c>
      <x:c r="C157" s="11" t="str">
        <x:f>IF(OR(D157="",SUMIF('Backlog'!$B$6:$B$25,"S1",'Backlog'!$E$6:$E$25)=0,Burndown!$B$5="",Burndown!$C$5="",Burndown!$C$5&lt;=Burndown!$B$5),"",MAX(0,SUMIF('Backlog'!$B$6:$B$25,"S1",'Backlog'!$E$6:$E$25)*(Burndown!$C$5-D157)/(Burndown!$C$5-Burndown!$B$5)))</x:f>
      </x:c>
      <x:c r="D157" s="10" t="str">
        <x:f>IF(OR('Work Log'!$E$160&lt;&gt;"S1",'Work Log'!$A$160=""),"",'Work Log'!$A$160)</x:f>
      </x:c>
      <x:c r="E157" t="str">
        <x:f>IF(H157="","",TEXT(H157,"mm/dd/yy"))</x:f>
      </x:c>
      <x:c r="F157" s="11" t="str">
        <x:f>IF(OR(H157="",SUMIF('Backlog'!$B$6:$B$25,"S2",'Backlog'!$E$6:$E$25)=0,Burndown!$B$6="",Burndown!$C$6=""),"",MAX(0,SUMIF('Backlog'!$B$6:$B$25,"S2",'Backlog'!$E$6:$E$25)-SUMIFS('Work Log'!$D$6:$D$205,'Work Log'!$E$6:$E$205,"S2",'Work Log'!$A$6:$A$205,"&lt;="&amp;H157)))</x:f>
      </x:c>
      <x:c r="G157" s="11" t="str">
        <x:f>IF(OR(H157="",SUMIF('Backlog'!$B$6:$B$25,"S2",'Backlog'!$E$6:$E$25)=0,Burndown!$B$6="",Burndown!$C$6="",Burndown!$C$6&lt;=Burndown!$B$6),"",MAX(0,SUMIF('Backlog'!$B$6:$B$25,"S2",'Backlog'!$E$6:$E$25)*(Burndown!$C$6-H157)/(Burndown!$C$6-Burndown!$B$6)))</x:f>
      </x:c>
      <x:c r="H157" s="10" t="str">
        <x:f>IF(OR('Work Log'!$E$160&lt;&gt;"S2",'Work Log'!$A$160=""),"",'Work Log'!$A$160)</x:f>
      </x:c>
      <x:c r="I157" t="str">
        <x:f>IF(L157="","",TEXT(L157,"mm/dd/yy"))</x:f>
      </x:c>
      <x:c r="J157" s="11" t="str">
        <x:f>IF(OR(L157="",SUMIF('Backlog'!$B$6:$B$25,"S3",'Backlog'!$E$6:$E$25)=0,Burndown!$B$7="",Burndown!$C$7=""),"",MAX(0,SUMIF('Backlog'!$B$6:$B$25,"S3",'Backlog'!$E$6:$E$25)-SUMIFS('Work Log'!$D$6:$D$205,'Work Log'!$E$6:$E$205,"S3",'Work Log'!$A$6:$A$205,"&lt;="&amp;L157)))</x:f>
      </x:c>
      <x:c r="K157" s="11" t="str">
        <x:f>IF(OR(L157="",SUMIF('Backlog'!$B$6:$B$25,"S3",'Backlog'!$E$6:$E$25)=0,Burndown!$B$7="",Burndown!$C$7="",Burndown!$C$7&lt;=Burndown!$B$7),"",MAX(0,SUMIF('Backlog'!$B$6:$B$25,"S3",'Backlog'!$E$6:$E$25)*(Burndown!$C$7-L157)/(Burndown!$C$7-Burndown!$B$7)))</x:f>
      </x:c>
      <x:c r="L157" s="10" t="str">
        <x:f>IF(OR('Work Log'!$E$160&lt;&gt;"S3",'Work Log'!$A$160=""),"",'Work Log'!$A$160)</x:f>
      </x:c>
      <x:c r="M157" t="str">
        <x:f>IF(P157="","",TEXT(P157,"mm/dd/yy"))</x:f>
      </x:c>
      <x:c r="N157" s="11" t="str">
        <x:f>IF(OR(P157="",SUMIF('Backlog'!$B$6:$B$25,"S4",'Backlog'!$E$6:$E$25)=0,Burndown!$B$8="",Burndown!$C$8=""),"",MAX(0,SUMIF('Backlog'!$B$6:$B$25,"S4",'Backlog'!$E$6:$E$25)-SUMIFS('Work Log'!$D$6:$D$205,'Work Log'!$E$6:$E$205,"S4",'Work Log'!$A$6:$A$205,"&lt;="&amp;P157)))</x:f>
      </x:c>
      <x:c r="O157" s="11" t="str">
        <x:f>IF(OR(P157="",SUMIF('Backlog'!$B$6:$B$25,"S4",'Backlog'!$E$6:$E$25)=0,Burndown!$B$8="",Burndown!$C$8="",Burndown!$C$8&lt;=Burndown!$B$8),"",MAX(0,SUMIF('Backlog'!$B$6:$B$25,"S4",'Backlog'!$E$6:$E$25)*(Burndown!$C$8-P157)/(Burndown!$C$8-Burndown!$B$8)))</x:f>
      </x:c>
      <x:c r="P157" s="10" t="str">
        <x:f>IF(OR('Work Log'!$E$160&lt;&gt;"S4",'Work Log'!$A$160=""),"",'Work Log'!$A$160)</x:f>
      </x:c>
      <x:c r="Q157" t="str">
        <x:f>IF(T157="","",TEXT(T157,"mm/dd/yy"))</x:f>
      </x:c>
      <x:c r="R157" s="11" t="str">
        <x:f>IF(OR(T157="",SUMIF('Backlog'!$B$6:$B$25,"S5",'Backlog'!$E$6:$E$25)=0,Burndown!$B$9="",Burndown!$C$9=""),"",MAX(0,SUMIF('Backlog'!$B$6:$B$25,"S5",'Backlog'!$E$6:$E$25)-SUMIFS('Work Log'!$D$6:$D$205,'Work Log'!$E$6:$E$205,"S5",'Work Log'!$A$6:$A$205,"&lt;="&amp;T157)))</x:f>
      </x:c>
      <x:c r="S157" s="11" t="str">
        <x:f>IF(OR(T157="",SUMIF('Backlog'!$B$6:$B$25,"S5",'Backlog'!$E$6:$E$25)=0,Burndown!$B$9="",Burndown!$C$9="",Burndown!$C$9&lt;=Burndown!$B$9),"",MAX(0,SUMIF('Backlog'!$B$6:$B$25,"S5",'Backlog'!$E$6:$E$25)*(Burndown!$C$9-T157)/(Burndown!$C$9-Burndown!$B$9)))</x:f>
      </x:c>
      <x:c r="T157" s="10" t="str">
        <x:f>IF(OR('Work Log'!$E$160&lt;&gt;"S5",'Work Log'!$A$160=""),"",'Work Log'!$A$160)</x:f>
      </x:c>
    </x:row>
    <x:row r="158">
      <x:c r="A158" t="str">
        <x:f>IF(D158="","",TEXT(D158,"mm/dd/yy"))</x:f>
      </x:c>
      <x:c r="B158" s="11" t="str">
        <x:f>IF(OR(D158="",SUMIF('Backlog'!$B$6:$B$25,"S1",'Backlog'!$E$6:$E$25)=0,Burndown!$B$5="",Burndown!$C$5=""),"",MAX(0,SUMIF('Backlog'!$B$6:$B$25,"S1",'Backlog'!$E$6:$E$25)-SUMIFS('Work Log'!$D$6:$D$205,'Work Log'!$E$6:$E$205,"S1",'Work Log'!$A$6:$A$205,"&lt;="&amp;D158)))</x:f>
      </x:c>
      <x:c r="C158" s="11" t="str">
        <x:f>IF(OR(D158="",SUMIF('Backlog'!$B$6:$B$25,"S1",'Backlog'!$E$6:$E$25)=0,Burndown!$B$5="",Burndown!$C$5="",Burndown!$C$5&lt;=Burndown!$B$5),"",MAX(0,SUMIF('Backlog'!$B$6:$B$25,"S1",'Backlog'!$E$6:$E$25)*(Burndown!$C$5-D158)/(Burndown!$C$5-Burndown!$B$5)))</x:f>
      </x:c>
      <x:c r="D158" s="10" t="str">
        <x:f>IF(OR('Work Log'!$E$161&lt;&gt;"S1",'Work Log'!$A$161=""),"",'Work Log'!$A$161)</x:f>
      </x:c>
      <x:c r="E158" t="str">
        <x:f>IF(H158="","",TEXT(H158,"mm/dd/yy"))</x:f>
      </x:c>
      <x:c r="F158" s="11" t="str">
        <x:f>IF(OR(H158="",SUMIF('Backlog'!$B$6:$B$25,"S2",'Backlog'!$E$6:$E$25)=0,Burndown!$B$6="",Burndown!$C$6=""),"",MAX(0,SUMIF('Backlog'!$B$6:$B$25,"S2",'Backlog'!$E$6:$E$25)-SUMIFS('Work Log'!$D$6:$D$205,'Work Log'!$E$6:$E$205,"S2",'Work Log'!$A$6:$A$205,"&lt;="&amp;H158)))</x:f>
      </x:c>
      <x:c r="G158" s="11" t="str">
        <x:f>IF(OR(H158="",SUMIF('Backlog'!$B$6:$B$25,"S2",'Backlog'!$E$6:$E$25)=0,Burndown!$B$6="",Burndown!$C$6="",Burndown!$C$6&lt;=Burndown!$B$6),"",MAX(0,SUMIF('Backlog'!$B$6:$B$25,"S2",'Backlog'!$E$6:$E$25)*(Burndown!$C$6-H158)/(Burndown!$C$6-Burndown!$B$6)))</x:f>
      </x:c>
      <x:c r="H158" s="10" t="str">
        <x:f>IF(OR('Work Log'!$E$161&lt;&gt;"S2",'Work Log'!$A$161=""),"",'Work Log'!$A$161)</x:f>
      </x:c>
      <x:c r="I158" t="str">
        <x:f>IF(L158="","",TEXT(L158,"mm/dd/yy"))</x:f>
      </x:c>
      <x:c r="J158" s="11" t="str">
        <x:f>IF(OR(L158="",SUMIF('Backlog'!$B$6:$B$25,"S3",'Backlog'!$E$6:$E$25)=0,Burndown!$B$7="",Burndown!$C$7=""),"",MAX(0,SUMIF('Backlog'!$B$6:$B$25,"S3",'Backlog'!$E$6:$E$25)-SUMIFS('Work Log'!$D$6:$D$205,'Work Log'!$E$6:$E$205,"S3",'Work Log'!$A$6:$A$205,"&lt;="&amp;L158)))</x:f>
      </x:c>
      <x:c r="K158" s="11" t="str">
        <x:f>IF(OR(L158="",SUMIF('Backlog'!$B$6:$B$25,"S3",'Backlog'!$E$6:$E$25)=0,Burndown!$B$7="",Burndown!$C$7="",Burndown!$C$7&lt;=Burndown!$B$7),"",MAX(0,SUMIF('Backlog'!$B$6:$B$25,"S3",'Backlog'!$E$6:$E$25)*(Burndown!$C$7-L158)/(Burndown!$C$7-Burndown!$B$7)))</x:f>
      </x:c>
      <x:c r="L158" s="10" t="str">
        <x:f>IF(OR('Work Log'!$E$161&lt;&gt;"S3",'Work Log'!$A$161=""),"",'Work Log'!$A$161)</x:f>
      </x:c>
      <x:c r="M158" t="str">
        <x:f>IF(P158="","",TEXT(P158,"mm/dd/yy"))</x:f>
      </x:c>
      <x:c r="N158" s="11" t="str">
        <x:f>IF(OR(P158="",SUMIF('Backlog'!$B$6:$B$25,"S4",'Backlog'!$E$6:$E$25)=0,Burndown!$B$8="",Burndown!$C$8=""),"",MAX(0,SUMIF('Backlog'!$B$6:$B$25,"S4",'Backlog'!$E$6:$E$25)-SUMIFS('Work Log'!$D$6:$D$205,'Work Log'!$E$6:$E$205,"S4",'Work Log'!$A$6:$A$205,"&lt;="&amp;P158)))</x:f>
      </x:c>
      <x:c r="O158" s="11" t="str">
        <x:f>IF(OR(P158="",SUMIF('Backlog'!$B$6:$B$25,"S4",'Backlog'!$E$6:$E$25)=0,Burndown!$B$8="",Burndown!$C$8="",Burndown!$C$8&lt;=Burndown!$B$8),"",MAX(0,SUMIF('Backlog'!$B$6:$B$25,"S4",'Backlog'!$E$6:$E$25)*(Burndown!$C$8-P158)/(Burndown!$C$8-Burndown!$B$8)))</x:f>
      </x:c>
      <x:c r="P158" s="10" t="str">
        <x:f>IF(OR('Work Log'!$E$161&lt;&gt;"S4",'Work Log'!$A$161=""),"",'Work Log'!$A$161)</x:f>
      </x:c>
      <x:c r="Q158" t="str">
        <x:f>IF(T158="","",TEXT(T158,"mm/dd/yy"))</x:f>
      </x:c>
      <x:c r="R158" s="11" t="str">
        <x:f>IF(OR(T158="",SUMIF('Backlog'!$B$6:$B$25,"S5",'Backlog'!$E$6:$E$25)=0,Burndown!$B$9="",Burndown!$C$9=""),"",MAX(0,SUMIF('Backlog'!$B$6:$B$25,"S5",'Backlog'!$E$6:$E$25)-SUMIFS('Work Log'!$D$6:$D$205,'Work Log'!$E$6:$E$205,"S5",'Work Log'!$A$6:$A$205,"&lt;="&amp;T158)))</x:f>
      </x:c>
      <x:c r="S158" s="11" t="str">
        <x:f>IF(OR(T158="",SUMIF('Backlog'!$B$6:$B$25,"S5",'Backlog'!$E$6:$E$25)=0,Burndown!$B$9="",Burndown!$C$9="",Burndown!$C$9&lt;=Burndown!$B$9),"",MAX(0,SUMIF('Backlog'!$B$6:$B$25,"S5",'Backlog'!$E$6:$E$25)*(Burndown!$C$9-T158)/(Burndown!$C$9-Burndown!$B$9)))</x:f>
      </x:c>
      <x:c r="T158" s="10" t="str">
        <x:f>IF(OR('Work Log'!$E$161&lt;&gt;"S5",'Work Log'!$A$161=""),"",'Work Log'!$A$161)</x:f>
      </x:c>
    </x:row>
    <x:row r="159">
      <x:c r="A159" t="str">
        <x:f>IF(D159="","",TEXT(D159,"mm/dd/yy"))</x:f>
      </x:c>
      <x:c r="B159" s="11" t="str">
        <x:f>IF(OR(D159="",SUMIF('Backlog'!$B$6:$B$25,"S1",'Backlog'!$E$6:$E$25)=0,Burndown!$B$5="",Burndown!$C$5=""),"",MAX(0,SUMIF('Backlog'!$B$6:$B$25,"S1",'Backlog'!$E$6:$E$25)-SUMIFS('Work Log'!$D$6:$D$205,'Work Log'!$E$6:$E$205,"S1",'Work Log'!$A$6:$A$205,"&lt;="&amp;D159)))</x:f>
      </x:c>
      <x:c r="C159" s="11" t="str">
        <x:f>IF(OR(D159="",SUMIF('Backlog'!$B$6:$B$25,"S1",'Backlog'!$E$6:$E$25)=0,Burndown!$B$5="",Burndown!$C$5="",Burndown!$C$5&lt;=Burndown!$B$5),"",MAX(0,SUMIF('Backlog'!$B$6:$B$25,"S1",'Backlog'!$E$6:$E$25)*(Burndown!$C$5-D159)/(Burndown!$C$5-Burndown!$B$5)))</x:f>
      </x:c>
      <x:c r="D159" s="10" t="str">
        <x:f>IF(OR('Work Log'!$E$162&lt;&gt;"S1",'Work Log'!$A$162=""),"",'Work Log'!$A$162)</x:f>
      </x:c>
      <x:c r="E159" t="str">
        <x:f>IF(H159="","",TEXT(H159,"mm/dd/yy"))</x:f>
      </x:c>
      <x:c r="F159" s="11" t="str">
        <x:f>IF(OR(H159="",SUMIF('Backlog'!$B$6:$B$25,"S2",'Backlog'!$E$6:$E$25)=0,Burndown!$B$6="",Burndown!$C$6=""),"",MAX(0,SUMIF('Backlog'!$B$6:$B$25,"S2",'Backlog'!$E$6:$E$25)-SUMIFS('Work Log'!$D$6:$D$205,'Work Log'!$E$6:$E$205,"S2",'Work Log'!$A$6:$A$205,"&lt;="&amp;H159)))</x:f>
      </x:c>
      <x:c r="G159" s="11" t="str">
        <x:f>IF(OR(H159="",SUMIF('Backlog'!$B$6:$B$25,"S2",'Backlog'!$E$6:$E$25)=0,Burndown!$B$6="",Burndown!$C$6="",Burndown!$C$6&lt;=Burndown!$B$6),"",MAX(0,SUMIF('Backlog'!$B$6:$B$25,"S2",'Backlog'!$E$6:$E$25)*(Burndown!$C$6-H159)/(Burndown!$C$6-Burndown!$B$6)))</x:f>
      </x:c>
      <x:c r="H159" s="10" t="str">
        <x:f>IF(OR('Work Log'!$E$162&lt;&gt;"S2",'Work Log'!$A$162=""),"",'Work Log'!$A$162)</x:f>
      </x:c>
      <x:c r="I159" t="str">
        <x:f>IF(L159="","",TEXT(L159,"mm/dd/yy"))</x:f>
      </x:c>
      <x:c r="J159" s="11" t="str">
        <x:f>IF(OR(L159="",SUMIF('Backlog'!$B$6:$B$25,"S3",'Backlog'!$E$6:$E$25)=0,Burndown!$B$7="",Burndown!$C$7=""),"",MAX(0,SUMIF('Backlog'!$B$6:$B$25,"S3",'Backlog'!$E$6:$E$25)-SUMIFS('Work Log'!$D$6:$D$205,'Work Log'!$E$6:$E$205,"S3",'Work Log'!$A$6:$A$205,"&lt;="&amp;L159)))</x:f>
      </x:c>
      <x:c r="K159" s="11" t="str">
        <x:f>IF(OR(L159="",SUMIF('Backlog'!$B$6:$B$25,"S3",'Backlog'!$E$6:$E$25)=0,Burndown!$B$7="",Burndown!$C$7="",Burndown!$C$7&lt;=Burndown!$B$7),"",MAX(0,SUMIF('Backlog'!$B$6:$B$25,"S3",'Backlog'!$E$6:$E$25)*(Burndown!$C$7-L159)/(Burndown!$C$7-Burndown!$B$7)))</x:f>
      </x:c>
      <x:c r="L159" s="10" t="str">
        <x:f>IF(OR('Work Log'!$E$162&lt;&gt;"S3",'Work Log'!$A$162=""),"",'Work Log'!$A$162)</x:f>
      </x:c>
      <x:c r="M159" t="str">
        <x:f>IF(P159="","",TEXT(P159,"mm/dd/yy"))</x:f>
      </x:c>
      <x:c r="N159" s="11" t="str">
        <x:f>IF(OR(P159="",SUMIF('Backlog'!$B$6:$B$25,"S4",'Backlog'!$E$6:$E$25)=0,Burndown!$B$8="",Burndown!$C$8=""),"",MAX(0,SUMIF('Backlog'!$B$6:$B$25,"S4",'Backlog'!$E$6:$E$25)-SUMIFS('Work Log'!$D$6:$D$205,'Work Log'!$E$6:$E$205,"S4",'Work Log'!$A$6:$A$205,"&lt;="&amp;P159)))</x:f>
      </x:c>
      <x:c r="O159" s="11" t="str">
        <x:f>IF(OR(P159="",SUMIF('Backlog'!$B$6:$B$25,"S4",'Backlog'!$E$6:$E$25)=0,Burndown!$B$8="",Burndown!$C$8="",Burndown!$C$8&lt;=Burndown!$B$8),"",MAX(0,SUMIF('Backlog'!$B$6:$B$25,"S4",'Backlog'!$E$6:$E$25)*(Burndown!$C$8-P159)/(Burndown!$C$8-Burndown!$B$8)))</x:f>
      </x:c>
      <x:c r="P159" s="10" t="str">
        <x:f>IF(OR('Work Log'!$E$162&lt;&gt;"S4",'Work Log'!$A$162=""),"",'Work Log'!$A$162)</x:f>
      </x:c>
      <x:c r="Q159" t="str">
        <x:f>IF(T159="","",TEXT(T159,"mm/dd/yy"))</x:f>
      </x:c>
      <x:c r="R159" s="11" t="str">
        <x:f>IF(OR(T159="",SUMIF('Backlog'!$B$6:$B$25,"S5",'Backlog'!$E$6:$E$25)=0,Burndown!$B$9="",Burndown!$C$9=""),"",MAX(0,SUMIF('Backlog'!$B$6:$B$25,"S5",'Backlog'!$E$6:$E$25)-SUMIFS('Work Log'!$D$6:$D$205,'Work Log'!$E$6:$E$205,"S5",'Work Log'!$A$6:$A$205,"&lt;="&amp;T159)))</x:f>
      </x:c>
      <x:c r="S159" s="11" t="str">
        <x:f>IF(OR(T159="",SUMIF('Backlog'!$B$6:$B$25,"S5",'Backlog'!$E$6:$E$25)=0,Burndown!$B$9="",Burndown!$C$9="",Burndown!$C$9&lt;=Burndown!$B$9),"",MAX(0,SUMIF('Backlog'!$B$6:$B$25,"S5",'Backlog'!$E$6:$E$25)*(Burndown!$C$9-T159)/(Burndown!$C$9-Burndown!$B$9)))</x:f>
      </x:c>
      <x:c r="T159" s="10" t="str">
        <x:f>IF(OR('Work Log'!$E$162&lt;&gt;"S5",'Work Log'!$A$162=""),"",'Work Log'!$A$162)</x:f>
      </x:c>
    </x:row>
    <x:row r="160">
      <x:c r="A160" t="str">
        <x:f>IF(D160="","",TEXT(D160,"mm/dd/yy"))</x:f>
      </x:c>
      <x:c r="B160" s="11" t="str">
        <x:f>IF(OR(D160="",SUMIF('Backlog'!$B$6:$B$25,"S1",'Backlog'!$E$6:$E$25)=0,Burndown!$B$5="",Burndown!$C$5=""),"",MAX(0,SUMIF('Backlog'!$B$6:$B$25,"S1",'Backlog'!$E$6:$E$25)-SUMIFS('Work Log'!$D$6:$D$205,'Work Log'!$E$6:$E$205,"S1",'Work Log'!$A$6:$A$205,"&lt;="&amp;D160)))</x:f>
      </x:c>
      <x:c r="C160" s="11" t="str">
        <x:f>IF(OR(D160="",SUMIF('Backlog'!$B$6:$B$25,"S1",'Backlog'!$E$6:$E$25)=0,Burndown!$B$5="",Burndown!$C$5="",Burndown!$C$5&lt;=Burndown!$B$5),"",MAX(0,SUMIF('Backlog'!$B$6:$B$25,"S1",'Backlog'!$E$6:$E$25)*(Burndown!$C$5-D160)/(Burndown!$C$5-Burndown!$B$5)))</x:f>
      </x:c>
      <x:c r="D160" s="10" t="str">
        <x:f>IF(OR('Work Log'!$E$163&lt;&gt;"S1",'Work Log'!$A$163=""),"",'Work Log'!$A$163)</x:f>
      </x:c>
      <x:c r="E160" t="str">
        <x:f>IF(H160="","",TEXT(H160,"mm/dd/yy"))</x:f>
      </x:c>
      <x:c r="F160" s="11" t="str">
        <x:f>IF(OR(H160="",SUMIF('Backlog'!$B$6:$B$25,"S2",'Backlog'!$E$6:$E$25)=0,Burndown!$B$6="",Burndown!$C$6=""),"",MAX(0,SUMIF('Backlog'!$B$6:$B$25,"S2",'Backlog'!$E$6:$E$25)-SUMIFS('Work Log'!$D$6:$D$205,'Work Log'!$E$6:$E$205,"S2",'Work Log'!$A$6:$A$205,"&lt;="&amp;H160)))</x:f>
      </x:c>
      <x:c r="G160" s="11" t="str">
        <x:f>IF(OR(H160="",SUMIF('Backlog'!$B$6:$B$25,"S2",'Backlog'!$E$6:$E$25)=0,Burndown!$B$6="",Burndown!$C$6="",Burndown!$C$6&lt;=Burndown!$B$6),"",MAX(0,SUMIF('Backlog'!$B$6:$B$25,"S2",'Backlog'!$E$6:$E$25)*(Burndown!$C$6-H160)/(Burndown!$C$6-Burndown!$B$6)))</x:f>
      </x:c>
      <x:c r="H160" s="10" t="str">
        <x:f>IF(OR('Work Log'!$E$163&lt;&gt;"S2",'Work Log'!$A$163=""),"",'Work Log'!$A$163)</x:f>
      </x:c>
      <x:c r="I160" t="str">
        <x:f>IF(L160="","",TEXT(L160,"mm/dd/yy"))</x:f>
      </x:c>
      <x:c r="J160" s="11" t="str">
        <x:f>IF(OR(L160="",SUMIF('Backlog'!$B$6:$B$25,"S3",'Backlog'!$E$6:$E$25)=0,Burndown!$B$7="",Burndown!$C$7=""),"",MAX(0,SUMIF('Backlog'!$B$6:$B$25,"S3",'Backlog'!$E$6:$E$25)-SUMIFS('Work Log'!$D$6:$D$205,'Work Log'!$E$6:$E$205,"S3",'Work Log'!$A$6:$A$205,"&lt;="&amp;L160)))</x:f>
      </x:c>
      <x:c r="K160" s="11" t="str">
        <x:f>IF(OR(L160="",SUMIF('Backlog'!$B$6:$B$25,"S3",'Backlog'!$E$6:$E$25)=0,Burndown!$B$7="",Burndown!$C$7="",Burndown!$C$7&lt;=Burndown!$B$7),"",MAX(0,SUMIF('Backlog'!$B$6:$B$25,"S3",'Backlog'!$E$6:$E$25)*(Burndown!$C$7-L160)/(Burndown!$C$7-Burndown!$B$7)))</x:f>
      </x:c>
      <x:c r="L160" s="10" t="str">
        <x:f>IF(OR('Work Log'!$E$163&lt;&gt;"S3",'Work Log'!$A$163=""),"",'Work Log'!$A$163)</x:f>
      </x:c>
      <x:c r="M160" t="str">
        <x:f>IF(P160="","",TEXT(P160,"mm/dd/yy"))</x:f>
      </x:c>
      <x:c r="N160" s="11" t="str">
        <x:f>IF(OR(P160="",SUMIF('Backlog'!$B$6:$B$25,"S4",'Backlog'!$E$6:$E$25)=0,Burndown!$B$8="",Burndown!$C$8=""),"",MAX(0,SUMIF('Backlog'!$B$6:$B$25,"S4",'Backlog'!$E$6:$E$25)-SUMIFS('Work Log'!$D$6:$D$205,'Work Log'!$E$6:$E$205,"S4",'Work Log'!$A$6:$A$205,"&lt;="&amp;P160)))</x:f>
      </x:c>
      <x:c r="O160" s="11" t="str">
        <x:f>IF(OR(P160="",SUMIF('Backlog'!$B$6:$B$25,"S4",'Backlog'!$E$6:$E$25)=0,Burndown!$B$8="",Burndown!$C$8="",Burndown!$C$8&lt;=Burndown!$B$8),"",MAX(0,SUMIF('Backlog'!$B$6:$B$25,"S4",'Backlog'!$E$6:$E$25)*(Burndown!$C$8-P160)/(Burndown!$C$8-Burndown!$B$8)))</x:f>
      </x:c>
      <x:c r="P160" s="10" t="str">
        <x:f>IF(OR('Work Log'!$E$163&lt;&gt;"S4",'Work Log'!$A$163=""),"",'Work Log'!$A$163)</x:f>
      </x:c>
      <x:c r="Q160" t="str">
        <x:f>IF(T160="","",TEXT(T160,"mm/dd/yy"))</x:f>
      </x:c>
      <x:c r="R160" s="11" t="str">
        <x:f>IF(OR(T160="",SUMIF('Backlog'!$B$6:$B$25,"S5",'Backlog'!$E$6:$E$25)=0,Burndown!$B$9="",Burndown!$C$9=""),"",MAX(0,SUMIF('Backlog'!$B$6:$B$25,"S5",'Backlog'!$E$6:$E$25)-SUMIFS('Work Log'!$D$6:$D$205,'Work Log'!$E$6:$E$205,"S5",'Work Log'!$A$6:$A$205,"&lt;="&amp;T160)))</x:f>
      </x:c>
      <x:c r="S160" s="11" t="str">
        <x:f>IF(OR(T160="",SUMIF('Backlog'!$B$6:$B$25,"S5",'Backlog'!$E$6:$E$25)=0,Burndown!$B$9="",Burndown!$C$9="",Burndown!$C$9&lt;=Burndown!$B$9),"",MAX(0,SUMIF('Backlog'!$B$6:$B$25,"S5",'Backlog'!$E$6:$E$25)*(Burndown!$C$9-T160)/(Burndown!$C$9-Burndown!$B$9)))</x:f>
      </x:c>
      <x:c r="T160" s="10" t="str">
        <x:f>IF(OR('Work Log'!$E$163&lt;&gt;"S5",'Work Log'!$A$163=""),"",'Work Log'!$A$163)</x:f>
      </x:c>
    </x:row>
    <x:row r="161">
      <x:c r="A161" t="str">
        <x:f>IF(D161="","",TEXT(D161,"mm/dd/yy"))</x:f>
      </x:c>
      <x:c r="B161" s="11" t="str">
        <x:f>IF(OR(D161="",SUMIF('Backlog'!$B$6:$B$25,"S1",'Backlog'!$E$6:$E$25)=0,Burndown!$B$5="",Burndown!$C$5=""),"",MAX(0,SUMIF('Backlog'!$B$6:$B$25,"S1",'Backlog'!$E$6:$E$25)-SUMIFS('Work Log'!$D$6:$D$205,'Work Log'!$E$6:$E$205,"S1",'Work Log'!$A$6:$A$205,"&lt;="&amp;D161)))</x:f>
      </x:c>
      <x:c r="C161" s="11" t="str">
        <x:f>IF(OR(D161="",SUMIF('Backlog'!$B$6:$B$25,"S1",'Backlog'!$E$6:$E$25)=0,Burndown!$B$5="",Burndown!$C$5="",Burndown!$C$5&lt;=Burndown!$B$5),"",MAX(0,SUMIF('Backlog'!$B$6:$B$25,"S1",'Backlog'!$E$6:$E$25)*(Burndown!$C$5-D161)/(Burndown!$C$5-Burndown!$B$5)))</x:f>
      </x:c>
      <x:c r="D161" s="10" t="str">
        <x:f>IF(OR('Work Log'!$E$164&lt;&gt;"S1",'Work Log'!$A$164=""),"",'Work Log'!$A$164)</x:f>
      </x:c>
      <x:c r="E161" t="str">
        <x:f>IF(H161="","",TEXT(H161,"mm/dd/yy"))</x:f>
      </x:c>
      <x:c r="F161" s="11" t="str">
        <x:f>IF(OR(H161="",SUMIF('Backlog'!$B$6:$B$25,"S2",'Backlog'!$E$6:$E$25)=0,Burndown!$B$6="",Burndown!$C$6=""),"",MAX(0,SUMIF('Backlog'!$B$6:$B$25,"S2",'Backlog'!$E$6:$E$25)-SUMIFS('Work Log'!$D$6:$D$205,'Work Log'!$E$6:$E$205,"S2",'Work Log'!$A$6:$A$205,"&lt;="&amp;H161)))</x:f>
      </x:c>
      <x:c r="G161" s="11" t="str">
        <x:f>IF(OR(H161="",SUMIF('Backlog'!$B$6:$B$25,"S2",'Backlog'!$E$6:$E$25)=0,Burndown!$B$6="",Burndown!$C$6="",Burndown!$C$6&lt;=Burndown!$B$6),"",MAX(0,SUMIF('Backlog'!$B$6:$B$25,"S2",'Backlog'!$E$6:$E$25)*(Burndown!$C$6-H161)/(Burndown!$C$6-Burndown!$B$6)))</x:f>
      </x:c>
      <x:c r="H161" s="10" t="str">
        <x:f>IF(OR('Work Log'!$E$164&lt;&gt;"S2",'Work Log'!$A$164=""),"",'Work Log'!$A$164)</x:f>
      </x:c>
      <x:c r="I161" t="str">
        <x:f>IF(L161="","",TEXT(L161,"mm/dd/yy"))</x:f>
      </x:c>
      <x:c r="J161" s="11" t="str">
        <x:f>IF(OR(L161="",SUMIF('Backlog'!$B$6:$B$25,"S3",'Backlog'!$E$6:$E$25)=0,Burndown!$B$7="",Burndown!$C$7=""),"",MAX(0,SUMIF('Backlog'!$B$6:$B$25,"S3",'Backlog'!$E$6:$E$25)-SUMIFS('Work Log'!$D$6:$D$205,'Work Log'!$E$6:$E$205,"S3",'Work Log'!$A$6:$A$205,"&lt;="&amp;L161)))</x:f>
      </x:c>
      <x:c r="K161" s="11" t="str">
        <x:f>IF(OR(L161="",SUMIF('Backlog'!$B$6:$B$25,"S3",'Backlog'!$E$6:$E$25)=0,Burndown!$B$7="",Burndown!$C$7="",Burndown!$C$7&lt;=Burndown!$B$7),"",MAX(0,SUMIF('Backlog'!$B$6:$B$25,"S3",'Backlog'!$E$6:$E$25)*(Burndown!$C$7-L161)/(Burndown!$C$7-Burndown!$B$7)))</x:f>
      </x:c>
      <x:c r="L161" s="10" t="str">
        <x:f>IF(OR('Work Log'!$E$164&lt;&gt;"S3",'Work Log'!$A$164=""),"",'Work Log'!$A$164)</x:f>
      </x:c>
      <x:c r="M161" t="str">
        <x:f>IF(P161="","",TEXT(P161,"mm/dd/yy"))</x:f>
      </x:c>
      <x:c r="N161" s="11" t="str">
        <x:f>IF(OR(P161="",SUMIF('Backlog'!$B$6:$B$25,"S4",'Backlog'!$E$6:$E$25)=0,Burndown!$B$8="",Burndown!$C$8=""),"",MAX(0,SUMIF('Backlog'!$B$6:$B$25,"S4",'Backlog'!$E$6:$E$25)-SUMIFS('Work Log'!$D$6:$D$205,'Work Log'!$E$6:$E$205,"S4",'Work Log'!$A$6:$A$205,"&lt;="&amp;P161)))</x:f>
      </x:c>
      <x:c r="O161" s="11" t="str">
        <x:f>IF(OR(P161="",SUMIF('Backlog'!$B$6:$B$25,"S4",'Backlog'!$E$6:$E$25)=0,Burndown!$B$8="",Burndown!$C$8="",Burndown!$C$8&lt;=Burndown!$B$8),"",MAX(0,SUMIF('Backlog'!$B$6:$B$25,"S4",'Backlog'!$E$6:$E$25)*(Burndown!$C$8-P161)/(Burndown!$C$8-Burndown!$B$8)))</x:f>
      </x:c>
      <x:c r="P161" s="10" t="str">
        <x:f>IF(OR('Work Log'!$E$164&lt;&gt;"S4",'Work Log'!$A$164=""),"",'Work Log'!$A$164)</x:f>
      </x:c>
      <x:c r="Q161" t="str">
        <x:f>IF(T161="","",TEXT(T161,"mm/dd/yy"))</x:f>
      </x:c>
      <x:c r="R161" s="11" t="str">
        <x:f>IF(OR(T161="",SUMIF('Backlog'!$B$6:$B$25,"S5",'Backlog'!$E$6:$E$25)=0,Burndown!$B$9="",Burndown!$C$9=""),"",MAX(0,SUMIF('Backlog'!$B$6:$B$25,"S5",'Backlog'!$E$6:$E$25)-SUMIFS('Work Log'!$D$6:$D$205,'Work Log'!$E$6:$E$205,"S5",'Work Log'!$A$6:$A$205,"&lt;="&amp;T161)))</x:f>
      </x:c>
      <x:c r="S161" s="11" t="str">
        <x:f>IF(OR(T161="",SUMIF('Backlog'!$B$6:$B$25,"S5",'Backlog'!$E$6:$E$25)=0,Burndown!$B$9="",Burndown!$C$9="",Burndown!$C$9&lt;=Burndown!$B$9),"",MAX(0,SUMIF('Backlog'!$B$6:$B$25,"S5",'Backlog'!$E$6:$E$25)*(Burndown!$C$9-T161)/(Burndown!$C$9-Burndown!$B$9)))</x:f>
      </x:c>
      <x:c r="T161" s="10" t="str">
        <x:f>IF(OR('Work Log'!$E$164&lt;&gt;"S5",'Work Log'!$A$164=""),"",'Work Log'!$A$164)</x:f>
      </x:c>
    </x:row>
    <x:row r="162">
      <x:c r="A162" t="str">
        <x:f>IF(D162="","",TEXT(D162,"mm/dd/yy"))</x:f>
      </x:c>
      <x:c r="B162" s="11" t="str">
        <x:f>IF(OR(D162="",SUMIF('Backlog'!$B$6:$B$25,"S1",'Backlog'!$E$6:$E$25)=0,Burndown!$B$5="",Burndown!$C$5=""),"",MAX(0,SUMIF('Backlog'!$B$6:$B$25,"S1",'Backlog'!$E$6:$E$25)-SUMIFS('Work Log'!$D$6:$D$205,'Work Log'!$E$6:$E$205,"S1",'Work Log'!$A$6:$A$205,"&lt;="&amp;D162)))</x:f>
      </x:c>
      <x:c r="C162" s="11" t="str">
        <x:f>IF(OR(D162="",SUMIF('Backlog'!$B$6:$B$25,"S1",'Backlog'!$E$6:$E$25)=0,Burndown!$B$5="",Burndown!$C$5="",Burndown!$C$5&lt;=Burndown!$B$5),"",MAX(0,SUMIF('Backlog'!$B$6:$B$25,"S1",'Backlog'!$E$6:$E$25)*(Burndown!$C$5-D162)/(Burndown!$C$5-Burndown!$B$5)))</x:f>
      </x:c>
      <x:c r="D162" s="10" t="str">
        <x:f>IF(OR('Work Log'!$E$165&lt;&gt;"S1",'Work Log'!$A$165=""),"",'Work Log'!$A$165)</x:f>
      </x:c>
      <x:c r="E162" t="str">
        <x:f>IF(H162="","",TEXT(H162,"mm/dd/yy"))</x:f>
      </x:c>
      <x:c r="F162" s="11" t="str">
        <x:f>IF(OR(H162="",SUMIF('Backlog'!$B$6:$B$25,"S2",'Backlog'!$E$6:$E$25)=0,Burndown!$B$6="",Burndown!$C$6=""),"",MAX(0,SUMIF('Backlog'!$B$6:$B$25,"S2",'Backlog'!$E$6:$E$25)-SUMIFS('Work Log'!$D$6:$D$205,'Work Log'!$E$6:$E$205,"S2",'Work Log'!$A$6:$A$205,"&lt;="&amp;H162)))</x:f>
      </x:c>
      <x:c r="G162" s="11" t="str">
        <x:f>IF(OR(H162="",SUMIF('Backlog'!$B$6:$B$25,"S2",'Backlog'!$E$6:$E$25)=0,Burndown!$B$6="",Burndown!$C$6="",Burndown!$C$6&lt;=Burndown!$B$6),"",MAX(0,SUMIF('Backlog'!$B$6:$B$25,"S2",'Backlog'!$E$6:$E$25)*(Burndown!$C$6-H162)/(Burndown!$C$6-Burndown!$B$6)))</x:f>
      </x:c>
      <x:c r="H162" s="10" t="str">
        <x:f>IF(OR('Work Log'!$E$165&lt;&gt;"S2",'Work Log'!$A$165=""),"",'Work Log'!$A$165)</x:f>
      </x:c>
      <x:c r="I162" t="str">
        <x:f>IF(L162="","",TEXT(L162,"mm/dd/yy"))</x:f>
      </x:c>
      <x:c r="J162" s="11" t="str">
        <x:f>IF(OR(L162="",SUMIF('Backlog'!$B$6:$B$25,"S3",'Backlog'!$E$6:$E$25)=0,Burndown!$B$7="",Burndown!$C$7=""),"",MAX(0,SUMIF('Backlog'!$B$6:$B$25,"S3",'Backlog'!$E$6:$E$25)-SUMIFS('Work Log'!$D$6:$D$205,'Work Log'!$E$6:$E$205,"S3",'Work Log'!$A$6:$A$205,"&lt;="&amp;L162)))</x:f>
      </x:c>
      <x:c r="K162" s="11" t="str">
        <x:f>IF(OR(L162="",SUMIF('Backlog'!$B$6:$B$25,"S3",'Backlog'!$E$6:$E$25)=0,Burndown!$B$7="",Burndown!$C$7="",Burndown!$C$7&lt;=Burndown!$B$7),"",MAX(0,SUMIF('Backlog'!$B$6:$B$25,"S3",'Backlog'!$E$6:$E$25)*(Burndown!$C$7-L162)/(Burndown!$C$7-Burndown!$B$7)))</x:f>
      </x:c>
      <x:c r="L162" s="10" t="str">
        <x:f>IF(OR('Work Log'!$E$165&lt;&gt;"S3",'Work Log'!$A$165=""),"",'Work Log'!$A$165)</x:f>
      </x:c>
      <x:c r="M162" t="str">
        <x:f>IF(P162="","",TEXT(P162,"mm/dd/yy"))</x:f>
      </x:c>
      <x:c r="N162" s="11" t="str">
        <x:f>IF(OR(P162="",SUMIF('Backlog'!$B$6:$B$25,"S4",'Backlog'!$E$6:$E$25)=0,Burndown!$B$8="",Burndown!$C$8=""),"",MAX(0,SUMIF('Backlog'!$B$6:$B$25,"S4",'Backlog'!$E$6:$E$25)-SUMIFS('Work Log'!$D$6:$D$205,'Work Log'!$E$6:$E$205,"S4",'Work Log'!$A$6:$A$205,"&lt;="&amp;P162)))</x:f>
      </x:c>
      <x:c r="O162" s="11" t="str">
        <x:f>IF(OR(P162="",SUMIF('Backlog'!$B$6:$B$25,"S4",'Backlog'!$E$6:$E$25)=0,Burndown!$B$8="",Burndown!$C$8="",Burndown!$C$8&lt;=Burndown!$B$8),"",MAX(0,SUMIF('Backlog'!$B$6:$B$25,"S4",'Backlog'!$E$6:$E$25)*(Burndown!$C$8-P162)/(Burndown!$C$8-Burndown!$B$8)))</x:f>
      </x:c>
      <x:c r="P162" s="10" t="str">
        <x:f>IF(OR('Work Log'!$E$165&lt;&gt;"S4",'Work Log'!$A$165=""),"",'Work Log'!$A$165)</x:f>
      </x:c>
      <x:c r="Q162" t="str">
        <x:f>IF(T162="","",TEXT(T162,"mm/dd/yy"))</x:f>
      </x:c>
      <x:c r="R162" s="11" t="str">
        <x:f>IF(OR(T162="",SUMIF('Backlog'!$B$6:$B$25,"S5",'Backlog'!$E$6:$E$25)=0,Burndown!$B$9="",Burndown!$C$9=""),"",MAX(0,SUMIF('Backlog'!$B$6:$B$25,"S5",'Backlog'!$E$6:$E$25)-SUMIFS('Work Log'!$D$6:$D$205,'Work Log'!$E$6:$E$205,"S5",'Work Log'!$A$6:$A$205,"&lt;="&amp;T162)))</x:f>
      </x:c>
      <x:c r="S162" s="11" t="str">
        <x:f>IF(OR(T162="",SUMIF('Backlog'!$B$6:$B$25,"S5",'Backlog'!$E$6:$E$25)=0,Burndown!$B$9="",Burndown!$C$9="",Burndown!$C$9&lt;=Burndown!$B$9),"",MAX(0,SUMIF('Backlog'!$B$6:$B$25,"S5",'Backlog'!$E$6:$E$25)*(Burndown!$C$9-T162)/(Burndown!$C$9-Burndown!$B$9)))</x:f>
      </x:c>
      <x:c r="T162" s="10" t="str">
        <x:f>IF(OR('Work Log'!$E$165&lt;&gt;"S5",'Work Log'!$A$165=""),"",'Work Log'!$A$165)</x:f>
      </x:c>
    </x:row>
    <x:row r="163">
      <x:c r="A163" t="str">
        <x:f>IF(D163="","",TEXT(D163,"mm/dd/yy"))</x:f>
      </x:c>
      <x:c r="B163" s="11" t="str">
        <x:f>IF(OR(D163="",SUMIF('Backlog'!$B$6:$B$25,"S1",'Backlog'!$E$6:$E$25)=0,Burndown!$B$5="",Burndown!$C$5=""),"",MAX(0,SUMIF('Backlog'!$B$6:$B$25,"S1",'Backlog'!$E$6:$E$25)-SUMIFS('Work Log'!$D$6:$D$205,'Work Log'!$E$6:$E$205,"S1",'Work Log'!$A$6:$A$205,"&lt;="&amp;D163)))</x:f>
      </x:c>
      <x:c r="C163" s="11" t="str">
        <x:f>IF(OR(D163="",SUMIF('Backlog'!$B$6:$B$25,"S1",'Backlog'!$E$6:$E$25)=0,Burndown!$B$5="",Burndown!$C$5="",Burndown!$C$5&lt;=Burndown!$B$5),"",MAX(0,SUMIF('Backlog'!$B$6:$B$25,"S1",'Backlog'!$E$6:$E$25)*(Burndown!$C$5-D163)/(Burndown!$C$5-Burndown!$B$5)))</x:f>
      </x:c>
      <x:c r="D163" s="10" t="str">
        <x:f>IF(OR('Work Log'!$E$166&lt;&gt;"S1",'Work Log'!$A$166=""),"",'Work Log'!$A$166)</x:f>
      </x:c>
      <x:c r="E163" t="str">
        <x:f>IF(H163="","",TEXT(H163,"mm/dd/yy"))</x:f>
      </x:c>
      <x:c r="F163" s="11" t="str">
        <x:f>IF(OR(H163="",SUMIF('Backlog'!$B$6:$B$25,"S2",'Backlog'!$E$6:$E$25)=0,Burndown!$B$6="",Burndown!$C$6=""),"",MAX(0,SUMIF('Backlog'!$B$6:$B$25,"S2",'Backlog'!$E$6:$E$25)-SUMIFS('Work Log'!$D$6:$D$205,'Work Log'!$E$6:$E$205,"S2",'Work Log'!$A$6:$A$205,"&lt;="&amp;H163)))</x:f>
      </x:c>
      <x:c r="G163" s="11" t="str">
        <x:f>IF(OR(H163="",SUMIF('Backlog'!$B$6:$B$25,"S2",'Backlog'!$E$6:$E$25)=0,Burndown!$B$6="",Burndown!$C$6="",Burndown!$C$6&lt;=Burndown!$B$6),"",MAX(0,SUMIF('Backlog'!$B$6:$B$25,"S2",'Backlog'!$E$6:$E$25)*(Burndown!$C$6-H163)/(Burndown!$C$6-Burndown!$B$6)))</x:f>
      </x:c>
      <x:c r="H163" s="10" t="str">
        <x:f>IF(OR('Work Log'!$E$166&lt;&gt;"S2",'Work Log'!$A$166=""),"",'Work Log'!$A$166)</x:f>
      </x:c>
      <x:c r="I163" t="str">
        <x:f>IF(L163="","",TEXT(L163,"mm/dd/yy"))</x:f>
      </x:c>
      <x:c r="J163" s="11" t="str">
        <x:f>IF(OR(L163="",SUMIF('Backlog'!$B$6:$B$25,"S3",'Backlog'!$E$6:$E$25)=0,Burndown!$B$7="",Burndown!$C$7=""),"",MAX(0,SUMIF('Backlog'!$B$6:$B$25,"S3",'Backlog'!$E$6:$E$25)-SUMIFS('Work Log'!$D$6:$D$205,'Work Log'!$E$6:$E$205,"S3",'Work Log'!$A$6:$A$205,"&lt;="&amp;L163)))</x:f>
      </x:c>
      <x:c r="K163" s="11" t="str">
        <x:f>IF(OR(L163="",SUMIF('Backlog'!$B$6:$B$25,"S3",'Backlog'!$E$6:$E$25)=0,Burndown!$B$7="",Burndown!$C$7="",Burndown!$C$7&lt;=Burndown!$B$7),"",MAX(0,SUMIF('Backlog'!$B$6:$B$25,"S3",'Backlog'!$E$6:$E$25)*(Burndown!$C$7-L163)/(Burndown!$C$7-Burndown!$B$7)))</x:f>
      </x:c>
      <x:c r="L163" s="10" t="str">
        <x:f>IF(OR('Work Log'!$E$166&lt;&gt;"S3",'Work Log'!$A$166=""),"",'Work Log'!$A$166)</x:f>
      </x:c>
      <x:c r="M163" t="str">
        <x:f>IF(P163="","",TEXT(P163,"mm/dd/yy"))</x:f>
      </x:c>
      <x:c r="N163" s="11" t="str">
        <x:f>IF(OR(P163="",SUMIF('Backlog'!$B$6:$B$25,"S4",'Backlog'!$E$6:$E$25)=0,Burndown!$B$8="",Burndown!$C$8=""),"",MAX(0,SUMIF('Backlog'!$B$6:$B$25,"S4",'Backlog'!$E$6:$E$25)-SUMIFS('Work Log'!$D$6:$D$205,'Work Log'!$E$6:$E$205,"S4",'Work Log'!$A$6:$A$205,"&lt;="&amp;P163)))</x:f>
      </x:c>
      <x:c r="O163" s="11" t="str">
        <x:f>IF(OR(P163="",SUMIF('Backlog'!$B$6:$B$25,"S4",'Backlog'!$E$6:$E$25)=0,Burndown!$B$8="",Burndown!$C$8="",Burndown!$C$8&lt;=Burndown!$B$8),"",MAX(0,SUMIF('Backlog'!$B$6:$B$25,"S4",'Backlog'!$E$6:$E$25)*(Burndown!$C$8-P163)/(Burndown!$C$8-Burndown!$B$8)))</x:f>
      </x:c>
      <x:c r="P163" s="10" t="str">
        <x:f>IF(OR('Work Log'!$E$166&lt;&gt;"S4",'Work Log'!$A$166=""),"",'Work Log'!$A$166)</x:f>
      </x:c>
      <x:c r="Q163" t="str">
        <x:f>IF(T163="","",TEXT(T163,"mm/dd/yy"))</x:f>
      </x:c>
      <x:c r="R163" s="11" t="str">
        <x:f>IF(OR(T163="",SUMIF('Backlog'!$B$6:$B$25,"S5",'Backlog'!$E$6:$E$25)=0,Burndown!$B$9="",Burndown!$C$9=""),"",MAX(0,SUMIF('Backlog'!$B$6:$B$25,"S5",'Backlog'!$E$6:$E$25)-SUMIFS('Work Log'!$D$6:$D$205,'Work Log'!$E$6:$E$205,"S5",'Work Log'!$A$6:$A$205,"&lt;="&amp;T163)))</x:f>
      </x:c>
      <x:c r="S163" s="11" t="str">
        <x:f>IF(OR(T163="",SUMIF('Backlog'!$B$6:$B$25,"S5",'Backlog'!$E$6:$E$25)=0,Burndown!$B$9="",Burndown!$C$9="",Burndown!$C$9&lt;=Burndown!$B$9),"",MAX(0,SUMIF('Backlog'!$B$6:$B$25,"S5",'Backlog'!$E$6:$E$25)*(Burndown!$C$9-T163)/(Burndown!$C$9-Burndown!$B$9)))</x:f>
      </x:c>
      <x:c r="T163" s="10" t="str">
        <x:f>IF(OR('Work Log'!$E$166&lt;&gt;"S5",'Work Log'!$A$166=""),"",'Work Log'!$A$166)</x:f>
      </x:c>
    </x:row>
    <x:row r="164">
      <x:c r="A164" t="str">
        <x:f>IF(D164="","",TEXT(D164,"mm/dd/yy"))</x:f>
      </x:c>
      <x:c r="B164" s="11" t="str">
        <x:f>IF(OR(D164="",SUMIF('Backlog'!$B$6:$B$25,"S1",'Backlog'!$E$6:$E$25)=0,Burndown!$B$5="",Burndown!$C$5=""),"",MAX(0,SUMIF('Backlog'!$B$6:$B$25,"S1",'Backlog'!$E$6:$E$25)-SUMIFS('Work Log'!$D$6:$D$205,'Work Log'!$E$6:$E$205,"S1",'Work Log'!$A$6:$A$205,"&lt;="&amp;D164)))</x:f>
      </x:c>
      <x:c r="C164" s="11" t="str">
        <x:f>IF(OR(D164="",SUMIF('Backlog'!$B$6:$B$25,"S1",'Backlog'!$E$6:$E$25)=0,Burndown!$B$5="",Burndown!$C$5="",Burndown!$C$5&lt;=Burndown!$B$5),"",MAX(0,SUMIF('Backlog'!$B$6:$B$25,"S1",'Backlog'!$E$6:$E$25)*(Burndown!$C$5-D164)/(Burndown!$C$5-Burndown!$B$5)))</x:f>
      </x:c>
      <x:c r="D164" s="10" t="str">
        <x:f>IF(OR('Work Log'!$E$167&lt;&gt;"S1",'Work Log'!$A$167=""),"",'Work Log'!$A$167)</x:f>
      </x:c>
      <x:c r="E164" t="str">
        <x:f>IF(H164="","",TEXT(H164,"mm/dd/yy"))</x:f>
      </x:c>
      <x:c r="F164" s="11" t="str">
        <x:f>IF(OR(H164="",SUMIF('Backlog'!$B$6:$B$25,"S2",'Backlog'!$E$6:$E$25)=0,Burndown!$B$6="",Burndown!$C$6=""),"",MAX(0,SUMIF('Backlog'!$B$6:$B$25,"S2",'Backlog'!$E$6:$E$25)-SUMIFS('Work Log'!$D$6:$D$205,'Work Log'!$E$6:$E$205,"S2",'Work Log'!$A$6:$A$205,"&lt;="&amp;H164)))</x:f>
      </x:c>
      <x:c r="G164" s="11" t="str">
        <x:f>IF(OR(H164="",SUMIF('Backlog'!$B$6:$B$25,"S2",'Backlog'!$E$6:$E$25)=0,Burndown!$B$6="",Burndown!$C$6="",Burndown!$C$6&lt;=Burndown!$B$6),"",MAX(0,SUMIF('Backlog'!$B$6:$B$25,"S2",'Backlog'!$E$6:$E$25)*(Burndown!$C$6-H164)/(Burndown!$C$6-Burndown!$B$6)))</x:f>
      </x:c>
      <x:c r="H164" s="10" t="str">
        <x:f>IF(OR('Work Log'!$E$167&lt;&gt;"S2",'Work Log'!$A$167=""),"",'Work Log'!$A$167)</x:f>
      </x:c>
      <x:c r="I164" t="str">
        <x:f>IF(L164="","",TEXT(L164,"mm/dd/yy"))</x:f>
      </x:c>
      <x:c r="J164" s="11" t="str">
        <x:f>IF(OR(L164="",SUMIF('Backlog'!$B$6:$B$25,"S3",'Backlog'!$E$6:$E$25)=0,Burndown!$B$7="",Burndown!$C$7=""),"",MAX(0,SUMIF('Backlog'!$B$6:$B$25,"S3",'Backlog'!$E$6:$E$25)-SUMIFS('Work Log'!$D$6:$D$205,'Work Log'!$E$6:$E$205,"S3",'Work Log'!$A$6:$A$205,"&lt;="&amp;L164)))</x:f>
      </x:c>
      <x:c r="K164" s="11" t="str">
        <x:f>IF(OR(L164="",SUMIF('Backlog'!$B$6:$B$25,"S3",'Backlog'!$E$6:$E$25)=0,Burndown!$B$7="",Burndown!$C$7="",Burndown!$C$7&lt;=Burndown!$B$7),"",MAX(0,SUMIF('Backlog'!$B$6:$B$25,"S3",'Backlog'!$E$6:$E$25)*(Burndown!$C$7-L164)/(Burndown!$C$7-Burndown!$B$7)))</x:f>
      </x:c>
      <x:c r="L164" s="10" t="str">
        <x:f>IF(OR('Work Log'!$E$167&lt;&gt;"S3",'Work Log'!$A$167=""),"",'Work Log'!$A$167)</x:f>
      </x:c>
      <x:c r="M164" t="str">
        <x:f>IF(P164="","",TEXT(P164,"mm/dd/yy"))</x:f>
      </x:c>
      <x:c r="N164" s="11" t="str">
        <x:f>IF(OR(P164="",SUMIF('Backlog'!$B$6:$B$25,"S4",'Backlog'!$E$6:$E$25)=0,Burndown!$B$8="",Burndown!$C$8=""),"",MAX(0,SUMIF('Backlog'!$B$6:$B$25,"S4",'Backlog'!$E$6:$E$25)-SUMIFS('Work Log'!$D$6:$D$205,'Work Log'!$E$6:$E$205,"S4",'Work Log'!$A$6:$A$205,"&lt;="&amp;P164)))</x:f>
      </x:c>
      <x:c r="O164" s="11" t="str">
        <x:f>IF(OR(P164="",SUMIF('Backlog'!$B$6:$B$25,"S4",'Backlog'!$E$6:$E$25)=0,Burndown!$B$8="",Burndown!$C$8="",Burndown!$C$8&lt;=Burndown!$B$8),"",MAX(0,SUMIF('Backlog'!$B$6:$B$25,"S4",'Backlog'!$E$6:$E$25)*(Burndown!$C$8-P164)/(Burndown!$C$8-Burndown!$B$8)))</x:f>
      </x:c>
      <x:c r="P164" s="10" t="str">
        <x:f>IF(OR('Work Log'!$E$167&lt;&gt;"S4",'Work Log'!$A$167=""),"",'Work Log'!$A$167)</x:f>
      </x:c>
      <x:c r="Q164" t="str">
        <x:f>IF(T164="","",TEXT(T164,"mm/dd/yy"))</x:f>
      </x:c>
      <x:c r="R164" s="11" t="str">
        <x:f>IF(OR(T164="",SUMIF('Backlog'!$B$6:$B$25,"S5",'Backlog'!$E$6:$E$25)=0,Burndown!$B$9="",Burndown!$C$9=""),"",MAX(0,SUMIF('Backlog'!$B$6:$B$25,"S5",'Backlog'!$E$6:$E$25)-SUMIFS('Work Log'!$D$6:$D$205,'Work Log'!$E$6:$E$205,"S5",'Work Log'!$A$6:$A$205,"&lt;="&amp;T164)))</x:f>
      </x:c>
      <x:c r="S164" s="11" t="str">
        <x:f>IF(OR(T164="",SUMIF('Backlog'!$B$6:$B$25,"S5",'Backlog'!$E$6:$E$25)=0,Burndown!$B$9="",Burndown!$C$9="",Burndown!$C$9&lt;=Burndown!$B$9),"",MAX(0,SUMIF('Backlog'!$B$6:$B$25,"S5",'Backlog'!$E$6:$E$25)*(Burndown!$C$9-T164)/(Burndown!$C$9-Burndown!$B$9)))</x:f>
      </x:c>
      <x:c r="T164" s="10" t="str">
        <x:f>IF(OR('Work Log'!$E$167&lt;&gt;"S5",'Work Log'!$A$167=""),"",'Work Log'!$A$167)</x:f>
      </x:c>
    </x:row>
    <x:row r="165">
      <x:c r="A165" t="str">
        <x:f>IF(D165="","",TEXT(D165,"mm/dd/yy"))</x:f>
      </x:c>
      <x:c r="B165" s="11" t="str">
        <x:f>IF(OR(D165="",SUMIF('Backlog'!$B$6:$B$25,"S1",'Backlog'!$E$6:$E$25)=0,Burndown!$B$5="",Burndown!$C$5=""),"",MAX(0,SUMIF('Backlog'!$B$6:$B$25,"S1",'Backlog'!$E$6:$E$25)-SUMIFS('Work Log'!$D$6:$D$205,'Work Log'!$E$6:$E$205,"S1",'Work Log'!$A$6:$A$205,"&lt;="&amp;D165)))</x:f>
      </x:c>
      <x:c r="C165" s="11" t="str">
        <x:f>IF(OR(D165="",SUMIF('Backlog'!$B$6:$B$25,"S1",'Backlog'!$E$6:$E$25)=0,Burndown!$B$5="",Burndown!$C$5="",Burndown!$C$5&lt;=Burndown!$B$5),"",MAX(0,SUMIF('Backlog'!$B$6:$B$25,"S1",'Backlog'!$E$6:$E$25)*(Burndown!$C$5-D165)/(Burndown!$C$5-Burndown!$B$5)))</x:f>
      </x:c>
      <x:c r="D165" s="10" t="str">
        <x:f>IF(OR('Work Log'!$E$168&lt;&gt;"S1",'Work Log'!$A$168=""),"",'Work Log'!$A$168)</x:f>
      </x:c>
      <x:c r="E165" t="str">
        <x:f>IF(H165="","",TEXT(H165,"mm/dd/yy"))</x:f>
      </x:c>
      <x:c r="F165" s="11" t="str">
        <x:f>IF(OR(H165="",SUMIF('Backlog'!$B$6:$B$25,"S2",'Backlog'!$E$6:$E$25)=0,Burndown!$B$6="",Burndown!$C$6=""),"",MAX(0,SUMIF('Backlog'!$B$6:$B$25,"S2",'Backlog'!$E$6:$E$25)-SUMIFS('Work Log'!$D$6:$D$205,'Work Log'!$E$6:$E$205,"S2",'Work Log'!$A$6:$A$205,"&lt;="&amp;H165)))</x:f>
      </x:c>
      <x:c r="G165" s="11" t="str">
        <x:f>IF(OR(H165="",SUMIF('Backlog'!$B$6:$B$25,"S2",'Backlog'!$E$6:$E$25)=0,Burndown!$B$6="",Burndown!$C$6="",Burndown!$C$6&lt;=Burndown!$B$6),"",MAX(0,SUMIF('Backlog'!$B$6:$B$25,"S2",'Backlog'!$E$6:$E$25)*(Burndown!$C$6-H165)/(Burndown!$C$6-Burndown!$B$6)))</x:f>
      </x:c>
      <x:c r="H165" s="10" t="str">
        <x:f>IF(OR('Work Log'!$E$168&lt;&gt;"S2",'Work Log'!$A$168=""),"",'Work Log'!$A$168)</x:f>
      </x:c>
      <x:c r="I165" t="str">
        <x:f>IF(L165="","",TEXT(L165,"mm/dd/yy"))</x:f>
      </x:c>
      <x:c r="J165" s="11" t="str">
        <x:f>IF(OR(L165="",SUMIF('Backlog'!$B$6:$B$25,"S3",'Backlog'!$E$6:$E$25)=0,Burndown!$B$7="",Burndown!$C$7=""),"",MAX(0,SUMIF('Backlog'!$B$6:$B$25,"S3",'Backlog'!$E$6:$E$25)-SUMIFS('Work Log'!$D$6:$D$205,'Work Log'!$E$6:$E$205,"S3",'Work Log'!$A$6:$A$205,"&lt;="&amp;L165)))</x:f>
      </x:c>
      <x:c r="K165" s="11" t="str">
        <x:f>IF(OR(L165="",SUMIF('Backlog'!$B$6:$B$25,"S3",'Backlog'!$E$6:$E$25)=0,Burndown!$B$7="",Burndown!$C$7="",Burndown!$C$7&lt;=Burndown!$B$7),"",MAX(0,SUMIF('Backlog'!$B$6:$B$25,"S3",'Backlog'!$E$6:$E$25)*(Burndown!$C$7-L165)/(Burndown!$C$7-Burndown!$B$7)))</x:f>
      </x:c>
      <x:c r="L165" s="10" t="str">
        <x:f>IF(OR('Work Log'!$E$168&lt;&gt;"S3",'Work Log'!$A$168=""),"",'Work Log'!$A$168)</x:f>
      </x:c>
      <x:c r="M165" t="str">
        <x:f>IF(P165="","",TEXT(P165,"mm/dd/yy"))</x:f>
      </x:c>
      <x:c r="N165" s="11" t="str">
        <x:f>IF(OR(P165="",SUMIF('Backlog'!$B$6:$B$25,"S4",'Backlog'!$E$6:$E$25)=0,Burndown!$B$8="",Burndown!$C$8=""),"",MAX(0,SUMIF('Backlog'!$B$6:$B$25,"S4",'Backlog'!$E$6:$E$25)-SUMIFS('Work Log'!$D$6:$D$205,'Work Log'!$E$6:$E$205,"S4",'Work Log'!$A$6:$A$205,"&lt;="&amp;P165)))</x:f>
      </x:c>
      <x:c r="O165" s="11" t="str">
        <x:f>IF(OR(P165="",SUMIF('Backlog'!$B$6:$B$25,"S4",'Backlog'!$E$6:$E$25)=0,Burndown!$B$8="",Burndown!$C$8="",Burndown!$C$8&lt;=Burndown!$B$8),"",MAX(0,SUMIF('Backlog'!$B$6:$B$25,"S4",'Backlog'!$E$6:$E$25)*(Burndown!$C$8-P165)/(Burndown!$C$8-Burndown!$B$8)))</x:f>
      </x:c>
      <x:c r="P165" s="10" t="str">
        <x:f>IF(OR('Work Log'!$E$168&lt;&gt;"S4",'Work Log'!$A$168=""),"",'Work Log'!$A$168)</x:f>
      </x:c>
      <x:c r="Q165" t="str">
        <x:f>IF(T165="","",TEXT(T165,"mm/dd/yy"))</x:f>
      </x:c>
      <x:c r="R165" s="11" t="str">
        <x:f>IF(OR(T165="",SUMIF('Backlog'!$B$6:$B$25,"S5",'Backlog'!$E$6:$E$25)=0,Burndown!$B$9="",Burndown!$C$9=""),"",MAX(0,SUMIF('Backlog'!$B$6:$B$25,"S5",'Backlog'!$E$6:$E$25)-SUMIFS('Work Log'!$D$6:$D$205,'Work Log'!$E$6:$E$205,"S5",'Work Log'!$A$6:$A$205,"&lt;="&amp;T165)))</x:f>
      </x:c>
      <x:c r="S165" s="11" t="str">
        <x:f>IF(OR(T165="",SUMIF('Backlog'!$B$6:$B$25,"S5",'Backlog'!$E$6:$E$25)=0,Burndown!$B$9="",Burndown!$C$9="",Burndown!$C$9&lt;=Burndown!$B$9),"",MAX(0,SUMIF('Backlog'!$B$6:$B$25,"S5",'Backlog'!$E$6:$E$25)*(Burndown!$C$9-T165)/(Burndown!$C$9-Burndown!$B$9)))</x:f>
      </x:c>
      <x:c r="T165" s="10" t="str">
        <x:f>IF(OR('Work Log'!$E$168&lt;&gt;"S5",'Work Log'!$A$168=""),"",'Work Log'!$A$168)</x:f>
      </x:c>
    </x:row>
    <x:row r="166">
      <x:c r="A166" t="str">
        <x:f>IF(D166="","",TEXT(D166,"mm/dd/yy"))</x:f>
      </x:c>
      <x:c r="B166" s="11" t="str">
        <x:f>IF(OR(D166="",SUMIF('Backlog'!$B$6:$B$25,"S1",'Backlog'!$E$6:$E$25)=0,Burndown!$B$5="",Burndown!$C$5=""),"",MAX(0,SUMIF('Backlog'!$B$6:$B$25,"S1",'Backlog'!$E$6:$E$25)-SUMIFS('Work Log'!$D$6:$D$205,'Work Log'!$E$6:$E$205,"S1",'Work Log'!$A$6:$A$205,"&lt;="&amp;D166)))</x:f>
      </x:c>
      <x:c r="C166" s="11" t="str">
        <x:f>IF(OR(D166="",SUMIF('Backlog'!$B$6:$B$25,"S1",'Backlog'!$E$6:$E$25)=0,Burndown!$B$5="",Burndown!$C$5="",Burndown!$C$5&lt;=Burndown!$B$5),"",MAX(0,SUMIF('Backlog'!$B$6:$B$25,"S1",'Backlog'!$E$6:$E$25)*(Burndown!$C$5-D166)/(Burndown!$C$5-Burndown!$B$5)))</x:f>
      </x:c>
      <x:c r="D166" s="10" t="str">
        <x:f>IF(OR('Work Log'!$E$169&lt;&gt;"S1",'Work Log'!$A$169=""),"",'Work Log'!$A$169)</x:f>
      </x:c>
      <x:c r="E166" t="str">
        <x:f>IF(H166="","",TEXT(H166,"mm/dd/yy"))</x:f>
      </x:c>
      <x:c r="F166" s="11" t="str">
        <x:f>IF(OR(H166="",SUMIF('Backlog'!$B$6:$B$25,"S2",'Backlog'!$E$6:$E$25)=0,Burndown!$B$6="",Burndown!$C$6=""),"",MAX(0,SUMIF('Backlog'!$B$6:$B$25,"S2",'Backlog'!$E$6:$E$25)-SUMIFS('Work Log'!$D$6:$D$205,'Work Log'!$E$6:$E$205,"S2",'Work Log'!$A$6:$A$205,"&lt;="&amp;H166)))</x:f>
      </x:c>
      <x:c r="G166" s="11" t="str">
        <x:f>IF(OR(H166="",SUMIF('Backlog'!$B$6:$B$25,"S2",'Backlog'!$E$6:$E$25)=0,Burndown!$B$6="",Burndown!$C$6="",Burndown!$C$6&lt;=Burndown!$B$6),"",MAX(0,SUMIF('Backlog'!$B$6:$B$25,"S2",'Backlog'!$E$6:$E$25)*(Burndown!$C$6-H166)/(Burndown!$C$6-Burndown!$B$6)))</x:f>
      </x:c>
      <x:c r="H166" s="10" t="str">
        <x:f>IF(OR('Work Log'!$E$169&lt;&gt;"S2",'Work Log'!$A$169=""),"",'Work Log'!$A$169)</x:f>
      </x:c>
      <x:c r="I166" t="str">
        <x:f>IF(L166="","",TEXT(L166,"mm/dd/yy"))</x:f>
      </x:c>
      <x:c r="J166" s="11" t="str">
        <x:f>IF(OR(L166="",SUMIF('Backlog'!$B$6:$B$25,"S3",'Backlog'!$E$6:$E$25)=0,Burndown!$B$7="",Burndown!$C$7=""),"",MAX(0,SUMIF('Backlog'!$B$6:$B$25,"S3",'Backlog'!$E$6:$E$25)-SUMIFS('Work Log'!$D$6:$D$205,'Work Log'!$E$6:$E$205,"S3",'Work Log'!$A$6:$A$205,"&lt;="&amp;L166)))</x:f>
      </x:c>
      <x:c r="K166" s="11" t="str">
        <x:f>IF(OR(L166="",SUMIF('Backlog'!$B$6:$B$25,"S3",'Backlog'!$E$6:$E$25)=0,Burndown!$B$7="",Burndown!$C$7="",Burndown!$C$7&lt;=Burndown!$B$7),"",MAX(0,SUMIF('Backlog'!$B$6:$B$25,"S3",'Backlog'!$E$6:$E$25)*(Burndown!$C$7-L166)/(Burndown!$C$7-Burndown!$B$7)))</x:f>
      </x:c>
      <x:c r="L166" s="10" t="str">
        <x:f>IF(OR('Work Log'!$E$169&lt;&gt;"S3",'Work Log'!$A$169=""),"",'Work Log'!$A$169)</x:f>
      </x:c>
      <x:c r="M166" t="str">
        <x:f>IF(P166="","",TEXT(P166,"mm/dd/yy"))</x:f>
      </x:c>
      <x:c r="N166" s="11" t="str">
        <x:f>IF(OR(P166="",SUMIF('Backlog'!$B$6:$B$25,"S4",'Backlog'!$E$6:$E$25)=0,Burndown!$B$8="",Burndown!$C$8=""),"",MAX(0,SUMIF('Backlog'!$B$6:$B$25,"S4",'Backlog'!$E$6:$E$25)-SUMIFS('Work Log'!$D$6:$D$205,'Work Log'!$E$6:$E$205,"S4",'Work Log'!$A$6:$A$205,"&lt;="&amp;P166)))</x:f>
      </x:c>
      <x:c r="O166" s="11" t="str">
        <x:f>IF(OR(P166="",SUMIF('Backlog'!$B$6:$B$25,"S4",'Backlog'!$E$6:$E$25)=0,Burndown!$B$8="",Burndown!$C$8="",Burndown!$C$8&lt;=Burndown!$B$8),"",MAX(0,SUMIF('Backlog'!$B$6:$B$25,"S4",'Backlog'!$E$6:$E$25)*(Burndown!$C$8-P166)/(Burndown!$C$8-Burndown!$B$8)))</x:f>
      </x:c>
      <x:c r="P166" s="10" t="str">
        <x:f>IF(OR('Work Log'!$E$169&lt;&gt;"S4",'Work Log'!$A$169=""),"",'Work Log'!$A$169)</x:f>
      </x:c>
      <x:c r="Q166" t="str">
        <x:f>IF(T166="","",TEXT(T166,"mm/dd/yy"))</x:f>
      </x:c>
      <x:c r="R166" s="11" t="str">
        <x:f>IF(OR(T166="",SUMIF('Backlog'!$B$6:$B$25,"S5",'Backlog'!$E$6:$E$25)=0,Burndown!$B$9="",Burndown!$C$9=""),"",MAX(0,SUMIF('Backlog'!$B$6:$B$25,"S5",'Backlog'!$E$6:$E$25)-SUMIFS('Work Log'!$D$6:$D$205,'Work Log'!$E$6:$E$205,"S5",'Work Log'!$A$6:$A$205,"&lt;="&amp;T166)))</x:f>
      </x:c>
      <x:c r="S166" s="11" t="str">
        <x:f>IF(OR(T166="",SUMIF('Backlog'!$B$6:$B$25,"S5",'Backlog'!$E$6:$E$25)=0,Burndown!$B$9="",Burndown!$C$9="",Burndown!$C$9&lt;=Burndown!$B$9),"",MAX(0,SUMIF('Backlog'!$B$6:$B$25,"S5",'Backlog'!$E$6:$E$25)*(Burndown!$C$9-T166)/(Burndown!$C$9-Burndown!$B$9)))</x:f>
      </x:c>
      <x:c r="T166" s="10" t="str">
        <x:f>IF(OR('Work Log'!$E$169&lt;&gt;"S5",'Work Log'!$A$169=""),"",'Work Log'!$A$169)</x:f>
      </x:c>
    </x:row>
    <x:row r="167">
      <x:c r="A167" t="str">
        <x:f>IF(D167="","",TEXT(D167,"mm/dd/yy"))</x:f>
      </x:c>
      <x:c r="B167" s="11" t="str">
        <x:f>IF(OR(D167="",SUMIF('Backlog'!$B$6:$B$25,"S1",'Backlog'!$E$6:$E$25)=0,Burndown!$B$5="",Burndown!$C$5=""),"",MAX(0,SUMIF('Backlog'!$B$6:$B$25,"S1",'Backlog'!$E$6:$E$25)-SUMIFS('Work Log'!$D$6:$D$205,'Work Log'!$E$6:$E$205,"S1",'Work Log'!$A$6:$A$205,"&lt;="&amp;D167)))</x:f>
      </x:c>
      <x:c r="C167" s="11" t="str">
        <x:f>IF(OR(D167="",SUMIF('Backlog'!$B$6:$B$25,"S1",'Backlog'!$E$6:$E$25)=0,Burndown!$B$5="",Burndown!$C$5="",Burndown!$C$5&lt;=Burndown!$B$5),"",MAX(0,SUMIF('Backlog'!$B$6:$B$25,"S1",'Backlog'!$E$6:$E$25)*(Burndown!$C$5-D167)/(Burndown!$C$5-Burndown!$B$5)))</x:f>
      </x:c>
      <x:c r="D167" s="10" t="str">
        <x:f>IF(OR('Work Log'!$E$170&lt;&gt;"S1",'Work Log'!$A$170=""),"",'Work Log'!$A$170)</x:f>
      </x:c>
      <x:c r="E167" t="str">
        <x:f>IF(H167="","",TEXT(H167,"mm/dd/yy"))</x:f>
      </x:c>
      <x:c r="F167" s="11" t="str">
        <x:f>IF(OR(H167="",SUMIF('Backlog'!$B$6:$B$25,"S2",'Backlog'!$E$6:$E$25)=0,Burndown!$B$6="",Burndown!$C$6=""),"",MAX(0,SUMIF('Backlog'!$B$6:$B$25,"S2",'Backlog'!$E$6:$E$25)-SUMIFS('Work Log'!$D$6:$D$205,'Work Log'!$E$6:$E$205,"S2",'Work Log'!$A$6:$A$205,"&lt;="&amp;H167)))</x:f>
      </x:c>
      <x:c r="G167" s="11" t="str">
        <x:f>IF(OR(H167="",SUMIF('Backlog'!$B$6:$B$25,"S2",'Backlog'!$E$6:$E$25)=0,Burndown!$B$6="",Burndown!$C$6="",Burndown!$C$6&lt;=Burndown!$B$6),"",MAX(0,SUMIF('Backlog'!$B$6:$B$25,"S2",'Backlog'!$E$6:$E$25)*(Burndown!$C$6-H167)/(Burndown!$C$6-Burndown!$B$6)))</x:f>
      </x:c>
      <x:c r="H167" s="10" t="str">
        <x:f>IF(OR('Work Log'!$E$170&lt;&gt;"S2",'Work Log'!$A$170=""),"",'Work Log'!$A$170)</x:f>
      </x:c>
      <x:c r="I167" t="str">
        <x:f>IF(L167="","",TEXT(L167,"mm/dd/yy"))</x:f>
      </x:c>
      <x:c r="J167" s="11" t="str">
        <x:f>IF(OR(L167="",SUMIF('Backlog'!$B$6:$B$25,"S3",'Backlog'!$E$6:$E$25)=0,Burndown!$B$7="",Burndown!$C$7=""),"",MAX(0,SUMIF('Backlog'!$B$6:$B$25,"S3",'Backlog'!$E$6:$E$25)-SUMIFS('Work Log'!$D$6:$D$205,'Work Log'!$E$6:$E$205,"S3",'Work Log'!$A$6:$A$205,"&lt;="&amp;L167)))</x:f>
      </x:c>
      <x:c r="K167" s="11" t="str">
        <x:f>IF(OR(L167="",SUMIF('Backlog'!$B$6:$B$25,"S3",'Backlog'!$E$6:$E$25)=0,Burndown!$B$7="",Burndown!$C$7="",Burndown!$C$7&lt;=Burndown!$B$7),"",MAX(0,SUMIF('Backlog'!$B$6:$B$25,"S3",'Backlog'!$E$6:$E$25)*(Burndown!$C$7-L167)/(Burndown!$C$7-Burndown!$B$7)))</x:f>
      </x:c>
      <x:c r="L167" s="10" t="str">
        <x:f>IF(OR('Work Log'!$E$170&lt;&gt;"S3",'Work Log'!$A$170=""),"",'Work Log'!$A$170)</x:f>
      </x:c>
      <x:c r="M167" t="str">
        <x:f>IF(P167="","",TEXT(P167,"mm/dd/yy"))</x:f>
      </x:c>
      <x:c r="N167" s="11" t="str">
        <x:f>IF(OR(P167="",SUMIF('Backlog'!$B$6:$B$25,"S4",'Backlog'!$E$6:$E$25)=0,Burndown!$B$8="",Burndown!$C$8=""),"",MAX(0,SUMIF('Backlog'!$B$6:$B$25,"S4",'Backlog'!$E$6:$E$25)-SUMIFS('Work Log'!$D$6:$D$205,'Work Log'!$E$6:$E$205,"S4",'Work Log'!$A$6:$A$205,"&lt;="&amp;P167)))</x:f>
      </x:c>
      <x:c r="O167" s="11" t="str">
        <x:f>IF(OR(P167="",SUMIF('Backlog'!$B$6:$B$25,"S4",'Backlog'!$E$6:$E$25)=0,Burndown!$B$8="",Burndown!$C$8="",Burndown!$C$8&lt;=Burndown!$B$8),"",MAX(0,SUMIF('Backlog'!$B$6:$B$25,"S4",'Backlog'!$E$6:$E$25)*(Burndown!$C$8-P167)/(Burndown!$C$8-Burndown!$B$8)))</x:f>
      </x:c>
      <x:c r="P167" s="10" t="str">
        <x:f>IF(OR('Work Log'!$E$170&lt;&gt;"S4",'Work Log'!$A$170=""),"",'Work Log'!$A$170)</x:f>
      </x:c>
      <x:c r="Q167" t="str">
        <x:f>IF(T167="","",TEXT(T167,"mm/dd/yy"))</x:f>
      </x:c>
      <x:c r="R167" s="11" t="str">
        <x:f>IF(OR(T167="",SUMIF('Backlog'!$B$6:$B$25,"S5",'Backlog'!$E$6:$E$25)=0,Burndown!$B$9="",Burndown!$C$9=""),"",MAX(0,SUMIF('Backlog'!$B$6:$B$25,"S5",'Backlog'!$E$6:$E$25)-SUMIFS('Work Log'!$D$6:$D$205,'Work Log'!$E$6:$E$205,"S5",'Work Log'!$A$6:$A$205,"&lt;="&amp;T167)))</x:f>
      </x:c>
      <x:c r="S167" s="11" t="str">
        <x:f>IF(OR(T167="",SUMIF('Backlog'!$B$6:$B$25,"S5",'Backlog'!$E$6:$E$25)=0,Burndown!$B$9="",Burndown!$C$9="",Burndown!$C$9&lt;=Burndown!$B$9),"",MAX(0,SUMIF('Backlog'!$B$6:$B$25,"S5",'Backlog'!$E$6:$E$25)*(Burndown!$C$9-T167)/(Burndown!$C$9-Burndown!$B$9)))</x:f>
      </x:c>
      <x:c r="T167" s="10" t="str">
        <x:f>IF(OR('Work Log'!$E$170&lt;&gt;"S5",'Work Log'!$A$170=""),"",'Work Log'!$A$170)</x:f>
      </x:c>
    </x:row>
    <x:row r="168">
      <x:c r="A168" t="str">
        <x:f>IF(D168="","",TEXT(D168,"mm/dd/yy"))</x:f>
      </x:c>
      <x:c r="B168" s="11" t="str">
        <x:f>IF(OR(D168="",SUMIF('Backlog'!$B$6:$B$25,"S1",'Backlog'!$E$6:$E$25)=0,Burndown!$B$5="",Burndown!$C$5=""),"",MAX(0,SUMIF('Backlog'!$B$6:$B$25,"S1",'Backlog'!$E$6:$E$25)-SUMIFS('Work Log'!$D$6:$D$205,'Work Log'!$E$6:$E$205,"S1",'Work Log'!$A$6:$A$205,"&lt;="&amp;D168)))</x:f>
      </x:c>
      <x:c r="C168" s="11" t="str">
        <x:f>IF(OR(D168="",SUMIF('Backlog'!$B$6:$B$25,"S1",'Backlog'!$E$6:$E$25)=0,Burndown!$B$5="",Burndown!$C$5="",Burndown!$C$5&lt;=Burndown!$B$5),"",MAX(0,SUMIF('Backlog'!$B$6:$B$25,"S1",'Backlog'!$E$6:$E$25)*(Burndown!$C$5-D168)/(Burndown!$C$5-Burndown!$B$5)))</x:f>
      </x:c>
      <x:c r="D168" s="10" t="str">
        <x:f>IF(OR('Work Log'!$E$171&lt;&gt;"S1",'Work Log'!$A$171=""),"",'Work Log'!$A$171)</x:f>
      </x:c>
      <x:c r="E168" t="str">
        <x:f>IF(H168="","",TEXT(H168,"mm/dd/yy"))</x:f>
      </x:c>
      <x:c r="F168" s="11" t="str">
        <x:f>IF(OR(H168="",SUMIF('Backlog'!$B$6:$B$25,"S2",'Backlog'!$E$6:$E$25)=0,Burndown!$B$6="",Burndown!$C$6=""),"",MAX(0,SUMIF('Backlog'!$B$6:$B$25,"S2",'Backlog'!$E$6:$E$25)-SUMIFS('Work Log'!$D$6:$D$205,'Work Log'!$E$6:$E$205,"S2",'Work Log'!$A$6:$A$205,"&lt;="&amp;H168)))</x:f>
      </x:c>
      <x:c r="G168" s="11" t="str">
        <x:f>IF(OR(H168="",SUMIF('Backlog'!$B$6:$B$25,"S2",'Backlog'!$E$6:$E$25)=0,Burndown!$B$6="",Burndown!$C$6="",Burndown!$C$6&lt;=Burndown!$B$6),"",MAX(0,SUMIF('Backlog'!$B$6:$B$25,"S2",'Backlog'!$E$6:$E$25)*(Burndown!$C$6-H168)/(Burndown!$C$6-Burndown!$B$6)))</x:f>
      </x:c>
      <x:c r="H168" s="10" t="str">
        <x:f>IF(OR('Work Log'!$E$171&lt;&gt;"S2",'Work Log'!$A$171=""),"",'Work Log'!$A$171)</x:f>
      </x:c>
      <x:c r="I168" t="str">
        <x:f>IF(L168="","",TEXT(L168,"mm/dd/yy"))</x:f>
      </x:c>
      <x:c r="J168" s="11" t="str">
        <x:f>IF(OR(L168="",SUMIF('Backlog'!$B$6:$B$25,"S3",'Backlog'!$E$6:$E$25)=0,Burndown!$B$7="",Burndown!$C$7=""),"",MAX(0,SUMIF('Backlog'!$B$6:$B$25,"S3",'Backlog'!$E$6:$E$25)-SUMIFS('Work Log'!$D$6:$D$205,'Work Log'!$E$6:$E$205,"S3",'Work Log'!$A$6:$A$205,"&lt;="&amp;L168)))</x:f>
      </x:c>
      <x:c r="K168" s="11" t="str">
        <x:f>IF(OR(L168="",SUMIF('Backlog'!$B$6:$B$25,"S3",'Backlog'!$E$6:$E$25)=0,Burndown!$B$7="",Burndown!$C$7="",Burndown!$C$7&lt;=Burndown!$B$7),"",MAX(0,SUMIF('Backlog'!$B$6:$B$25,"S3",'Backlog'!$E$6:$E$25)*(Burndown!$C$7-L168)/(Burndown!$C$7-Burndown!$B$7)))</x:f>
      </x:c>
      <x:c r="L168" s="10" t="str">
        <x:f>IF(OR('Work Log'!$E$171&lt;&gt;"S3",'Work Log'!$A$171=""),"",'Work Log'!$A$171)</x:f>
      </x:c>
      <x:c r="M168" t="str">
        <x:f>IF(P168="","",TEXT(P168,"mm/dd/yy"))</x:f>
      </x:c>
      <x:c r="N168" s="11" t="str">
        <x:f>IF(OR(P168="",SUMIF('Backlog'!$B$6:$B$25,"S4",'Backlog'!$E$6:$E$25)=0,Burndown!$B$8="",Burndown!$C$8=""),"",MAX(0,SUMIF('Backlog'!$B$6:$B$25,"S4",'Backlog'!$E$6:$E$25)-SUMIFS('Work Log'!$D$6:$D$205,'Work Log'!$E$6:$E$205,"S4",'Work Log'!$A$6:$A$205,"&lt;="&amp;P168)))</x:f>
      </x:c>
      <x:c r="O168" s="11" t="str">
        <x:f>IF(OR(P168="",SUMIF('Backlog'!$B$6:$B$25,"S4",'Backlog'!$E$6:$E$25)=0,Burndown!$B$8="",Burndown!$C$8="",Burndown!$C$8&lt;=Burndown!$B$8),"",MAX(0,SUMIF('Backlog'!$B$6:$B$25,"S4",'Backlog'!$E$6:$E$25)*(Burndown!$C$8-P168)/(Burndown!$C$8-Burndown!$B$8)))</x:f>
      </x:c>
      <x:c r="P168" s="10" t="str">
        <x:f>IF(OR('Work Log'!$E$171&lt;&gt;"S4",'Work Log'!$A$171=""),"",'Work Log'!$A$171)</x:f>
      </x:c>
      <x:c r="Q168" t="str">
        <x:f>IF(T168="","",TEXT(T168,"mm/dd/yy"))</x:f>
      </x:c>
      <x:c r="R168" s="11" t="str">
        <x:f>IF(OR(T168="",SUMIF('Backlog'!$B$6:$B$25,"S5",'Backlog'!$E$6:$E$25)=0,Burndown!$B$9="",Burndown!$C$9=""),"",MAX(0,SUMIF('Backlog'!$B$6:$B$25,"S5",'Backlog'!$E$6:$E$25)-SUMIFS('Work Log'!$D$6:$D$205,'Work Log'!$E$6:$E$205,"S5",'Work Log'!$A$6:$A$205,"&lt;="&amp;T168)))</x:f>
      </x:c>
      <x:c r="S168" s="11" t="str">
        <x:f>IF(OR(T168="",SUMIF('Backlog'!$B$6:$B$25,"S5",'Backlog'!$E$6:$E$25)=0,Burndown!$B$9="",Burndown!$C$9="",Burndown!$C$9&lt;=Burndown!$B$9),"",MAX(0,SUMIF('Backlog'!$B$6:$B$25,"S5",'Backlog'!$E$6:$E$25)*(Burndown!$C$9-T168)/(Burndown!$C$9-Burndown!$B$9)))</x:f>
      </x:c>
      <x:c r="T168" s="10" t="str">
        <x:f>IF(OR('Work Log'!$E$171&lt;&gt;"S5",'Work Log'!$A$171=""),"",'Work Log'!$A$171)</x:f>
      </x:c>
    </x:row>
    <x:row r="169">
      <x:c r="A169" t="str">
        <x:f>IF(D169="","",TEXT(D169,"mm/dd/yy"))</x:f>
      </x:c>
      <x:c r="B169" s="11" t="str">
        <x:f>IF(OR(D169="",SUMIF('Backlog'!$B$6:$B$25,"S1",'Backlog'!$E$6:$E$25)=0,Burndown!$B$5="",Burndown!$C$5=""),"",MAX(0,SUMIF('Backlog'!$B$6:$B$25,"S1",'Backlog'!$E$6:$E$25)-SUMIFS('Work Log'!$D$6:$D$205,'Work Log'!$E$6:$E$205,"S1",'Work Log'!$A$6:$A$205,"&lt;="&amp;D169)))</x:f>
      </x:c>
      <x:c r="C169" s="11" t="str">
        <x:f>IF(OR(D169="",SUMIF('Backlog'!$B$6:$B$25,"S1",'Backlog'!$E$6:$E$25)=0,Burndown!$B$5="",Burndown!$C$5="",Burndown!$C$5&lt;=Burndown!$B$5),"",MAX(0,SUMIF('Backlog'!$B$6:$B$25,"S1",'Backlog'!$E$6:$E$25)*(Burndown!$C$5-D169)/(Burndown!$C$5-Burndown!$B$5)))</x:f>
      </x:c>
      <x:c r="D169" s="10" t="str">
        <x:f>IF(OR('Work Log'!$E$172&lt;&gt;"S1",'Work Log'!$A$172=""),"",'Work Log'!$A$172)</x:f>
      </x:c>
      <x:c r="E169" t="str">
        <x:f>IF(H169="","",TEXT(H169,"mm/dd/yy"))</x:f>
      </x:c>
      <x:c r="F169" s="11" t="str">
        <x:f>IF(OR(H169="",SUMIF('Backlog'!$B$6:$B$25,"S2",'Backlog'!$E$6:$E$25)=0,Burndown!$B$6="",Burndown!$C$6=""),"",MAX(0,SUMIF('Backlog'!$B$6:$B$25,"S2",'Backlog'!$E$6:$E$25)-SUMIFS('Work Log'!$D$6:$D$205,'Work Log'!$E$6:$E$205,"S2",'Work Log'!$A$6:$A$205,"&lt;="&amp;H169)))</x:f>
      </x:c>
      <x:c r="G169" s="11" t="str">
        <x:f>IF(OR(H169="",SUMIF('Backlog'!$B$6:$B$25,"S2",'Backlog'!$E$6:$E$25)=0,Burndown!$B$6="",Burndown!$C$6="",Burndown!$C$6&lt;=Burndown!$B$6),"",MAX(0,SUMIF('Backlog'!$B$6:$B$25,"S2",'Backlog'!$E$6:$E$25)*(Burndown!$C$6-H169)/(Burndown!$C$6-Burndown!$B$6)))</x:f>
      </x:c>
      <x:c r="H169" s="10" t="str">
        <x:f>IF(OR('Work Log'!$E$172&lt;&gt;"S2",'Work Log'!$A$172=""),"",'Work Log'!$A$172)</x:f>
      </x:c>
      <x:c r="I169" t="str">
        <x:f>IF(L169="","",TEXT(L169,"mm/dd/yy"))</x:f>
      </x:c>
      <x:c r="J169" s="11" t="str">
        <x:f>IF(OR(L169="",SUMIF('Backlog'!$B$6:$B$25,"S3",'Backlog'!$E$6:$E$25)=0,Burndown!$B$7="",Burndown!$C$7=""),"",MAX(0,SUMIF('Backlog'!$B$6:$B$25,"S3",'Backlog'!$E$6:$E$25)-SUMIFS('Work Log'!$D$6:$D$205,'Work Log'!$E$6:$E$205,"S3",'Work Log'!$A$6:$A$205,"&lt;="&amp;L169)))</x:f>
      </x:c>
      <x:c r="K169" s="11" t="str">
        <x:f>IF(OR(L169="",SUMIF('Backlog'!$B$6:$B$25,"S3",'Backlog'!$E$6:$E$25)=0,Burndown!$B$7="",Burndown!$C$7="",Burndown!$C$7&lt;=Burndown!$B$7),"",MAX(0,SUMIF('Backlog'!$B$6:$B$25,"S3",'Backlog'!$E$6:$E$25)*(Burndown!$C$7-L169)/(Burndown!$C$7-Burndown!$B$7)))</x:f>
      </x:c>
      <x:c r="L169" s="10" t="str">
        <x:f>IF(OR('Work Log'!$E$172&lt;&gt;"S3",'Work Log'!$A$172=""),"",'Work Log'!$A$172)</x:f>
      </x:c>
      <x:c r="M169" t="str">
        <x:f>IF(P169="","",TEXT(P169,"mm/dd/yy"))</x:f>
      </x:c>
      <x:c r="N169" s="11" t="str">
        <x:f>IF(OR(P169="",SUMIF('Backlog'!$B$6:$B$25,"S4",'Backlog'!$E$6:$E$25)=0,Burndown!$B$8="",Burndown!$C$8=""),"",MAX(0,SUMIF('Backlog'!$B$6:$B$25,"S4",'Backlog'!$E$6:$E$25)-SUMIFS('Work Log'!$D$6:$D$205,'Work Log'!$E$6:$E$205,"S4",'Work Log'!$A$6:$A$205,"&lt;="&amp;P169)))</x:f>
      </x:c>
      <x:c r="O169" s="11" t="str">
        <x:f>IF(OR(P169="",SUMIF('Backlog'!$B$6:$B$25,"S4",'Backlog'!$E$6:$E$25)=0,Burndown!$B$8="",Burndown!$C$8="",Burndown!$C$8&lt;=Burndown!$B$8),"",MAX(0,SUMIF('Backlog'!$B$6:$B$25,"S4",'Backlog'!$E$6:$E$25)*(Burndown!$C$8-P169)/(Burndown!$C$8-Burndown!$B$8)))</x:f>
      </x:c>
      <x:c r="P169" s="10" t="str">
        <x:f>IF(OR('Work Log'!$E$172&lt;&gt;"S4",'Work Log'!$A$172=""),"",'Work Log'!$A$172)</x:f>
      </x:c>
      <x:c r="Q169" t="str">
        <x:f>IF(T169="","",TEXT(T169,"mm/dd/yy"))</x:f>
      </x:c>
      <x:c r="R169" s="11" t="str">
        <x:f>IF(OR(T169="",SUMIF('Backlog'!$B$6:$B$25,"S5",'Backlog'!$E$6:$E$25)=0,Burndown!$B$9="",Burndown!$C$9=""),"",MAX(0,SUMIF('Backlog'!$B$6:$B$25,"S5",'Backlog'!$E$6:$E$25)-SUMIFS('Work Log'!$D$6:$D$205,'Work Log'!$E$6:$E$205,"S5",'Work Log'!$A$6:$A$205,"&lt;="&amp;T169)))</x:f>
      </x:c>
      <x:c r="S169" s="11" t="str">
        <x:f>IF(OR(T169="",SUMIF('Backlog'!$B$6:$B$25,"S5",'Backlog'!$E$6:$E$25)=0,Burndown!$B$9="",Burndown!$C$9="",Burndown!$C$9&lt;=Burndown!$B$9),"",MAX(0,SUMIF('Backlog'!$B$6:$B$25,"S5",'Backlog'!$E$6:$E$25)*(Burndown!$C$9-T169)/(Burndown!$C$9-Burndown!$B$9)))</x:f>
      </x:c>
      <x:c r="T169" s="10" t="str">
        <x:f>IF(OR('Work Log'!$E$172&lt;&gt;"S5",'Work Log'!$A$172=""),"",'Work Log'!$A$172)</x:f>
      </x:c>
    </x:row>
    <x:row r="170">
      <x:c r="A170" t="str">
        <x:f>IF(D170="","",TEXT(D170,"mm/dd/yy"))</x:f>
      </x:c>
      <x:c r="B170" s="11" t="str">
        <x:f>IF(OR(D170="",SUMIF('Backlog'!$B$6:$B$25,"S1",'Backlog'!$E$6:$E$25)=0,Burndown!$B$5="",Burndown!$C$5=""),"",MAX(0,SUMIF('Backlog'!$B$6:$B$25,"S1",'Backlog'!$E$6:$E$25)-SUMIFS('Work Log'!$D$6:$D$205,'Work Log'!$E$6:$E$205,"S1",'Work Log'!$A$6:$A$205,"&lt;="&amp;D170)))</x:f>
      </x:c>
      <x:c r="C170" s="11" t="str">
        <x:f>IF(OR(D170="",SUMIF('Backlog'!$B$6:$B$25,"S1",'Backlog'!$E$6:$E$25)=0,Burndown!$B$5="",Burndown!$C$5="",Burndown!$C$5&lt;=Burndown!$B$5),"",MAX(0,SUMIF('Backlog'!$B$6:$B$25,"S1",'Backlog'!$E$6:$E$25)*(Burndown!$C$5-D170)/(Burndown!$C$5-Burndown!$B$5)))</x:f>
      </x:c>
      <x:c r="D170" s="10" t="str">
        <x:f>IF(OR('Work Log'!$E$173&lt;&gt;"S1",'Work Log'!$A$173=""),"",'Work Log'!$A$173)</x:f>
      </x:c>
      <x:c r="E170" t="str">
        <x:f>IF(H170="","",TEXT(H170,"mm/dd/yy"))</x:f>
      </x:c>
      <x:c r="F170" s="11" t="str">
        <x:f>IF(OR(H170="",SUMIF('Backlog'!$B$6:$B$25,"S2",'Backlog'!$E$6:$E$25)=0,Burndown!$B$6="",Burndown!$C$6=""),"",MAX(0,SUMIF('Backlog'!$B$6:$B$25,"S2",'Backlog'!$E$6:$E$25)-SUMIFS('Work Log'!$D$6:$D$205,'Work Log'!$E$6:$E$205,"S2",'Work Log'!$A$6:$A$205,"&lt;="&amp;H170)))</x:f>
      </x:c>
      <x:c r="G170" s="11" t="str">
        <x:f>IF(OR(H170="",SUMIF('Backlog'!$B$6:$B$25,"S2",'Backlog'!$E$6:$E$25)=0,Burndown!$B$6="",Burndown!$C$6="",Burndown!$C$6&lt;=Burndown!$B$6),"",MAX(0,SUMIF('Backlog'!$B$6:$B$25,"S2",'Backlog'!$E$6:$E$25)*(Burndown!$C$6-H170)/(Burndown!$C$6-Burndown!$B$6)))</x:f>
      </x:c>
      <x:c r="H170" s="10" t="str">
        <x:f>IF(OR('Work Log'!$E$173&lt;&gt;"S2",'Work Log'!$A$173=""),"",'Work Log'!$A$173)</x:f>
      </x:c>
      <x:c r="I170" t="str">
        <x:f>IF(L170="","",TEXT(L170,"mm/dd/yy"))</x:f>
      </x:c>
      <x:c r="J170" s="11" t="str">
        <x:f>IF(OR(L170="",SUMIF('Backlog'!$B$6:$B$25,"S3",'Backlog'!$E$6:$E$25)=0,Burndown!$B$7="",Burndown!$C$7=""),"",MAX(0,SUMIF('Backlog'!$B$6:$B$25,"S3",'Backlog'!$E$6:$E$25)-SUMIFS('Work Log'!$D$6:$D$205,'Work Log'!$E$6:$E$205,"S3",'Work Log'!$A$6:$A$205,"&lt;="&amp;L170)))</x:f>
      </x:c>
      <x:c r="K170" s="11" t="str">
        <x:f>IF(OR(L170="",SUMIF('Backlog'!$B$6:$B$25,"S3",'Backlog'!$E$6:$E$25)=0,Burndown!$B$7="",Burndown!$C$7="",Burndown!$C$7&lt;=Burndown!$B$7),"",MAX(0,SUMIF('Backlog'!$B$6:$B$25,"S3",'Backlog'!$E$6:$E$25)*(Burndown!$C$7-L170)/(Burndown!$C$7-Burndown!$B$7)))</x:f>
      </x:c>
      <x:c r="L170" s="10" t="str">
        <x:f>IF(OR('Work Log'!$E$173&lt;&gt;"S3",'Work Log'!$A$173=""),"",'Work Log'!$A$173)</x:f>
      </x:c>
      <x:c r="M170" t="str">
        <x:f>IF(P170="","",TEXT(P170,"mm/dd/yy"))</x:f>
      </x:c>
      <x:c r="N170" s="11" t="str">
        <x:f>IF(OR(P170="",SUMIF('Backlog'!$B$6:$B$25,"S4",'Backlog'!$E$6:$E$25)=0,Burndown!$B$8="",Burndown!$C$8=""),"",MAX(0,SUMIF('Backlog'!$B$6:$B$25,"S4",'Backlog'!$E$6:$E$25)-SUMIFS('Work Log'!$D$6:$D$205,'Work Log'!$E$6:$E$205,"S4",'Work Log'!$A$6:$A$205,"&lt;="&amp;P170)))</x:f>
      </x:c>
      <x:c r="O170" s="11" t="str">
        <x:f>IF(OR(P170="",SUMIF('Backlog'!$B$6:$B$25,"S4",'Backlog'!$E$6:$E$25)=0,Burndown!$B$8="",Burndown!$C$8="",Burndown!$C$8&lt;=Burndown!$B$8),"",MAX(0,SUMIF('Backlog'!$B$6:$B$25,"S4",'Backlog'!$E$6:$E$25)*(Burndown!$C$8-P170)/(Burndown!$C$8-Burndown!$B$8)))</x:f>
      </x:c>
      <x:c r="P170" s="10" t="str">
        <x:f>IF(OR('Work Log'!$E$173&lt;&gt;"S4",'Work Log'!$A$173=""),"",'Work Log'!$A$173)</x:f>
      </x:c>
      <x:c r="Q170" t="str">
        <x:f>IF(T170="","",TEXT(T170,"mm/dd/yy"))</x:f>
      </x:c>
      <x:c r="R170" s="11" t="str">
        <x:f>IF(OR(T170="",SUMIF('Backlog'!$B$6:$B$25,"S5",'Backlog'!$E$6:$E$25)=0,Burndown!$B$9="",Burndown!$C$9=""),"",MAX(0,SUMIF('Backlog'!$B$6:$B$25,"S5",'Backlog'!$E$6:$E$25)-SUMIFS('Work Log'!$D$6:$D$205,'Work Log'!$E$6:$E$205,"S5",'Work Log'!$A$6:$A$205,"&lt;="&amp;T170)))</x:f>
      </x:c>
      <x:c r="S170" s="11" t="str">
        <x:f>IF(OR(T170="",SUMIF('Backlog'!$B$6:$B$25,"S5",'Backlog'!$E$6:$E$25)=0,Burndown!$B$9="",Burndown!$C$9="",Burndown!$C$9&lt;=Burndown!$B$9),"",MAX(0,SUMIF('Backlog'!$B$6:$B$25,"S5",'Backlog'!$E$6:$E$25)*(Burndown!$C$9-T170)/(Burndown!$C$9-Burndown!$B$9)))</x:f>
      </x:c>
      <x:c r="T170" s="10" t="str">
        <x:f>IF(OR('Work Log'!$E$173&lt;&gt;"S5",'Work Log'!$A$173=""),"",'Work Log'!$A$173)</x:f>
      </x:c>
    </x:row>
    <x:row r="171">
      <x:c r="A171" t="str">
        <x:f>IF(D171="","",TEXT(D171,"mm/dd/yy"))</x:f>
      </x:c>
      <x:c r="B171" s="11" t="str">
        <x:f>IF(OR(D171="",SUMIF('Backlog'!$B$6:$B$25,"S1",'Backlog'!$E$6:$E$25)=0,Burndown!$B$5="",Burndown!$C$5=""),"",MAX(0,SUMIF('Backlog'!$B$6:$B$25,"S1",'Backlog'!$E$6:$E$25)-SUMIFS('Work Log'!$D$6:$D$205,'Work Log'!$E$6:$E$205,"S1",'Work Log'!$A$6:$A$205,"&lt;="&amp;D171)))</x:f>
      </x:c>
      <x:c r="C171" s="11" t="str">
        <x:f>IF(OR(D171="",SUMIF('Backlog'!$B$6:$B$25,"S1",'Backlog'!$E$6:$E$25)=0,Burndown!$B$5="",Burndown!$C$5="",Burndown!$C$5&lt;=Burndown!$B$5),"",MAX(0,SUMIF('Backlog'!$B$6:$B$25,"S1",'Backlog'!$E$6:$E$25)*(Burndown!$C$5-D171)/(Burndown!$C$5-Burndown!$B$5)))</x:f>
      </x:c>
      <x:c r="D171" s="10" t="str">
        <x:f>IF(OR('Work Log'!$E$174&lt;&gt;"S1",'Work Log'!$A$174=""),"",'Work Log'!$A$174)</x:f>
      </x:c>
      <x:c r="E171" t="str">
        <x:f>IF(H171="","",TEXT(H171,"mm/dd/yy"))</x:f>
      </x:c>
      <x:c r="F171" s="11" t="str">
        <x:f>IF(OR(H171="",SUMIF('Backlog'!$B$6:$B$25,"S2",'Backlog'!$E$6:$E$25)=0,Burndown!$B$6="",Burndown!$C$6=""),"",MAX(0,SUMIF('Backlog'!$B$6:$B$25,"S2",'Backlog'!$E$6:$E$25)-SUMIFS('Work Log'!$D$6:$D$205,'Work Log'!$E$6:$E$205,"S2",'Work Log'!$A$6:$A$205,"&lt;="&amp;H171)))</x:f>
      </x:c>
      <x:c r="G171" s="11" t="str">
        <x:f>IF(OR(H171="",SUMIF('Backlog'!$B$6:$B$25,"S2",'Backlog'!$E$6:$E$25)=0,Burndown!$B$6="",Burndown!$C$6="",Burndown!$C$6&lt;=Burndown!$B$6),"",MAX(0,SUMIF('Backlog'!$B$6:$B$25,"S2",'Backlog'!$E$6:$E$25)*(Burndown!$C$6-H171)/(Burndown!$C$6-Burndown!$B$6)))</x:f>
      </x:c>
      <x:c r="H171" s="10" t="str">
        <x:f>IF(OR('Work Log'!$E$174&lt;&gt;"S2",'Work Log'!$A$174=""),"",'Work Log'!$A$174)</x:f>
      </x:c>
      <x:c r="I171" t="str">
        <x:f>IF(L171="","",TEXT(L171,"mm/dd/yy"))</x:f>
      </x:c>
      <x:c r="J171" s="11" t="str">
        <x:f>IF(OR(L171="",SUMIF('Backlog'!$B$6:$B$25,"S3",'Backlog'!$E$6:$E$25)=0,Burndown!$B$7="",Burndown!$C$7=""),"",MAX(0,SUMIF('Backlog'!$B$6:$B$25,"S3",'Backlog'!$E$6:$E$25)-SUMIFS('Work Log'!$D$6:$D$205,'Work Log'!$E$6:$E$205,"S3",'Work Log'!$A$6:$A$205,"&lt;="&amp;L171)))</x:f>
      </x:c>
      <x:c r="K171" s="11" t="str">
        <x:f>IF(OR(L171="",SUMIF('Backlog'!$B$6:$B$25,"S3",'Backlog'!$E$6:$E$25)=0,Burndown!$B$7="",Burndown!$C$7="",Burndown!$C$7&lt;=Burndown!$B$7),"",MAX(0,SUMIF('Backlog'!$B$6:$B$25,"S3",'Backlog'!$E$6:$E$25)*(Burndown!$C$7-L171)/(Burndown!$C$7-Burndown!$B$7)))</x:f>
      </x:c>
      <x:c r="L171" s="10" t="str">
        <x:f>IF(OR('Work Log'!$E$174&lt;&gt;"S3",'Work Log'!$A$174=""),"",'Work Log'!$A$174)</x:f>
      </x:c>
      <x:c r="M171" t="str">
        <x:f>IF(P171="","",TEXT(P171,"mm/dd/yy"))</x:f>
      </x:c>
      <x:c r="N171" s="11" t="str">
        <x:f>IF(OR(P171="",SUMIF('Backlog'!$B$6:$B$25,"S4",'Backlog'!$E$6:$E$25)=0,Burndown!$B$8="",Burndown!$C$8=""),"",MAX(0,SUMIF('Backlog'!$B$6:$B$25,"S4",'Backlog'!$E$6:$E$25)-SUMIFS('Work Log'!$D$6:$D$205,'Work Log'!$E$6:$E$205,"S4",'Work Log'!$A$6:$A$205,"&lt;="&amp;P171)))</x:f>
      </x:c>
      <x:c r="O171" s="11" t="str">
        <x:f>IF(OR(P171="",SUMIF('Backlog'!$B$6:$B$25,"S4",'Backlog'!$E$6:$E$25)=0,Burndown!$B$8="",Burndown!$C$8="",Burndown!$C$8&lt;=Burndown!$B$8),"",MAX(0,SUMIF('Backlog'!$B$6:$B$25,"S4",'Backlog'!$E$6:$E$25)*(Burndown!$C$8-P171)/(Burndown!$C$8-Burndown!$B$8)))</x:f>
      </x:c>
      <x:c r="P171" s="10" t="str">
        <x:f>IF(OR('Work Log'!$E$174&lt;&gt;"S4",'Work Log'!$A$174=""),"",'Work Log'!$A$174)</x:f>
      </x:c>
      <x:c r="Q171" t="str">
        <x:f>IF(T171="","",TEXT(T171,"mm/dd/yy"))</x:f>
      </x:c>
      <x:c r="R171" s="11" t="str">
        <x:f>IF(OR(T171="",SUMIF('Backlog'!$B$6:$B$25,"S5",'Backlog'!$E$6:$E$25)=0,Burndown!$B$9="",Burndown!$C$9=""),"",MAX(0,SUMIF('Backlog'!$B$6:$B$25,"S5",'Backlog'!$E$6:$E$25)-SUMIFS('Work Log'!$D$6:$D$205,'Work Log'!$E$6:$E$205,"S5",'Work Log'!$A$6:$A$205,"&lt;="&amp;T171)))</x:f>
      </x:c>
      <x:c r="S171" s="11" t="str">
        <x:f>IF(OR(T171="",SUMIF('Backlog'!$B$6:$B$25,"S5",'Backlog'!$E$6:$E$25)=0,Burndown!$B$9="",Burndown!$C$9="",Burndown!$C$9&lt;=Burndown!$B$9),"",MAX(0,SUMIF('Backlog'!$B$6:$B$25,"S5",'Backlog'!$E$6:$E$25)*(Burndown!$C$9-T171)/(Burndown!$C$9-Burndown!$B$9)))</x:f>
      </x:c>
      <x:c r="T171" s="10" t="str">
        <x:f>IF(OR('Work Log'!$E$174&lt;&gt;"S5",'Work Log'!$A$174=""),"",'Work Log'!$A$174)</x:f>
      </x:c>
    </x:row>
    <x:row r="172">
      <x:c r="A172" t="str">
        <x:f>IF(D172="","",TEXT(D172,"mm/dd/yy"))</x:f>
      </x:c>
      <x:c r="B172" s="11" t="str">
        <x:f>IF(OR(D172="",SUMIF('Backlog'!$B$6:$B$25,"S1",'Backlog'!$E$6:$E$25)=0,Burndown!$B$5="",Burndown!$C$5=""),"",MAX(0,SUMIF('Backlog'!$B$6:$B$25,"S1",'Backlog'!$E$6:$E$25)-SUMIFS('Work Log'!$D$6:$D$205,'Work Log'!$E$6:$E$205,"S1",'Work Log'!$A$6:$A$205,"&lt;="&amp;D172)))</x:f>
      </x:c>
      <x:c r="C172" s="11" t="str">
        <x:f>IF(OR(D172="",SUMIF('Backlog'!$B$6:$B$25,"S1",'Backlog'!$E$6:$E$25)=0,Burndown!$B$5="",Burndown!$C$5="",Burndown!$C$5&lt;=Burndown!$B$5),"",MAX(0,SUMIF('Backlog'!$B$6:$B$25,"S1",'Backlog'!$E$6:$E$25)*(Burndown!$C$5-D172)/(Burndown!$C$5-Burndown!$B$5)))</x:f>
      </x:c>
      <x:c r="D172" s="10" t="str">
        <x:f>IF(OR('Work Log'!$E$175&lt;&gt;"S1",'Work Log'!$A$175=""),"",'Work Log'!$A$175)</x:f>
      </x:c>
      <x:c r="E172" t="str">
        <x:f>IF(H172="","",TEXT(H172,"mm/dd/yy"))</x:f>
      </x:c>
      <x:c r="F172" s="11" t="str">
        <x:f>IF(OR(H172="",SUMIF('Backlog'!$B$6:$B$25,"S2",'Backlog'!$E$6:$E$25)=0,Burndown!$B$6="",Burndown!$C$6=""),"",MAX(0,SUMIF('Backlog'!$B$6:$B$25,"S2",'Backlog'!$E$6:$E$25)-SUMIFS('Work Log'!$D$6:$D$205,'Work Log'!$E$6:$E$205,"S2",'Work Log'!$A$6:$A$205,"&lt;="&amp;H172)))</x:f>
      </x:c>
      <x:c r="G172" s="11" t="str">
        <x:f>IF(OR(H172="",SUMIF('Backlog'!$B$6:$B$25,"S2",'Backlog'!$E$6:$E$25)=0,Burndown!$B$6="",Burndown!$C$6="",Burndown!$C$6&lt;=Burndown!$B$6),"",MAX(0,SUMIF('Backlog'!$B$6:$B$25,"S2",'Backlog'!$E$6:$E$25)*(Burndown!$C$6-H172)/(Burndown!$C$6-Burndown!$B$6)))</x:f>
      </x:c>
      <x:c r="H172" s="10" t="str">
        <x:f>IF(OR('Work Log'!$E$175&lt;&gt;"S2",'Work Log'!$A$175=""),"",'Work Log'!$A$175)</x:f>
      </x:c>
      <x:c r="I172" t="str">
        <x:f>IF(L172="","",TEXT(L172,"mm/dd/yy"))</x:f>
      </x:c>
      <x:c r="J172" s="11" t="str">
        <x:f>IF(OR(L172="",SUMIF('Backlog'!$B$6:$B$25,"S3",'Backlog'!$E$6:$E$25)=0,Burndown!$B$7="",Burndown!$C$7=""),"",MAX(0,SUMIF('Backlog'!$B$6:$B$25,"S3",'Backlog'!$E$6:$E$25)-SUMIFS('Work Log'!$D$6:$D$205,'Work Log'!$E$6:$E$205,"S3",'Work Log'!$A$6:$A$205,"&lt;="&amp;L172)))</x:f>
      </x:c>
      <x:c r="K172" s="11" t="str">
        <x:f>IF(OR(L172="",SUMIF('Backlog'!$B$6:$B$25,"S3",'Backlog'!$E$6:$E$25)=0,Burndown!$B$7="",Burndown!$C$7="",Burndown!$C$7&lt;=Burndown!$B$7),"",MAX(0,SUMIF('Backlog'!$B$6:$B$25,"S3",'Backlog'!$E$6:$E$25)*(Burndown!$C$7-L172)/(Burndown!$C$7-Burndown!$B$7)))</x:f>
      </x:c>
      <x:c r="L172" s="10" t="str">
        <x:f>IF(OR('Work Log'!$E$175&lt;&gt;"S3",'Work Log'!$A$175=""),"",'Work Log'!$A$175)</x:f>
      </x:c>
      <x:c r="M172" t="str">
        <x:f>IF(P172="","",TEXT(P172,"mm/dd/yy"))</x:f>
      </x:c>
      <x:c r="N172" s="11" t="str">
        <x:f>IF(OR(P172="",SUMIF('Backlog'!$B$6:$B$25,"S4",'Backlog'!$E$6:$E$25)=0,Burndown!$B$8="",Burndown!$C$8=""),"",MAX(0,SUMIF('Backlog'!$B$6:$B$25,"S4",'Backlog'!$E$6:$E$25)-SUMIFS('Work Log'!$D$6:$D$205,'Work Log'!$E$6:$E$205,"S4",'Work Log'!$A$6:$A$205,"&lt;="&amp;P172)))</x:f>
      </x:c>
      <x:c r="O172" s="11" t="str">
        <x:f>IF(OR(P172="",SUMIF('Backlog'!$B$6:$B$25,"S4",'Backlog'!$E$6:$E$25)=0,Burndown!$B$8="",Burndown!$C$8="",Burndown!$C$8&lt;=Burndown!$B$8),"",MAX(0,SUMIF('Backlog'!$B$6:$B$25,"S4",'Backlog'!$E$6:$E$25)*(Burndown!$C$8-P172)/(Burndown!$C$8-Burndown!$B$8)))</x:f>
      </x:c>
      <x:c r="P172" s="10" t="str">
        <x:f>IF(OR('Work Log'!$E$175&lt;&gt;"S4",'Work Log'!$A$175=""),"",'Work Log'!$A$175)</x:f>
      </x:c>
      <x:c r="Q172" t="str">
        <x:f>IF(T172="","",TEXT(T172,"mm/dd/yy"))</x:f>
      </x:c>
      <x:c r="R172" s="11" t="str">
        <x:f>IF(OR(T172="",SUMIF('Backlog'!$B$6:$B$25,"S5",'Backlog'!$E$6:$E$25)=0,Burndown!$B$9="",Burndown!$C$9=""),"",MAX(0,SUMIF('Backlog'!$B$6:$B$25,"S5",'Backlog'!$E$6:$E$25)-SUMIFS('Work Log'!$D$6:$D$205,'Work Log'!$E$6:$E$205,"S5",'Work Log'!$A$6:$A$205,"&lt;="&amp;T172)))</x:f>
      </x:c>
      <x:c r="S172" s="11" t="str">
        <x:f>IF(OR(T172="",SUMIF('Backlog'!$B$6:$B$25,"S5",'Backlog'!$E$6:$E$25)=0,Burndown!$B$9="",Burndown!$C$9="",Burndown!$C$9&lt;=Burndown!$B$9),"",MAX(0,SUMIF('Backlog'!$B$6:$B$25,"S5",'Backlog'!$E$6:$E$25)*(Burndown!$C$9-T172)/(Burndown!$C$9-Burndown!$B$9)))</x:f>
      </x:c>
      <x:c r="T172" s="10" t="str">
        <x:f>IF(OR('Work Log'!$E$175&lt;&gt;"S5",'Work Log'!$A$175=""),"",'Work Log'!$A$175)</x:f>
      </x:c>
    </x:row>
    <x:row r="173">
      <x:c r="A173" t="str">
        <x:f>IF(D173="","",TEXT(D173,"mm/dd/yy"))</x:f>
      </x:c>
      <x:c r="B173" s="11" t="str">
        <x:f>IF(OR(D173="",SUMIF('Backlog'!$B$6:$B$25,"S1",'Backlog'!$E$6:$E$25)=0,Burndown!$B$5="",Burndown!$C$5=""),"",MAX(0,SUMIF('Backlog'!$B$6:$B$25,"S1",'Backlog'!$E$6:$E$25)-SUMIFS('Work Log'!$D$6:$D$205,'Work Log'!$E$6:$E$205,"S1",'Work Log'!$A$6:$A$205,"&lt;="&amp;D173)))</x:f>
      </x:c>
      <x:c r="C173" s="11" t="str">
        <x:f>IF(OR(D173="",SUMIF('Backlog'!$B$6:$B$25,"S1",'Backlog'!$E$6:$E$25)=0,Burndown!$B$5="",Burndown!$C$5="",Burndown!$C$5&lt;=Burndown!$B$5),"",MAX(0,SUMIF('Backlog'!$B$6:$B$25,"S1",'Backlog'!$E$6:$E$25)*(Burndown!$C$5-D173)/(Burndown!$C$5-Burndown!$B$5)))</x:f>
      </x:c>
      <x:c r="D173" s="10" t="str">
        <x:f>IF(OR('Work Log'!$E$176&lt;&gt;"S1",'Work Log'!$A$176=""),"",'Work Log'!$A$176)</x:f>
      </x:c>
      <x:c r="E173" t="str">
        <x:f>IF(H173="","",TEXT(H173,"mm/dd/yy"))</x:f>
      </x:c>
      <x:c r="F173" s="11" t="str">
        <x:f>IF(OR(H173="",SUMIF('Backlog'!$B$6:$B$25,"S2",'Backlog'!$E$6:$E$25)=0,Burndown!$B$6="",Burndown!$C$6=""),"",MAX(0,SUMIF('Backlog'!$B$6:$B$25,"S2",'Backlog'!$E$6:$E$25)-SUMIFS('Work Log'!$D$6:$D$205,'Work Log'!$E$6:$E$205,"S2",'Work Log'!$A$6:$A$205,"&lt;="&amp;H173)))</x:f>
      </x:c>
      <x:c r="G173" s="11" t="str">
        <x:f>IF(OR(H173="",SUMIF('Backlog'!$B$6:$B$25,"S2",'Backlog'!$E$6:$E$25)=0,Burndown!$B$6="",Burndown!$C$6="",Burndown!$C$6&lt;=Burndown!$B$6),"",MAX(0,SUMIF('Backlog'!$B$6:$B$25,"S2",'Backlog'!$E$6:$E$25)*(Burndown!$C$6-H173)/(Burndown!$C$6-Burndown!$B$6)))</x:f>
      </x:c>
      <x:c r="H173" s="10" t="str">
        <x:f>IF(OR('Work Log'!$E$176&lt;&gt;"S2",'Work Log'!$A$176=""),"",'Work Log'!$A$176)</x:f>
      </x:c>
      <x:c r="I173" t="str">
        <x:f>IF(L173="","",TEXT(L173,"mm/dd/yy"))</x:f>
      </x:c>
      <x:c r="J173" s="11" t="str">
        <x:f>IF(OR(L173="",SUMIF('Backlog'!$B$6:$B$25,"S3",'Backlog'!$E$6:$E$25)=0,Burndown!$B$7="",Burndown!$C$7=""),"",MAX(0,SUMIF('Backlog'!$B$6:$B$25,"S3",'Backlog'!$E$6:$E$25)-SUMIFS('Work Log'!$D$6:$D$205,'Work Log'!$E$6:$E$205,"S3",'Work Log'!$A$6:$A$205,"&lt;="&amp;L173)))</x:f>
      </x:c>
      <x:c r="K173" s="11" t="str">
        <x:f>IF(OR(L173="",SUMIF('Backlog'!$B$6:$B$25,"S3",'Backlog'!$E$6:$E$25)=0,Burndown!$B$7="",Burndown!$C$7="",Burndown!$C$7&lt;=Burndown!$B$7),"",MAX(0,SUMIF('Backlog'!$B$6:$B$25,"S3",'Backlog'!$E$6:$E$25)*(Burndown!$C$7-L173)/(Burndown!$C$7-Burndown!$B$7)))</x:f>
      </x:c>
      <x:c r="L173" s="10" t="str">
        <x:f>IF(OR('Work Log'!$E$176&lt;&gt;"S3",'Work Log'!$A$176=""),"",'Work Log'!$A$176)</x:f>
      </x:c>
      <x:c r="M173" t="str">
        <x:f>IF(P173="","",TEXT(P173,"mm/dd/yy"))</x:f>
      </x:c>
      <x:c r="N173" s="11" t="str">
        <x:f>IF(OR(P173="",SUMIF('Backlog'!$B$6:$B$25,"S4",'Backlog'!$E$6:$E$25)=0,Burndown!$B$8="",Burndown!$C$8=""),"",MAX(0,SUMIF('Backlog'!$B$6:$B$25,"S4",'Backlog'!$E$6:$E$25)-SUMIFS('Work Log'!$D$6:$D$205,'Work Log'!$E$6:$E$205,"S4",'Work Log'!$A$6:$A$205,"&lt;="&amp;P173)))</x:f>
      </x:c>
      <x:c r="O173" s="11" t="str">
        <x:f>IF(OR(P173="",SUMIF('Backlog'!$B$6:$B$25,"S4",'Backlog'!$E$6:$E$25)=0,Burndown!$B$8="",Burndown!$C$8="",Burndown!$C$8&lt;=Burndown!$B$8),"",MAX(0,SUMIF('Backlog'!$B$6:$B$25,"S4",'Backlog'!$E$6:$E$25)*(Burndown!$C$8-P173)/(Burndown!$C$8-Burndown!$B$8)))</x:f>
      </x:c>
      <x:c r="P173" s="10" t="str">
        <x:f>IF(OR('Work Log'!$E$176&lt;&gt;"S4",'Work Log'!$A$176=""),"",'Work Log'!$A$176)</x:f>
      </x:c>
      <x:c r="Q173" t="str">
        <x:f>IF(T173="","",TEXT(T173,"mm/dd/yy"))</x:f>
      </x:c>
      <x:c r="R173" s="11" t="str">
        <x:f>IF(OR(T173="",SUMIF('Backlog'!$B$6:$B$25,"S5",'Backlog'!$E$6:$E$25)=0,Burndown!$B$9="",Burndown!$C$9=""),"",MAX(0,SUMIF('Backlog'!$B$6:$B$25,"S5",'Backlog'!$E$6:$E$25)-SUMIFS('Work Log'!$D$6:$D$205,'Work Log'!$E$6:$E$205,"S5",'Work Log'!$A$6:$A$205,"&lt;="&amp;T173)))</x:f>
      </x:c>
      <x:c r="S173" s="11" t="str">
        <x:f>IF(OR(T173="",SUMIF('Backlog'!$B$6:$B$25,"S5",'Backlog'!$E$6:$E$25)=0,Burndown!$B$9="",Burndown!$C$9="",Burndown!$C$9&lt;=Burndown!$B$9),"",MAX(0,SUMIF('Backlog'!$B$6:$B$25,"S5",'Backlog'!$E$6:$E$25)*(Burndown!$C$9-T173)/(Burndown!$C$9-Burndown!$B$9)))</x:f>
      </x:c>
      <x:c r="T173" s="10" t="str">
        <x:f>IF(OR('Work Log'!$E$176&lt;&gt;"S5",'Work Log'!$A$176=""),"",'Work Log'!$A$176)</x:f>
      </x:c>
    </x:row>
    <x:row r="174">
      <x:c r="A174" t="str">
        <x:f>IF(D174="","",TEXT(D174,"mm/dd/yy"))</x:f>
      </x:c>
      <x:c r="B174" s="11" t="str">
        <x:f>IF(OR(D174="",SUMIF('Backlog'!$B$6:$B$25,"S1",'Backlog'!$E$6:$E$25)=0,Burndown!$B$5="",Burndown!$C$5=""),"",MAX(0,SUMIF('Backlog'!$B$6:$B$25,"S1",'Backlog'!$E$6:$E$25)-SUMIFS('Work Log'!$D$6:$D$205,'Work Log'!$E$6:$E$205,"S1",'Work Log'!$A$6:$A$205,"&lt;="&amp;D174)))</x:f>
      </x:c>
      <x:c r="C174" s="11" t="str">
        <x:f>IF(OR(D174="",SUMIF('Backlog'!$B$6:$B$25,"S1",'Backlog'!$E$6:$E$25)=0,Burndown!$B$5="",Burndown!$C$5="",Burndown!$C$5&lt;=Burndown!$B$5),"",MAX(0,SUMIF('Backlog'!$B$6:$B$25,"S1",'Backlog'!$E$6:$E$25)*(Burndown!$C$5-D174)/(Burndown!$C$5-Burndown!$B$5)))</x:f>
      </x:c>
      <x:c r="D174" s="10" t="str">
        <x:f>IF(OR('Work Log'!$E$177&lt;&gt;"S1",'Work Log'!$A$177=""),"",'Work Log'!$A$177)</x:f>
      </x:c>
      <x:c r="E174" t="str">
        <x:f>IF(H174="","",TEXT(H174,"mm/dd/yy"))</x:f>
      </x:c>
      <x:c r="F174" s="11" t="str">
        <x:f>IF(OR(H174="",SUMIF('Backlog'!$B$6:$B$25,"S2",'Backlog'!$E$6:$E$25)=0,Burndown!$B$6="",Burndown!$C$6=""),"",MAX(0,SUMIF('Backlog'!$B$6:$B$25,"S2",'Backlog'!$E$6:$E$25)-SUMIFS('Work Log'!$D$6:$D$205,'Work Log'!$E$6:$E$205,"S2",'Work Log'!$A$6:$A$205,"&lt;="&amp;H174)))</x:f>
      </x:c>
      <x:c r="G174" s="11" t="str">
        <x:f>IF(OR(H174="",SUMIF('Backlog'!$B$6:$B$25,"S2",'Backlog'!$E$6:$E$25)=0,Burndown!$B$6="",Burndown!$C$6="",Burndown!$C$6&lt;=Burndown!$B$6),"",MAX(0,SUMIF('Backlog'!$B$6:$B$25,"S2",'Backlog'!$E$6:$E$25)*(Burndown!$C$6-H174)/(Burndown!$C$6-Burndown!$B$6)))</x:f>
      </x:c>
      <x:c r="H174" s="10" t="str">
        <x:f>IF(OR('Work Log'!$E$177&lt;&gt;"S2",'Work Log'!$A$177=""),"",'Work Log'!$A$177)</x:f>
      </x:c>
      <x:c r="I174" t="str">
        <x:f>IF(L174="","",TEXT(L174,"mm/dd/yy"))</x:f>
      </x:c>
      <x:c r="J174" s="11" t="str">
        <x:f>IF(OR(L174="",SUMIF('Backlog'!$B$6:$B$25,"S3",'Backlog'!$E$6:$E$25)=0,Burndown!$B$7="",Burndown!$C$7=""),"",MAX(0,SUMIF('Backlog'!$B$6:$B$25,"S3",'Backlog'!$E$6:$E$25)-SUMIFS('Work Log'!$D$6:$D$205,'Work Log'!$E$6:$E$205,"S3",'Work Log'!$A$6:$A$205,"&lt;="&amp;L174)))</x:f>
      </x:c>
      <x:c r="K174" s="11" t="str">
        <x:f>IF(OR(L174="",SUMIF('Backlog'!$B$6:$B$25,"S3",'Backlog'!$E$6:$E$25)=0,Burndown!$B$7="",Burndown!$C$7="",Burndown!$C$7&lt;=Burndown!$B$7),"",MAX(0,SUMIF('Backlog'!$B$6:$B$25,"S3",'Backlog'!$E$6:$E$25)*(Burndown!$C$7-L174)/(Burndown!$C$7-Burndown!$B$7)))</x:f>
      </x:c>
      <x:c r="L174" s="10" t="str">
        <x:f>IF(OR('Work Log'!$E$177&lt;&gt;"S3",'Work Log'!$A$177=""),"",'Work Log'!$A$177)</x:f>
      </x:c>
      <x:c r="M174" t="str">
        <x:f>IF(P174="","",TEXT(P174,"mm/dd/yy"))</x:f>
      </x:c>
      <x:c r="N174" s="11" t="str">
        <x:f>IF(OR(P174="",SUMIF('Backlog'!$B$6:$B$25,"S4",'Backlog'!$E$6:$E$25)=0,Burndown!$B$8="",Burndown!$C$8=""),"",MAX(0,SUMIF('Backlog'!$B$6:$B$25,"S4",'Backlog'!$E$6:$E$25)-SUMIFS('Work Log'!$D$6:$D$205,'Work Log'!$E$6:$E$205,"S4",'Work Log'!$A$6:$A$205,"&lt;="&amp;P174)))</x:f>
      </x:c>
      <x:c r="O174" s="11" t="str">
        <x:f>IF(OR(P174="",SUMIF('Backlog'!$B$6:$B$25,"S4",'Backlog'!$E$6:$E$25)=0,Burndown!$B$8="",Burndown!$C$8="",Burndown!$C$8&lt;=Burndown!$B$8),"",MAX(0,SUMIF('Backlog'!$B$6:$B$25,"S4",'Backlog'!$E$6:$E$25)*(Burndown!$C$8-P174)/(Burndown!$C$8-Burndown!$B$8)))</x:f>
      </x:c>
      <x:c r="P174" s="10" t="str">
        <x:f>IF(OR('Work Log'!$E$177&lt;&gt;"S4",'Work Log'!$A$177=""),"",'Work Log'!$A$177)</x:f>
      </x:c>
      <x:c r="Q174" t="str">
        <x:f>IF(T174="","",TEXT(T174,"mm/dd/yy"))</x:f>
      </x:c>
      <x:c r="R174" s="11" t="str">
        <x:f>IF(OR(T174="",SUMIF('Backlog'!$B$6:$B$25,"S5",'Backlog'!$E$6:$E$25)=0,Burndown!$B$9="",Burndown!$C$9=""),"",MAX(0,SUMIF('Backlog'!$B$6:$B$25,"S5",'Backlog'!$E$6:$E$25)-SUMIFS('Work Log'!$D$6:$D$205,'Work Log'!$E$6:$E$205,"S5",'Work Log'!$A$6:$A$205,"&lt;="&amp;T174)))</x:f>
      </x:c>
      <x:c r="S174" s="11" t="str">
        <x:f>IF(OR(T174="",SUMIF('Backlog'!$B$6:$B$25,"S5",'Backlog'!$E$6:$E$25)=0,Burndown!$B$9="",Burndown!$C$9="",Burndown!$C$9&lt;=Burndown!$B$9),"",MAX(0,SUMIF('Backlog'!$B$6:$B$25,"S5",'Backlog'!$E$6:$E$25)*(Burndown!$C$9-T174)/(Burndown!$C$9-Burndown!$B$9)))</x:f>
      </x:c>
      <x:c r="T174" s="10" t="str">
        <x:f>IF(OR('Work Log'!$E$177&lt;&gt;"S5",'Work Log'!$A$177=""),"",'Work Log'!$A$177)</x:f>
      </x:c>
    </x:row>
    <x:row r="175">
      <x:c r="A175" t="str">
        <x:f>IF(D175="","",TEXT(D175,"mm/dd/yy"))</x:f>
      </x:c>
      <x:c r="B175" s="11" t="str">
        <x:f>IF(OR(D175="",SUMIF('Backlog'!$B$6:$B$25,"S1",'Backlog'!$E$6:$E$25)=0,Burndown!$B$5="",Burndown!$C$5=""),"",MAX(0,SUMIF('Backlog'!$B$6:$B$25,"S1",'Backlog'!$E$6:$E$25)-SUMIFS('Work Log'!$D$6:$D$205,'Work Log'!$E$6:$E$205,"S1",'Work Log'!$A$6:$A$205,"&lt;="&amp;D175)))</x:f>
      </x:c>
      <x:c r="C175" s="11" t="str">
        <x:f>IF(OR(D175="",SUMIF('Backlog'!$B$6:$B$25,"S1",'Backlog'!$E$6:$E$25)=0,Burndown!$B$5="",Burndown!$C$5="",Burndown!$C$5&lt;=Burndown!$B$5),"",MAX(0,SUMIF('Backlog'!$B$6:$B$25,"S1",'Backlog'!$E$6:$E$25)*(Burndown!$C$5-D175)/(Burndown!$C$5-Burndown!$B$5)))</x:f>
      </x:c>
      <x:c r="D175" s="10" t="str">
        <x:f>IF(OR('Work Log'!$E$178&lt;&gt;"S1",'Work Log'!$A$178=""),"",'Work Log'!$A$178)</x:f>
      </x:c>
      <x:c r="E175" t="str">
        <x:f>IF(H175="","",TEXT(H175,"mm/dd/yy"))</x:f>
      </x:c>
      <x:c r="F175" s="11" t="str">
        <x:f>IF(OR(H175="",SUMIF('Backlog'!$B$6:$B$25,"S2",'Backlog'!$E$6:$E$25)=0,Burndown!$B$6="",Burndown!$C$6=""),"",MAX(0,SUMIF('Backlog'!$B$6:$B$25,"S2",'Backlog'!$E$6:$E$25)-SUMIFS('Work Log'!$D$6:$D$205,'Work Log'!$E$6:$E$205,"S2",'Work Log'!$A$6:$A$205,"&lt;="&amp;H175)))</x:f>
      </x:c>
      <x:c r="G175" s="11" t="str">
        <x:f>IF(OR(H175="",SUMIF('Backlog'!$B$6:$B$25,"S2",'Backlog'!$E$6:$E$25)=0,Burndown!$B$6="",Burndown!$C$6="",Burndown!$C$6&lt;=Burndown!$B$6),"",MAX(0,SUMIF('Backlog'!$B$6:$B$25,"S2",'Backlog'!$E$6:$E$25)*(Burndown!$C$6-H175)/(Burndown!$C$6-Burndown!$B$6)))</x:f>
      </x:c>
      <x:c r="H175" s="10" t="str">
        <x:f>IF(OR('Work Log'!$E$178&lt;&gt;"S2",'Work Log'!$A$178=""),"",'Work Log'!$A$178)</x:f>
      </x:c>
      <x:c r="I175" t="str">
        <x:f>IF(L175="","",TEXT(L175,"mm/dd/yy"))</x:f>
      </x:c>
      <x:c r="J175" s="11" t="str">
        <x:f>IF(OR(L175="",SUMIF('Backlog'!$B$6:$B$25,"S3",'Backlog'!$E$6:$E$25)=0,Burndown!$B$7="",Burndown!$C$7=""),"",MAX(0,SUMIF('Backlog'!$B$6:$B$25,"S3",'Backlog'!$E$6:$E$25)-SUMIFS('Work Log'!$D$6:$D$205,'Work Log'!$E$6:$E$205,"S3",'Work Log'!$A$6:$A$205,"&lt;="&amp;L175)))</x:f>
      </x:c>
      <x:c r="K175" s="11" t="str">
        <x:f>IF(OR(L175="",SUMIF('Backlog'!$B$6:$B$25,"S3",'Backlog'!$E$6:$E$25)=0,Burndown!$B$7="",Burndown!$C$7="",Burndown!$C$7&lt;=Burndown!$B$7),"",MAX(0,SUMIF('Backlog'!$B$6:$B$25,"S3",'Backlog'!$E$6:$E$25)*(Burndown!$C$7-L175)/(Burndown!$C$7-Burndown!$B$7)))</x:f>
      </x:c>
      <x:c r="L175" s="10" t="str">
        <x:f>IF(OR('Work Log'!$E$178&lt;&gt;"S3",'Work Log'!$A$178=""),"",'Work Log'!$A$178)</x:f>
      </x:c>
      <x:c r="M175" t="str">
        <x:f>IF(P175="","",TEXT(P175,"mm/dd/yy"))</x:f>
      </x:c>
      <x:c r="N175" s="11" t="str">
        <x:f>IF(OR(P175="",SUMIF('Backlog'!$B$6:$B$25,"S4",'Backlog'!$E$6:$E$25)=0,Burndown!$B$8="",Burndown!$C$8=""),"",MAX(0,SUMIF('Backlog'!$B$6:$B$25,"S4",'Backlog'!$E$6:$E$25)-SUMIFS('Work Log'!$D$6:$D$205,'Work Log'!$E$6:$E$205,"S4",'Work Log'!$A$6:$A$205,"&lt;="&amp;P175)))</x:f>
      </x:c>
      <x:c r="O175" s="11" t="str">
        <x:f>IF(OR(P175="",SUMIF('Backlog'!$B$6:$B$25,"S4",'Backlog'!$E$6:$E$25)=0,Burndown!$B$8="",Burndown!$C$8="",Burndown!$C$8&lt;=Burndown!$B$8),"",MAX(0,SUMIF('Backlog'!$B$6:$B$25,"S4",'Backlog'!$E$6:$E$25)*(Burndown!$C$8-P175)/(Burndown!$C$8-Burndown!$B$8)))</x:f>
      </x:c>
      <x:c r="P175" s="10" t="str">
        <x:f>IF(OR('Work Log'!$E$178&lt;&gt;"S4",'Work Log'!$A$178=""),"",'Work Log'!$A$178)</x:f>
      </x:c>
      <x:c r="Q175" t="str">
        <x:f>IF(T175="","",TEXT(T175,"mm/dd/yy"))</x:f>
      </x:c>
      <x:c r="R175" s="11" t="str">
        <x:f>IF(OR(T175="",SUMIF('Backlog'!$B$6:$B$25,"S5",'Backlog'!$E$6:$E$25)=0,Burndown!$B$9="",Burndown!$C$9=""),"",MAX(0,SUMIF('Backlog'!$B$6:$B$25,"S5",'Backlog'!$E$6:$E$25)-SUMIFS('Work Log'!$D$6:$D$205,'Work Log'!$E$6:$E$205,"S5",'Work Log'!$A$6:$A$205,"&lt;="&amp;T175)))</x:f>
      </x:c>
      <x:c r="S175" s="11" t="str">
        <x:f>IF(OR(T175="",SUMIF('Backlog'!$B$6:$B$25,"S5",'Backlog'!$E$6:$E$25)=0,Burndown!$B$9="",Burndown!$C$9="",Burndown!$C$9&lt;=Burndown!$B$9),"",MAX(0,SUMIF('Backlog'!$B$6:$B$25,"S5",'Backlog'!$E$6:$E$25)*(Burndown!$C$9-T175)/(Burndown!$C$9-Burndown!$B$9)))</x:f>
      </x:c>
      <x:c r="T175" s="10" t="str">
        <x:f>IF(OR('Work Log'!$E$178&lt;&gt;"S5",'Work Log'!$A$178=""),"",'Work Log'!$A$178)</x:f>
      </x:c>
    </x:row>
    <x:row r="176">
      <x:c r="A176" t="str">
        <x:f>IF(D176="","",TEXT(D176,"mm/dd/yy"))</x:f>
      </x:c>
      <x:c r="B176" s="11" t="str">
        <x:f>IF(OR(D176="",SUMIF('Backlog'!$B$6:$B$25,"S1",'Backlog'!$E$6:$E$25)=0,Burndown!$B$5="",Burndown!$C$5=""),"",MAX(0,SUMIF('Backlog'!$B$6:$B$25,"S1",'Backlog'!$E$6:$E$25)-SUMIFS('Work Log'!$D$6:$D$205,'Work Log'!$E$6:$E$205,"S1",'Work Log'!$A$6:$A$205,"&lt;="&amp;D176)))</x:f>
      </x:c>
      <x:c r="C176" s="11" t="str">
        <x:f>IF(OR(D176="",SUMIF('Backlog'!$B$6:$B$25,"S1",'Backlog'!$E$6:$E$25)=0,Burndown!$B$5="",Burndown!$C$5="",Burndown!$C$5&lt;=Burndown!$B$5),"",MAX(0,SUMIF('Backlog'!$B$6:$B$25,"S1",'Backlog'!$E$6:$E$25)*(Burndown!$C$5-D176)/(Burndown!$C$5-Burndown!$B$5)))</x:f>
      </x:c>
      <x:c r="D176" s="10" t="str">
        <x:f>IF(OR('Work Log'!$E$179&lt;&gt;"S1",'Work Log'!$A$179=""),"",'Work Log'!$A$179)</x:f>
      </x:c>
      <x:c r="E176" t="str">
        <x:f>IF(H176="","",TEXT(H176,"mm/dd/yy"))</x:f>
      </x:c>
      <x:c r="F176" s="11" t="str">
        <x:f>IF(OR(H176="",SUMIF('Backlog'!$B$6:$B$25,"S2",'Backlog'!$E$6:$E$25)=0,Burndown!$B$6="",Burndown!$C$6=""),"",MAX(0,SUMIF('Backlog'!$B$6:$B$25,"S2",'Backlog'!$E$6:$E$25)-SUMIFS('Work Log'!$D$6:$D$205,'Work Log'!$E$6:$E$205,"S2",'Work Log'!$A$6:$A$205,"&lt;="&amp;H176)))</x:f>
      </x:c>
      <x:c r="G176" s="11" t="str">
        <x:f>IF(OR(H176="",SUMIF('Backlog'!$B$6:$B$25,"S2",'Backlog'!$E$6:$E$25)=0,Burndown!$B$6="",Burndown!$C$6="",Burndown!$C$6&lt;=Burndown!$B$6),"",MAX(0,SUMIF('Backlog'!$B$6:$B$25,"S2",'Backlog'!$E$6:$E$25)*(Burndown!$C$6-H176)/(Burndown!$C$6-Burndown!$B$6)))</x:f>
      </x:c>
      <x:c r="H176" s="10" t="str">
        <x:f>IF(OR('Work Log'!$E$179&lt;&gt;"S2",'Work Log'!$A$179=""),"",'Work Log'!$A$179)</x:f>
      </x:c>
      <x:c r="I176" t="str">
        <x:f>IF(L176="","",TEXT(L176,"mm/dd/yy"))</x:f>
      </x:c>
      <x:c r="J176" s="11" t="str">
        <x:f>IF(OR(L176="",SUMIF('Backlog'!$B$6:$B$25,"S3",'Backlog'!$E$6:$E$25)=0,Burndown!$B$7="",Burndown!$C$7=""),"",MAX(0,SUMIF('Backlog'!$B$6:$B$25,"S3",'Backlog'!$E$6:$E$25)-SUMIFS('Work Log'!$D$6:$D$205,'Work Log'!$E$6:$E$205,"S3",'Work Log'!$A$6:$A$205,"&lt;="&amp;L176)))</x:f>
      </x:c>
      <x:c r="K176" s="11" t="str">
        <x:f>IF(OR(L176="",SUMIF('Backlog'!$B$6:$B$25,"S3",'Backlog'!$E$6:$E$25)=0,Burndown!$B$7="",Burndown!$C$7="",Burndown!$C$7&lt;=Burndown!$B$7),"",MAX(0,SUMIF('Backlog'!$B$6:$B$25,"S3",'Backlog'!$E$6:$E$25)*(Burndown!$C$7-L176)/(Burndown!$C$7-Burndown!$B$7)))</x:f>
      </x:c>
      <x:c r="L176" s="10" t="str">
        <x:f>IF(OR('Work Log'!$E$179&lt;&gt;"S3",'Work Log'!$A$179=""),"",'Work Log'!$A$179)</x:f>
      </x:c>
      <x:c r="M176" t="str">
        <x:f>IF(P176="","",TEXT(P176,"mm/dd/yy"))</x:f>
      </x:c>
      <x:c r="N176" s="11" t="str">
        <x:f>IF(OR(P176="",SUMIF('Backlog'!$B$6:$B$25,"S4",'Backlog'!$E$6:$E$25)=0,Burndown!$B$8="",Burndown!$C$8=""),"",MAX(0,SUMIF('Backlog'!$B$6:$B$25,"S4",'Backlog'!$E$6:$E$25)-SUMIFS('Work Log'!$D$6:$D$205,'Work Log'!$E$6:$E$205,"S4",'Work Log'!$A$6:$A$205,"&lt;="&amp;P176)))</x:f>
      </x:c>
      <x:c r="O176" s="11" t="str">
        <x:f>IF(OR(P176="",SUMIF('Backlog'!$B$6:$B$25,"S4",'Backlog'!$E$6:$E$25)=0,Burndown!$B$8="",Burndown!$C$8="",Burndown!$C$8&lt;=Burndown!$B$8),"",MAX(0,SUMIF('Backlog'!$B$6:$B$25,"S4",'Backlog'!$E$6:$E$25)*(Burndown!$C$8-P176)/(Burndown!$C$8-Burndown!$B$8)))</x:f>
      </x:c>
      <x:c r="P176" s="10" t="str">
        <x:f>IF(OR('Work Log'!$E$179&lt;&gt;"S4",'Work Log'!$A$179=""),"",'Work Log'!$A$179)</x:f>
      </x:c>
      <x:c r="Q176" t="str">
        <x:f>IF(T176="","",TEXT(T176,"mm/dd/yy"))</x:f>
      </x:c>
      <x:c r="R176" s="11" t="str">
        <x:f>IF(OR(T176="",SUMIF('Backlog'!$B$6:$B$25,"S5",'Backlog'!$E$6:$E$25)=0,Burndown!$B$9="",Burndown!$C$9=""),"",MAX(0,SUMIF('Backlog'!$B$6:$B$25,"S5",'Backlog'!$E$6:$E$25)-SUMIFS('Work Log'!$D$6:$D$205,'Work Log'!$E$6:$E$205,"S5",'Work Log'!$A$6:$A$205,"&lt;="&amp;T176)))</x:f>
      </x:c>
      <x:c r="S176" s="11" t="str">
        <x:f>IF(OR(T176="",SUMIF('Backlog'!$B$6:$B$25,"S5",'Backlog'!$E$6:$E$25)=0,Burndown!$B$9="",Burndown!$C$9="",Burndown!$C$9&lt;=Burndown!$B$9),"",MAX(0,SUMIF('Backlog'!$B$6:$B$25,"S5",'Backlog'!$E$6:$E$25)*(Burndown!$C$9-T176)/(Burndown!$C$9-Burndown!$B$9)))</x:f>
      </x:c>
      <x:c r="T176" s="10" t="str">
        <x:f>IF(OR('Work Log'!$E$179&lt;&gt;"S5",'Work Log'!$A$179=""),"",'Work Log'!$A$179)</x:f>
      </x:c>
    </x:row>
    <x:row r="177">
      <x:c r="A177" t="str">
        <x:f>IF(D177="","",TEXT(D177,"mm/dd/yy"))</x:f>
      </x:c>
      <x:c r="B177" s="11" t="str">
        <x:f>IF(OR(D177="",SUMIF('Backlog'!$B$6:$B$25,"S1",'Backlog'!$E$6:$E$25)=0,Burndown!$B$5="",Burndown!$C$5=""),"",MAX(0,SUMIF('Backlog'!$B$6:$B$25,"S1",'Backlog'!$E$6:$E$25)-SUMIFS('Work Log'!$D$6:$D$205,'Work Log'!$E$6:$E$205,"S1",'Work Log'!$A$6:$A$205,"&lt;="&amp;D177)))</x:f>
      </x:c>
      <x:c r="C177" s="11" t="str">
        <x:f>IF(OR(D177="",SUMIF('Backlog'!$B$6:$B$25,"S1",'Backlog'!$E$6:$E$25)=0,Burndown!$B$5="",Burndown!$C$5="",Burndown!$C$5&lt;=Burndown!$B$5),"",MAX(0,SUMIF('Backlog'!$B$6:$B$25,"S1",'Backlog'!$E$6:$E$25)*(Burndown!$C$5-D177)/(Burndown!$C$5-Burndown!$B$5)))</x:f>
      </x:c>
      <x:c r="D177" s="10" t="str">
        <x:f>IF(OR('Work Log'!$E$180&lt;&gt;"S1",'Work Log'!$A$180=""),"",'Work Log'!$A$180)</x:f>
      </x:c>
      <x:c r="E177" t="str">
        <x:f>IF(H177="","",TEXT(H177,"mm/dd/yy"))</x:f>
      </x:c>
      <x:c r="F177" s="11" t="str">
        <x:f>IF(OR(H177="",SUMIF('Backlog'!$B$6:$B$25,"S2",'Backlog'!$E$6:$E$25)=0,Burndown!$B$6="",Burndown!$C$6=""),"",MAX(0,SUMIF('Backlog'!$B$6:$B$25,"S2",'Backlog'!$E$6:$E$25)-SUMIFS('Work Log'!$D$6:$D$205,'Work Log'!$E$6:$E$205,"S2",'Work Log'!$A$6:$A$205,"&lt;="&amp;H177)))</x:f>
      </x:c>
      <x:c r="G177" s="11" t="str">
        <x:f>IF(OR(H177="",SUMIF('Backlog'!$B$6:$B$25,"S2",'Backlog'!$E$6:$E$25)=0,Burndown!$B$6="",Burndown!$C$6="",Burndown!$C$6&lt;=Burndown!$B$6),"",MAX(0,SUMIF('Backlog'!$B$6:$B$25,"S2",'Backlog'!$E$6:$E$25)*(Burndown!$C$6-H177)/(Burndown!$C$6-Burndown!$B$6)))</x:f>
      </x:c>
      <x:c r="H177" s="10" t="str">
        <x:f>IF(OR('Work Log'!$E$180&lt;&gt;"S2",'Work Log'!$A$180=""),"",'Work Log'!$A$180)</x:f>
      </x:c>
      <x:c r="I177" t="str">
        <x:f>IF(L177="","",TEXT(L177,"mm/dd/yy"))</x:f>
      </x:c>
      <x:c r="J177" s="11" t="str">
        <x:f>IF(OR(L177="",SUMIF('Backlog'!$B$6:$B$25,"S3",'Backlog'!$E$6:$E$25)=0,Burndown!$B$7="",Burndown!$C$7=""),"",MAX(0,SUMIF('Backlog'!$B$6:$B$25,"S3",'Backlog'!$E$6:$E$25)-SUMIFS('Work Log'!$D$6:$D$205,'Work Log'!$E$6:$E$205,"S3",'Work Log'!$A$6:$A$205,"&lt;="&amp;L177)))</x:f>
      </x:c>
      <x:c r="K177" s="11" t="str">
        <x:f>IF(OR(L177="",SUMIF('Backlog'!$B$6:$B$25,"S3",'Backlog'!$E$6:$E$25)=0,Burndown!$B$7="",Burndown!$C$7="",Burndown!$C$7&lt;=Burndown!$B$7),"",MAX(0,SUMIF('Backlog'!$B$6:$B$25,"S3",'Backlog'!$E$6:$E$25)*(Burndown!$C$7-L177)/(Burndown!$C$7-Burndown!$B$7)))</x:f>
      </x:c>
      <x:c r="L177" s="10" t="str">
        <x:f>IF(OR('Work Log'!$E$180&lt;&gt;"S3",'Work Log'!$A$180=""),"",'Work Log'!$A$180)</x:f>
      </x:c>
      <x:c r="M177" t="str">
        <x:f>IF(P177="","",TEXT(P177,"mm/dd/yy"))</x:f>
      </x:c>
      <x:c r="N177" s="11" t="str">
        <x:f>IF(OR(P177="",SUMIF('Backlog'!$B$6:$B$25,"S4",'Backlog'!$E$6:$E$25)=0,Burndown!$B$8="",Burndown!$C$8=""),"",MAX(0,SUMIF('Backlog'!$B$6:$B$25,"S4",'Backlog'!$E$6:$E$25)-SUMIFS('Work Log'!$D$6:$D$205,'Work Log'!$E$6:$E$205,"S4",'Work Log'!$A$6:$A$205,"&lt;="&amp;P177)))</x:f>
      </x:c>
      <x:c r="O177" s="11" t="str">
        <x:f>IF(OR(P177="",SUMIF('Backlog'!$B$6:$B$25,"S4",'Backlog'!$E$6:$E$25)=0,Burndown!$B$8="",Burndown!$C$8="",Burndown!$C$8&lt;=Burndown!$B$8),"",MAX(0,SUMIF('Backlog'!$B$6:$B$25,"S4",'Backlog'!$E$6:$E$25)*(Burndown!$C$8-P177)/(Burndown!$C$8-Burndown!$B$8)))</x:f>
      </x:c>
      <x:c r="P177" s="10" t="str">
        <x:f>IF(OR('Work Log'!$E$180&lt;&gt;"S4",'Work Log'!$A$180=""),"",'Work Log'!$A$180)</x:f>
      </x:c>
      <x:c r="Q177" t="str">
        <x:f>IF(T177="","",TEXT(T177,"mm/dd/yy"))</x:f>
      </x:c>
      <x:c r="R177" s="11" t="str">
        <x:f>IF(OR(T177="",SUMIF('Backlog'!$B$6:$B$25,"S5",'Backlog'!$E$6:$E$25)=0,Burndown!$B$9="",Burndown!$C$9=""),"",MAX(0,SUMIF('Backlog'!$B$6:$B$25,"S5",'Backlog'!$E$6:$E$25)-SUMIFS('Work Log'!$D$6:$D$205,'Work Log'!$E$6:$E$205,"S5",'Work Log'!$A$6:$A$205,"&lt;="&amp;T177)))</x:f>
      </x:c>
      <x:c r="S177" s="11" t="str">
        <x:f>IF(OR(T177="",SUMIF('Backlog'!$B$6:$B$25,"S5",'Backlog'!$E$6:$E$25)=0,Burndown!$B$9="",Burndown!$C$9="",Burndown!$C$9&lt;=Burndown!$B$9),"",MAX(0,SUMIF('Backlog'!$B$6:$B$25,"S5",'Backlog'!$E$6:$E$25)*(Burndown!$C$9-T177)/(Burndown!$C$9-Burndown!$B$9)))</x:f>
      </x:c>
      <x:c r="T177" s="10" t="str">
        <x:f>IF(OR('Work Log'!$E$180&lt;&gt;"S5",'Work Log'!$A$180=""),"",'Work Log'!$A$180)</x:f>
      </x:c>
    </x:row>
    <x:row r="178">
      <x:c r="A178" t="str">
        <x:f>IF(D178="","",TEXT(D178,"mm/dd/yy"))</x:f>
      </x:c>
      <x:c r="B178" s="11" t="str">
        <x:f>IF(OR(D178="",SUMIF('Backlog'!$B$6:$B$25,"S1",'Backlog'!$E$6:$E$25)=0,Burndown!$B$5="",Burndown!$C$5=""),"",MAX(0,SUMIF('Backlog'!$B$6:$B$25,"S1",'Backlog'!$E$6:$E$25)-SUMIFS('Work Log'!$D$6:$D$205,'Work Log'!$E$6:$E$205,"S1",'Work Log'!$A$6:$A$205,"&lt;="&amp;D178)))</x:f>
      </x:c>
      <x:c r="C178" s="11" t="str">
        <x:f>IF(OR(D178="",SUMIF('Backlog'!$B$6:$B$25,"S1",'Backlog'!$E$6:$E$25)=0,Burndown!$B$5="",Burndown!$C$5="",Burndown!$C$5&lt;=Burndown!$B$5),"",MAX(0,SUMIF('Backlog'!$B$6:$B$25,"S1",'Backlog'!$E$6:$E$25)*(Burndown!$C$5-D178)/(Burndown!$C$5-Burndown!$B$5)))</x:f>
      </x:c>
      <x:c r="D178" s="10" t="str">
        <x:f>IF(OR('Work Log'!$E$181&lt;&gt;"S1",'Work Log'!$A$181=""),"",'Work Log'!$A$181)</x:f>
      </x:c>
      <x:c r="E178" t="str">
        <x:f>IF(H178="","",TEXT(H178,"mm/dd/yy"))</x:f>
      </x:c>
      <x:c r="F178" s="11" t="str">
        <x:f>IF(OR(H178="",SUMIF('Backlog'!$B$6:$B$25,"S2",'Backlog'!$E$6:$E$25)=0,Burndown!$B$6="",Burndown!$C$6=""),"",MAX(0,SUMIF('Backlog'!$B$6:$B$25,"S2",'Backlog'!$E$6:$E$25)-SUMIFS('Work Log'!$D$6:$D$205,'Work Log'!$E$6:$E$205,"S2",'Work Log'!$A$6:$A$205,"&lt;="&amp;H178)))</x:f>
      </x:c>
      <x:c r="G178" s="11" t="str">
        <x:f>IF(OR(H178="",SUMIF('Backlog'!$B$6:$B$25,"S2",'Backlog'!$E$6:$E$25)=0,Burndown!$B$6="",Burndown!$C$6="",Burndown!$C$6&lt;=Burndown!$B$6),"",MAX(0,SUMIF('Backlog'!$B$6:$B$25,"S2",'Backlog'!$E$6:$E$25)*(Burndown!$C$6-H178)/(Burndown!$C$6-Burndown!$B$6)))</x:f>
      </x:c>
      <x:c r="H178" s="10" t="str">
        <x:f>IF(OR('Work Log'!$E$181&lt;&gt;"S2",'Work Log'!$A$181=""),"",'Work Log'!$A$181)</x:f>
      </x:c>
      <x:c r="I178" t="str">
        <x:f>IF(L178="","",TEXT(L178,"mm/dd/yy"))</x:f>
      </x:c>
      <x:c r="J178" s="11" t="str">
        <x:f>IF(OR(L178="",SUMIF('Backlog'!$B$6:$B$25,"S3",'Backlog'!$E$6:$E$25)=0,Burndown!$B$7="",Burndown!$C$7=""),"",MAX(0,SUMIF('Backlog'!$B$6:$B$25,"S3",'Backlog'!$E$6:$E$25)-SUMIFS('Work Log'!$D$6:$D$205,'Work Log'!$E$6:$E$205,"S3",'Work Log'!$A$6:$A$205,"&lt;="&amp;L178)))</x:f>
      </x:c>
      <x:c r="K178" s="11" t="str">
        <x:f>IF(OR(L178="",SUMIF('Backlog'!$B$6:$B$25,"S3",'Backlog'!$E$6:$E$25)=0,Burndown!$B$7="",Burndown!$C$7="",Burndown!$C$7&lt;=Burndown!$B$7),"",MAX(0,SUMIF('Backlog'!$B$6:$B$25,"S3",'Backlog'!$E$6:$E$25)*(Burndown!$C$7-L178)/(Burndown!$C$7-Burndown!$B$7)))</x:f>
      </x:c>
      <x:c r="L178" s="10" t="str">
        <x:f>IF(OR('Work Log'!$E$181&lt;&gt;"S3",'Work Log'!$A$181=""),"",'Work Log'!$A$181)</x:f>
      </x:c>
      <x:c r="M178" t="str">
        <x:f>IF(P178="","",TEXT(P178,"mm/dd/yy"))</x:f>
      </x:c>
      <x:c r="N178" s="11" t="str">
        <x:f>IF(OR(P178="",SUMIF('Backlog'!$B$6:$B$25,"S4",'Backlog'!$E$6:$E$25)=0,Burndown!$B$8="",Burndown!$C$8=""),"",MAX(0,SUMIF('Backlog'!$B$6:$B$25,"S4",'Backlog'!$E$6:$E$25)-SUMIFS('Work Log'!$D$6:$D$205,'Work Log'!$E$6:$E$205,"S4",'Work Log'!$A$6:$A$205,"&lt;="&amp;P178)))</x:f>
      </x:c>
      <x:c r="O178" s="11" t="str">
        <x:f>IF(OR(P178="",SUMIF('Backlog'!$B$6:$B$25,"S4",'Backlog'!$E$6:$E$25)=0,Burndown!$B$8="",Burndown!$C$8="",Burndown!$C$8&lt;=Burndown!$B$8),"",MAX(0,SUMIF('Backlog'!$B$6:$B$25,"S4",'Backlog'!$E$6:$E$25)*(Burndown!$C$8-P178)/(Burndown!$C$8-Burndown!$B$8)))</x:f>
      </x:c>
      <x:c r="P178" s="10" t="str">
        <x:f>IF(OR('Work Log'!$E$181&lt;&gt;"S4",'Work Log'!$A$181=""),"",'Work Log'!$A$181)</x:f>
      </x:c>
      <x:c r="Q178" t="str">
        <x:f>IF(T178="","",TEXT(T178,"mm/dd/yy"))</x:f>
      </x:c>
      <x:c r="R178" s="11" t="str">
        <x:f>IF(OR(T178="",SUMIF('Backlog'!$B$6:$B$25,"S5",'Backlog'!$E$6:$E$25)=0,Burndown!$B$9="",Burndown!$C$9=""),"",MAX(0,SUMIF('Backlog'!$B$6:$B$25,"S5",'Backlog'!$E$6:$E$25)-SUMIFS('Work Log'!$D$6:$D$205,'Work Log'!$E$6:$E$205,"S5",'Work Log'!$A$6:$A$205,"&lt;="&amp;T178)))</x:f>
      </x:c>
      <x:c r="S178" s="11" t="str">
        <x:f>IF(OR(T178="",SUMIF('Backlog'!$B$6:$B$25,"S5",'Backlog'!$E$6:$E$25)=0,Burndown!$B$9="",Burndown!$C$9="",Burndown!$C$9&lt;=Burndown!$B$9),"",MAX(0,SUMIF('Backlog'!$B$6:$B$25,"S5",'Backlog'!$E$6:$E$25)*(Burndown!$C$9-T178)/(Burndown!$C$9-Burndown!$B$9)))</x:f>
      </x:c>
      <x:c r="T178" s="10" t="str">
        <x:f>IF(OR('Work Log'!$E$181&lt;&gt;"S5",'Work Log'!$A$181=""),"",'Work Log'!$A$181)</x:f>
      </x:c>
    </x:row>
    <x:row r="179">
      <x:c r="A179" t="str">
        <x:f>IF(D179="","",TEXT(D179,"mm/dd/yy"))</x:f>
      </x:c>
      <x:c r="B179" s="11" t="str">
        <x:f>IF(OR(D179="",SUMIF('Backlog'!$B$6:$B$25,"S1",'Backlog'!$E$6:$E$25)=0,Burndown!$B$5="",Burndown!$C$5=""),"",MAX(0,SUMIF('Backlog'!$B$6:$B$25,"S1",'Backlog'!$E$6:$E$25)-SUMIFS('Work Log'!$D$6:$D$205,'Work Log'!$E$6:$E$205,"S1",'Work Log'!$A$6:$A$205,"&lt;="&amp;D179)))</x:f>
      </x:c>
      <x:c r="C179" s="11" t="str">
        <x:f>IF(OR(D179="",SUMIF('Backlog'!$B$6:$B$25,"S1",'Backlog'!$E$6:$E$25)=0,Burndown!$B$5="",Burndown!$C$5="",Burndown!$C$5&lt;=Burndown!$B$5),"",MAX(0,SUMIF('Backlog'!$B$6:$B$25,"S1",'Backlog'!$E$6:$E$25)*(Burndown!$C$5-D179)/(Burndown!$C$5-Burndown!$B$5)))</x:f>
      </x:c>
      <x:c r="D179" s="10" t="str">
        <x:f>IF(OR('Work Log'!$E$182&lt;&gt;"S1",'Work Log'!$A$182=""),"",'Work Log'!$A$182)</x:f>
      </x:c>
      <x:c r="E179" t="str">
        <x:f>IF(H179="","",TEXT(H179,"mm/dd/yy"))</x:f>
      </x:c>
      <x:c r="F179" s="11" t="str">
        <x:f>IF(OR(H179="",SUMIF('Backlog'!$B$6:$B$25,"S2",'Backlog'!$E$6:$E$25)=0,Burndown!$B$6="",Burndown!$C$6=""),"",MAX(0,SUMIF('Backlog'!$B$6:$B$25,"S2",'Backlog'!$E$6:$E$25)-SUMIFS('Work Log'!$D$6:$D$205,'Work Log'!$E$6:$E$205,"S2",'Work Log'!$A$6:$A$205,"&lt;="&amp;H179)))</x:f>
      </x:c>
      <x:c r="G179" s="11" t="str">
        <x:f>IF(OR(H179="",SUMIF('Backlog'!$B$6:$B$25,"S2",'Backlog'!$E$6:$E$25)=0,Burndown!$B$6="",Burndown!$C$6="",Burndown!$C$6&lt;=Burndown!$B$6),"",MAX(0,SUMIF('Backlog'!$B$6:$B$25,"S2",'Backlog'!$E$6:$E$25)*(Burndown!$C$6-H179)/(Burndown!$C$6-Burndown!$B$6)))</x:f>
      </x:c>
      <x:c r="H179" s="10" t="str">
        <x:f>IF(OR('Work Log'!$E$182&lt;&gt;"S2",'Work Log'!$A$182=""),"",'Work Log'!$A$182)</x:f>
      </x:c>
      <x:c r="I179" t="str">
        <x:f>IF(L179="","",TEXT(L179,"mm/dd/yy"))</x:f>
      </x:c>
      <x:c r="J179" s="11" t="str">
        <x:f>IF(OR(L179="",SUMIF('Backlog'!$B$6:$B$25,"S3",'Backlog'!$E$6:$E$25)=0,Burndown!$B$7="",Burndown!$C$7=""),"",MAX(0,SUMIF('Backlog'!$B$6:$B$25,"S3",'Backlog'!$E$6:$E$25)-SUMIFS('Work Log'!$D$6:$D$205,'Work Log'!$E$6:$E$205,"S3",'Work Log'!$A$6:$A$205,"&lt;="&amp;L179)))</x:f>
      </x:c>
      <x:c r="K179" s="11" t="str">
        <x:f>IF(OR(L179="",SUMIF('Backlog'!$B$6:$B$25,"S3",'Backlog'!$E$6:$E$25)=0,Burndown!$B$7="",Burndown!$C$7="",Burndown!$C$7&lt;=Burndown!$B$7),"",MAX(0,SUMIF('Backlog'!$B$6:$B$25,"S3",'Backlog'!$E$6:$E$25)*(Burndown!$C$7-L179)/(Burndown!$C$7-Burndown!$B$7)))</x:f>
      </x:c>
      <x:c r="L179" s="10" t="str">
        <x:f>IF(OR('Work Log'!$E$182&lt;&gt;"S3",'Work Log'!$A$182=""),"",'Work Log'!$A$182)</x:f>
      </x:c>
      <x:c r="M179" t="str">
        <x:f>IF(P179="","",TEXT(P179,"mm/dd/yy"))</x:f>
      </x:c>
      <x:c r="N179" s="11" t="str">
        <x:f>IF(OR(P179="",SUMIF('Backlog'!$B$6:$B$25,"S4",'Backlog'!$E$6:$E$25)=0,Burndown!$B$8="",Burndown!$C$8=""),"",MAX(0,SUMIF('Backlog'!$B$6:$B$25,"S4",'Backlog'!$E$6:$E$25)-SUMIFS('Work Log'!$D$6:$D$205,'Work Log'!$E$6:$E$205,"S4",'Work Log'!$A$6:$A$205,"&lt;="&amp;P179)))</x:f>
      </x:c>
      <x:c r="O179" s="11" t="str">
        <x:f>IF(OR(P179="",SUMIF('Backlog'!$B$6:$B$25,"S4",'Backlog'!$E$6:$E$25)=0,Burndown!$B$8="",Burndown!$C$8="",Burndown!$C$8&lt;=Burndown!$B$8),"",MAX(0,SUMIF('Backlog'!$B$6:$B$25,"S4",'Backlog'!$E$6:$E$25)*(Burndown!$C$8-P179)/(Burndown!$C$8-Burndown!$B$8)))</x:f>
      </x:c>
      <x:c r="P179" s="10" t="str">
        <x:f>IF(OR('Work Log'!$E$182&lt;&gt;"S4",'Work Log'!$A$182=""),"",'Work Log'!$A$182)</x:f>
      </x:c>
      <x:c r="Q179" t="str">
        <x:f>IF(T179="","",TEXT(T179,"mm/dd/yy"))</x:f>
      </x:c>
      <x:c r="R179" s="11" t="str">
        <x:f>IF(OR(T179="",SUMIF('Backlog'!$B$6:$B$25,"S5",'Backlog'!$E$6:$E$25)=0,Burndown!$B$9="",Burndown!$C$9=""),"",MAX(0,SUMIF('Backlog'!$B$6:$B$25,"S5",'Backlog'!$E$6:$E$25)-SUMIFS('Work Log'!$D$6:$D$205,'Work Log'!$E$6:$E$205,"S5",'Work Log'!$A$6:$A$205,"&lt;="&amp;T179)))</x:f>
      </x:c>
      <x:c r="S179" s="11" t="str">
        <x:f>IF(OR(T179="",SUMIF('Backlog'!$B$6:$B$25,"S5",'Backlog'!$E$6:$E$25)=0,Burndown!$B$9="",Burndown!$C$9="",Burndown!$C$9&lt;=Burndown!$B$9),"",MAX(0,SUMIF('Backlog'!$B$6:$B$25,"S5",'Backlog'!$E$6:$E$25)*(Burndown!$C$9-T179)/(Burndown!$C$9-Burndown!$B$9)))</x:f>
      </x:c>
      <x:c r="T179" s="10" t="str">
        <x:f>IF(OR('Work Log'!$E$182&lt;&gt;"S5",'Work Log'!$A$182=""),"",'Work Log'!$A$182)</x:f>
      </x:c>
    </x:row>
    <x:row r="180">
      <x:c r="A180" t="str">
        <x:f>IF(D180="","",TEXT(D180,"mm/dd/yy"))</x:f>
      </x:c>
      <x:c r="B180" s="11" t="str">
        <x:f>IF(OR(D180="",SUMIF('Backlog'!$B$6:$B$25,"S1",'Backlog'!$E$6:$E$25)=0,Burndown!$B$5="",Burndown!$C$5=""),"",MAX(0,SUMIF('Backlog'!$B$6:$B$25,"S1",'Backlog'!$E$6:$E$25)-SUMIFS('Work Log'!$D$6:$D$205,'Work Log'!$E$6:$E$205,"S1",'Work Log'!$A$6:$A$205,"&lt;="&amp;D180)))</x:f>
      </x:c>
      <x:c r="C180" s="11" t="str">
        <x:f>IF(OR(D180="",SUMIF('Backlog'!$B$6:$B$25,"S1",'Backlog'!$E$6:$E$25)=0,Burndown!$B$5="",Burndown!$C$5="",Burndown!$C$5&lt;=Burndown!$B$5),"",MAX(0,SUMIF('Backlog'!$B$6:$B$25,"S1",'Backlog'!$E$6:$E$25)*(Burndown!$C$5-D180)/(Burndown!$C$5-Burndown!$B$5)))</x:f>
      </x:c>
      <x:c r="D180" s="10" t="str">
        <x:f>IF(OR('Work Log'!$E$183&lt;&gt;"S1",'Work Log'!$A$183=""),"",'Work Log'!$A$183)</x:f>
      </x:c>
      <x:c r="E180" t="str">
        <x:f>IF(H180="","",TEXT(H180,"mm/dd/yy"))</x:f>
      </x:c>
      <x:c r="F180" s="11" t="str">
        <x:f>IF(OR(H180="",SUMIF('Backlog'!$B$6:$B$25,"S2",'Backlog'!$E$6:$E$25)=0,Burndown!$B$6="",Burndown!$C$6=""),"",MAX(0,SUMIF('Backlog'!$B$6:$B$25,"S2",'Backlog'!$E$6:$E$25)-SUMIFS('Work Log'!$D$6:$D$205,'Work Log'!$E$6:$E$205,"S2",'Work Log'!$A$6:$A$205,"&lt;="&amp;H180)))</x:f>
      </x:c>
      <x:c r="G180" s="11" t="str">
        <x:f>IF(OR(H180="",SUMIF('Backlog'!$B$6:$B$25,"S2",'Backlog'!$E$6:$E$25)=0,Burndown!$B$6="",Burndown!$C$6="",Burndown!$C$6&lt;=Burndown!$B$6),"",MAX(0,SUMIF('Backlog'!$B$6:$B$25,"S2",'Backlog'!$E$6:$E$25)*(Burndown!$C$6-H180)/(Burndown!$C$6-Burndown!$B$6)))</x:f>
      </x:c>
      <x:c r="H180" s="10" t="str">
        <x:f>IF(OR('Work Log'!$E$183&lt;&gt;"S2",'Work Log'!$A$183=""),"",'Work Log'!$A$183)</x:f>
      </x:c>
      <x:c r="I180" t="str">
        <x:f>IF(L180="","",TEXT(L180,"mm/dd/yy"))</x:f>
      </x:c>
      <x:c r="J180" s="11" t="str">
        <x:f>IF(OR(L180="",SUMIF('Backlog'!$B$6:$B$25,"S3",'Backlog'!$E$6:$E$25)=0,Burndown!$B$7="",Burndown!$C$7=""),"",MAX(0,SUMIF('Backlog'!$B$6:$B$25,"S3",'Backlog'!$E$6:$E$25)-SUMIFS('Work Log'!$D$6:$D$205,'Work Log'!$E$6:$E$205,"S3",'Work Log'!$A$6:$A$205,"&lt;="&amp;L180)))</x:f>
      </x:c>
      <x:c r="K180" s="11" t="str">
        <x:f>IF(OR(L180="",SUMIF('Backlog'!$B$6:$B$25,"S3",'Backlog'!$E$6:$E$25)=0,Burndown!$B$7="",Burndown!$C$7="",Burndown!$C$7&lt;=Burndown!$B$7),"",MAX(0,SUMIF('Backlog'!$B$6:$B$25,"S3",'Backlog'!$E$6:$E$25)*(Burndown!$C$7-L180)/(Burndown!$C$7-Burndown!$B$7)))</x:f>
      </x:c>
      <x:c r="L180" s="10" t="str">
        <x:f>IF(OR('Work Log'!$E$183&lt;&gt;"S3",'Work Log'!$A$183=""),"",'Work Log'!$A$183)</x:f>
      </x:c>
      <x:c r="M180" t="str">
        <x:f>IF(P180="","",TEXT(P180,"mm/dd/yy"))</x:f>
      </x:c>
      <x:c r="N180" s="11" t="str">
        <x:f>IF(OR(P180="",SUMIF('Backlog'!$B$6:$B$25,"S4",'Backlog'!$E$6:$E$25)=0,Burndown!$B$8="",Burndown!$C$8=""),"",MAX(0,SUMIF('Backlog'!$B$6:$B$25,"S4",'Backlog'!$E$6:$E$25)-SUMIFS('Work Log'!$D$6:$D$205,'Work Log'!$E$6:$E$205,"S4",'Work Log'!$A$6:$A$205,"&lt;="&amp;P180)))</x:f>
      </x:c>
      <x:c r="O180" s="11" t="str">
        <x:f>IF(OR(P180="",SUMIF('Backlog'!$B$6:$B$25,"S4",'Backlog'!$E$6:$E$25)=0,Burndown!$B$8="",Burndown!$C$8="",Burndown!$C$8&lt;=Burndown!$B$8),"",MAX(0,SUMIF('Backlog'!$B$6:$B$25,"S4",'Backlog'!$E$6:$E$25)*(Burndown!$C$8-P180)/(Burndown!$C$8-Burndown!$B$8)))</x:f>
      </x:c>
      <x:c r="P180" s="10" t="str">
        <x:f>IF(OR('Work Log'!$E$183&lt;&gt;"S4",'Work Log'!$A$183=""),"",'Work Log'!$A$183)</x:f>
      </x:c>
      <x:c r="Q180" t="str">
        <x:f>IF(T180="","",TEXT(T180,"mm/dd/yy"))</x:f>
      </x:c>
      <x:c r="R180" s="11" t="str">
        <x:f>IF(OR(T180="",SUMIF('Backlog'!$B$6:$B$25,"S5",'Backlog'!$E$6:$E$25)=0,Burndown!$B$9="",Burndown!$C$9=""),"",MAX(0,SUMIF('Backlog'!$B$6:$B$25,"S5",'Backlog'!$E$6:$E$25)-SUMIFS('Work Log'!$D$6:$D$205,'Work Log'!$E$6:$E$205,"S5",'Work Log'!$A$6:$A$205,"&lt;="&amp;T180)))</x:f>
      </x:c>
      <x:c r="S180" s="11" t="str">
        <x:f>IF(OR(T180="",SUMIF('Backlog'!$B$6:$B$25,"S5",'Backlog'!$E$6:$E$25)=0,Burndown!$B$9="",Burndown!$C$9="",Burndown!$C$9&lt;=Burndown!$B$9),"",MAX(0,SUMIF('Backlog'!$B$6:$B$25,"S5",'Backlog'!$E$6:$E$25)*(Burndown!$C$9-T180)/(Burndown!$C$9-Burndown!$B$9)))</x:f>
      </x:c>
      <x:c r="T180" s="10" t="str">
        <x:f>IF(OR('Work Log'!$E$183&lt;&gt;"S5",'Work Log'!$A$183=""),"",'Work Log'!$A$183)</x:f>
      </x:c>
    </x:row>
    <x:row r="181">
      <x:c r="A181" t="str">
        <x:f>IF(D181="","",TEXT(D181,"mm/dd/yy"))</x:f>
      </x:c>
      <x:c r="B181" s="11" t="str">
        <x:f>IF(OR(D181="",SUMIF('Backlog'!$B$6:$B$25,"S1",'Backlog'!$E$6:$E$25)=0,Burndown!$B$5="",Burndown!$C$5=""),"",MAX(0,SUMIF('Backlog'!$B$6:$B$25,"S1",'Backlog'!$E$6:$E$25)-SUMIFS('Work Log'!$D$6:$D$205,'Work Log'!$E$6:$E$205,"S1",'Work Log'!$A$6:$A$205,"&lt;="&amp;D181)))</x:f>
      </x:c>
      <x:c r="C181" s="11" t="str">
        <x:f>IF(OR(D181="",SUMIF('Backlog'!$B$6:$B$25,"S1",'Backlog'!$E$6:$E$25)=0,Burndown!$B$5="",Burndown!$C$5="",Burndown!$C$5&lt;=Burndown!$B$5),"",MAX(0,SUMIF('Backlog'!$B$6:$B$25,"S1",'Backlog'!$E$6:$E$25)*(Burndown!$C$5-D181)/(Burndown!$C$5-Burndown!$B$5)))</x:f>
      </x:c>
      <x:c r="D181" s="10" t="str">
        <x:f>IF(OR('Work Log'!$E$184&lt;&gt;"S1",'Work Log'!$A$184=""),"",'Work Log'!$A$184)</x:f>
      </x:c>
      <x:c r="E181" t="str">
        <x:f>IF(H181="","",TEXT(H181,"mm/dd/yy"))</x:f>
      </x:c>
      <x:c r="F181" s="11" t="str">
        <x:f>IF(OR(H181="",SUMIF('Backlog'!$B$6:$B$25,"S2",'Backlog'!$E$6:$E$25)=0,Burndown!$B$6="",Burndown!$C$6=""),"",MAX(0,SUMIF('Backlog'!$B$6:$B$25,"S2",'Backlog'!$E$6:$E$25)-SUMIFS('Work Log'!$D$6:$D$205,'Work Log'!$E$6:$E$205,"S2",'Work Log'!$A$6:$A$205,"&lt;="&amp;H181)))</x:f>
      </x:c>
      <x:c r="G181" s="11" t="str">
        <x:f>IF(OR(H181="",SUMIF('Backlog'!$B$6:$B$25,"S2",'Backlog'!$E$6:$E$25)=0,Burndown!$B$6="",Burndown!$C$6="",Burndown!$C$6&lt;=Burndown!$B$6),"",MAX(0,SUMIF('Backlog'!$B$6:$B$25,"S2",'Backlog'!$E$6:$E$25)*(Burndown!$C$6-H181)/(Burndown!$C$6-Burndown!$B$6)))</x:f>
      </x:c>
      <x:c r="H181" s="10" t="str">
        <x:f>IF(OR('Work Log'!$E$184&lt;&gt;"S2",'Work Log'!$A$184=""),"",'Work Log'!$A$184)</x:f>
      </x:c>
      <x:c r="I181" t="str">
        <x:f>IF(L181="","",TEXT(L181,"mm/dd/yy"))</x:f>
      </x:c>
      <x:c r="J181" s="11" t="str">
        <x:f>IF(OR(L181="",SUMIF('Backlog'!$B$6:$B$25,"S3",'Backlog'!$E$6:$E$25)=0,Burndown!$B$7="",Burndown!$C$7=""),"",MAX(0,SUMIF('Backlog'!$B$6:$B$25,"S3",'Backlog'!$E$6:$E$25)-SUMIFS('Work Log'!$D$6:$D$205,'Work Log'!$E$6:$E$205,"S3",'Work Log'!$A$6:$A$205,"&lt;="&amp;L181)))</x:f>
      </x:c>
      <x:c r="K181" s="11" t="str">
        <x:f>IF(OR(L181="",SUMIF('Backlog'!$B$6:$B$25,"S3",'Backlog'!$E$6:$E$25)=0,Burndown!$B$7="",Burndown!$C$7="",Burndown!$C$7&lt;=Burndown!$B$7),"",MAX(0,SUMIF('Backlog'!$B$6:$B$25,"S3",'Backlog'!$E$6:$E$25)*(Burndown!$C$7-L181)/(Burndown!$C$7-Burndown!$B$7)))</x:f>
      </x:c>
      <x:c r="L181" s="10" t="str">
        <x:f>IF(OR('Work Log'!$E$184&lt;&gt;"S3",'Work Log'!$A$184=""),"",'Work Log'!$A$184)</x:f>
      </x:c>
      <x:c r="M181" t="str">
        <x:f>IF(P181="","",TEXT(P181,"mm/dd/yy"))</x:f>
      </x:c>
      <x:c r="N181" s="11" t="str">
        <x:f>IF(OR(P181="",SUMIF('Backlog'!$B$6:$B$25,"S4",'Backlog'!$E$6:$E$25)=0,Burndown!$B$8="",Burndown!$C$8=""),"",MAX(0,SUMIF('Backlog'!$B$6:$B$25,"S4",'Backlog'!$E$6:$E$25)-SUMIFS('Work Log'!$D$6:$D$205,'Work Log'!$E$6:$E$205,"S4",'Work Log'!$A$6:$A$205,"&lt;="&amp;P181)))</x:f>
      </x:c>
      <x:c r="O181" s="11" t="str">
        <x:f>IF(OR(P181="",SUMIF('Backlog'!$B$6:$B$25,"S4",'Backlog'!$E$6:$E$25)=0,Burndown!$B$8="",Burndown!$C$8="",Burndown!$C$8&lt;=Burndown!$B$8),"",MAX(0,SUMIF('Backlog'!$B$6:$B$25,"S4",'Backlog'!$E$6:$E$25)*(Burndown!$C$8-P181)/(Burndown!$C$8-Burndown!$B$8)))</x:f>
      </x:c>
      <x:c r="P181" s="10" t="str">
        <x:f>IF(OR('Work Log'!$E$184&lt;&gt;"S4",'Work Log'!$A$184=""),"",'Work Log'!$A$184)</x:f>
      </x:c>
      <x:c r="Q181" t="str">
        <x:f>IF(T181="","",TEXT(T181,"mm/dd/yy"))</x:f>
      </x:c>
      <x:c r="R181" s="11" t="str">
        <x:f>IF(OR(T181="",SUMIF('Backlog'!$B$6:$B$25,"S5",'Backlog'!$E$6:$E$25)=0,Burndown!$B$9="",Burndown!$C$9=""),"",MAX(0,SUMIF('Backlog'!$B$6:$B$25,"S5",'Backlog'!$E$6:$E$25)-SUMIFS('Work Log'!$D$6:$D$205,'Work Log'!$E$6:$E$205,"S5",'Work Log'!$A$6:$A$205,"&lt;="&amp;T181)))</x:f>
      </x:c>
      <x:c r="S181" s="11" t="str">
        <x:f>IF(OR(T181="",SUMIF('Backlog'!$B$6:$B$25,"S5",'Backlog'!$E$6:$E$25)=0,Burndown!$B$9="",Burndown!$C$9="",Burndown!$C$9&lt;=Burndown!$B$9),"",MAX(0,SUMIF('Backlog'!$B$6:$B$25,"S5",'Backlog'!$E$6:$E$25)*(Burndown!$C$9-T181)/(Burndown!$C$9-Burndown!$B$9)))</x:f>
      </x:c>
      <x:c r="T181" s="10" t="str">
        <x:f>IF(OR('Work Log'!$E$184&lt;&gt;"S5",'Work Log'!$A$184=""),"",'Work Log'!$A$184)</x:f>
      </x:c>
    </x:row>
    <x:row r="182">
      <x:c r="A182" t="str">
        <x:f>IF(D182="","",TEXT(D182,"mm/dd/yy"))</x:f>
      </x:c>
      <x:c r="B182" s="11" t="str">
        <x:f>IF(OR(D182="",SUMIF('Backlog'!$B$6:$B$25,"S1",'Backlog'!$E$6:$E$25)=0,Burndown!$B$5="",Burndown!$C$5=""),"",MAX(0,SUMIF('Backlog'!$B$6:$B$25,"S1",'Backlog'!$E$6:$E$25)-SUMIFS('Work Log'!$D$6:$D$205,'Work Log'!$E$6:$E$205,"S1",'Work Log'!$A$6:$A$205,"&lt;="&amp;D182)))</x:f>
      </x:c>
      <x:c r="C182" s="11" t="str">
        <x:f>IF(OR(D182="",SUMIF('Backlog'!$B$6:$B$25,"S1",'Backlog'!$E$6:$E$25)=0,Burndown!$B$5="",Burndown!$C$5="",Burndown!$C$5&lt;=Burndown!$B$5),"",MAX(0,SUMIF('Backlog'!$B$6:$B$25,"S1",'Backlog'!$E$6:$E$25)*(Burndown!$C$5-D182)/(Burndown!$C$5-Burndown!$B$5)))</x:f>
      </x:c>
      <x:c r="D182" s="10" t="str">
        <x:f>IF(OR('Work Log'!$E$185&lt;&gt;"S1",'Work Log'!$A$185=""),"",'Work Log'!$A$185)</x:f>
      </x:c>
      <x:c r="E182" t="str">
        <x:f>IF(H182="","",TEXT(H182,"mm/dd/yy"))</x:f>
      </x:c>
      <x:c r="F182" s="11" t="str">
        <x:f>IF(OR(H182="",SUMIF('Backlog'!$B$6:$B$25,"S2",'Backlog'!$E$6:$E$25)=0,Burndown!$B$6="",Burndown!$C$6=""),"",MAX(0,SUMIF('Backlog'!$B$6:$B$25,"S2",'Backlog'!$E$6:$E$25)-SUMIFS('Work Log'!$D$6:$D$205,'Work Log'!$E$6:$E$205,"S2",'Work Log'!$A$6:$A$205,"&lt;="&amp;H182)))</x:f>
      </x:c>
      <x:c r="G182" s="11" t="str">
        <x:f>IF(OR(H182="",SUMIF('Backlog'!$B$6:$B$25,"S2",'Backlog'!$E$6:$E$25)=0,Burndown!$B$6="",Burndown!$C$6="",Burndown!$C$6&lt;=Burndown!$B$6),"",MAX(0,SUMIF('Backlog'!$B$6:$B$25,"S2",'Backlog'!$E$6:$E$25)*(Burndown!$C$6-H182)/(Burndown!$C$6-Burndown!$B$6)))</x:f>
      </x:c>
      <x:c r="H182" s="10" t="str">
        <x:f>IF(OR('Work Log'!$E$185&lt;&gt;"S2",'Work Log'!$A$185=""),"",'Work Log'!$A$185)</x:f>
      </x:c>
      <x:c r="I182" t="str">
        <x:f>IF(L182="","",TEXT(L182,"mm/dd/yy"))</x:f>
      </x:c>
      <x:c r="J182" s="11" t="str">
        <x:f>IF(OR(L182="",SUMIF('Backlog'!$B$6:$B$25,"S3",'Backlog'!$E$6:$E$25)=0,Burndown!$B$7="",Burndown!$C$7=""),"",MAX(0,SUMIF('Backlog'!$B$6:$B$25,"S3",'Backlog'!$E$6:$E$25)-SUMIFS('Work Log'!$D$6:$D$205,'Work Log'!$E$6:$E$205,"S3",'Work Log'!$A$6:$A$205,"&lt;="&amp;L182)))</x:f>
      </x:c>
      <x:c r="K182" s="11" t="str">
        <x:f>IF(OR(L182="",SUMIF('Backlog'!$B$6:$B$25,"S3",'Backlog'!$E$6:$E$25)=0,Burndown!$B$7="",Burndown!$C$7="",Burndown!$C$7&lt;=Burndown!$B$7),"",MAX(0,SUMIF('Backlog'!$B$6:$B$25,"S3",'Backlog'!$E$6:$E$25)*(Burndown!$C$7-L182)/(Burndown!$C$7-Burndown!$B$7)))</x:f>
      </x:c>
      <x:c r="L182" s="10" t="str">
        <x:f>IF(OR('Work Log'!$E$185&lt;&gt;"S3",'Work Log'!$A$185=""),"",'Work Log'!$A$185)</x:f>
      </x:c>
      <x:c r="M182" t="str">
        <x:f>IF(P182="","",TEXT(P182,"mm/dd/yy"))</x:f>
      </x:c>
      <x:c r="N182" s="11" t="str">
        <x:f>IF(OR(P182="",SUMIF('Backlog'!$B$6:$B$25,"S4",'Backlog'!$E$6:$E$25)=0,Burndown!$B$8="",Burndown!$C$8=""),"",MAX(0,SUMIF('Backlog'!$B$6:$B$25,"S4",'Backlog'!$E$6:$E$25)-SUMIFS('Work Log'!$D$6:$D$205,'Work Log'!$E$6:$E$205,"S4",'Work Log'!$A$6:$A$205,"&lt;="&amp;P182)))</x:f>
      </x:c>
      <x:c r="O182" s="11" t="str">
        <x:f>IF(OR(P182="",SUMIF('Backlog'!$B$6:$B$25,"S4",'Backlog'!$E$6:$E$25)=0,Burndown!$B$8="",Burndown!$C$8="",Burndown!$C$8&lt;=Burndown!$B$8),"",MAX(0,SUMIF('Backlog'!$B$6:$B$25,"S4",'Backlog'!$E$6:$E$25)*(Burndown!$C$8-P182)/(Burndown!$C$8-Burndown!$B$8)))</x:f>
      </x:c>
      <x:c r="P182" s="10" t="str">
        <x:f>IF(OR('Work Log'!$E$185&lt;&gt;"S4",'Work Log'!$A$185=""),"",'Work Log'!$A$185)</x:f>
      </x:c>
      <x:c r="Q182" t="str">
        <x:f>IF(T182="","",TEXT(T182,"mm/dd/yy"))</x:f>
      </x:c>
      <x:c r="R182" s="11" t="str">
        <x:f>IF(OR(T182="",SUMIF('Backlog'!$B$6:$B$25,"S5",'Backlog'!$E$6:$E$25)=0,Burndown!$B$9="",Burndown!$C$9=""),"",MAX(0,SUMIF('Backlog'!$B$6:$B$25,"S5",'Backlog'!$E$6:$E$25)-SUMIFS('Work Log'!$D$6:$D$205,'Work Log'!$E$6:$E$205,"S5",'Work Log'!$A$6:$A$205,"&lt;="&amp;T182)))</x:f>
      </x:c>
      <x:c r="S182" s="11" t="str">
        <x:f>IF(OR(T182="",SUMIF('Backlog'!$B$6:$B$25,"S5",'Backlog'!$E$6:$E$25)=0,Burndown!$B$9="",Burndown!$C$9="",Burndown!$C$9&lt;=Burndown!$B$9),"",MAX(0,SUMIF('Backlog'!$B$6:$B$25,"S5",'Backlog'!$E$6:$E$25)*(Burndown!$C$9-T182)/(Burndown!$C$9-Burndown!$B$9)))</x:f>
      </x:c>
      <x:c r="T182" s="10" t="str">
        <x:f>IF(OR('Work Log'!$E$185&lt;&gt;"S5",'Work Log'!$A$185=""),"",'Work Log'!$A$185)</x:f>
      </x:c>
    </x:row>
    <x:row r="183">
      <x:c r="A183" t="str">
        <x:f>IF(D183="","",TEXT(D183,"mm/dd/yy"))</x:f>
      </x:c>
      <x:c r="B183" s="11" t="str">
        <x:f>IF(OR(D183="",SUMIF('Backlog'!$B$6:$B$25,"S1",'Backlog'!$E$6:$E$25)=0,Burndown!$B$5="",Burndown!$C$5=""),"",MAX(0,SUMIF('Backlog'!$B$6:$B$25,"S1",'Backlog'!$E$6:$E$25)-SUMIFS('Work Log'!$D$6:$D$205,'Work Log'!$E$6:$E$205,"S1",'Work Log'!$A$6:$A$205,"&lt;="&amp;D183)))</x:f>
      </x:c>
      <x:c r="C183" s="11" t="str">
        <x:f>IF(OR(D183="",SUMIF('Backlog'!$B$6:$B$25,"S1",'Backlog'!$E$6:$E$25)=0,Burndown!$B$5="",Burndown!$C$5="",Burndown!$C$5&lt;=Burndown!$B$5),"",MAX(0,SUMIF('Backlog'!$B$6:$B$25,"S1",'Backlog'!$E$6:$E$25)*(Burndown!$C$5-D183)/(Burndown!$C$5-Burndown!$B$5)))</x:f>
      </x:c>
      <x:c r="D183" s="10" t="str">
        <x:f>IF(OR('Work Log'!$E$186&lt;&gt;"S1",'Work Log'!$A$186=""),"",'Work Log'!$A$186)</x:f>
      </x:c>
      <x:c r="E183" t="str">
        <x:f>IF(H183="","",TEXT(H183,"mm/dd/yy"))</x:f>
      </x:c>
      <x:c r="F183" s="11" t="str">
        <x:f>IF(OR(H183="",SUMIF('Backlog'!$B$6:$B$25,"S2",'Backlog'!$E$6:$E$25)=0,Burndown!$B$6="",Burndown!$C$6=""),"",MAX(0,SUMIF('Backlog'!$B$6:$B$25,"S2",'Backlog'!$E$6:$E$25)-SUMIFS('Work Log'!$D$6:$D$205,'Work Log'!$E$6:$E$205,"S2",'Work Log'!$A$6:$A$205,"&lt;="&amp;H183)))</x:f>
      </x:c>
      <x:c r="G183" s="11" t="str">
        <x:f>IF(OR(H183="",SUMIF('Backlog'!$B$6:$B$25,"S2",'Backlog'!$E$6:$E$25)=0,Burndown!$B$6="",Burndown!$C$6="",Burndown!$C$6&lt;=Burndown!$B$6),"",MAX(0,SUMIF('Backlog'!$B$6:$B$25,"S2",'Backlog'!$E$6:$E$25)*(Burndown!$C$6-H183)/(Burndown!$C$6-Burndown!$B$6)))</x:f>
      </x:c>
      <x:c r="H183" s="10" t="str">
        <x:f>IF(OR('Work Log'!$E$186&lt;&gt;"S2",'Work Log'!$A$186=""),"",'Work Log'!$A$186)</x:f>
      </x:c>
      <x:c r="I183" t="str">
        <x:f>IF(L183="","",TEXT(L183,"mm/dd/yy"))</x:f>
      </x:c>
      <x:c r="J183" s="11" t="str">
        <x:f>IF(OR(L183="",SUMIF('Backlog'!$B$6:$B$25,"S3",'Backlog'!$E$6:$E$25)=0,Burndown!$B$7="",Burndown!$C$7=""),"",MAX(0,SUMIF('Backlog'!$B$6:$B$25,"S3",'Backlog'!$E$6:$E$25)-SUMIFS('Work Log'!$D$6:$D$205,'Work Log'!$E$6:$E$205,"S3",'Work Log'!$A$6:$A$205,"&lt;="&amp;L183)))</x:f>
      </x:c>
      <x:c r="K183" s="11" t="str">
        <x:f>IF(OR(L183="",SUMIF('Backlog'!$B$6:$B$25,"S3",'Backlog'!$E$6:$E$25)=0,Burndown!$B$7="",Burndown!$C$7="",Burndown!$C$7&lt;=Burndown!$B$7),"",MAX(0,SUMIF('Backlog'!$B$6:$B$25,"S3",'Backlog'!$E$6:$E$25)*(Burndown!$C$7-L183)/(Burndown!$C$7-Burndown!$B$7)))</x:f>
      </x:c>
      <x:c r="L183" s="10" t="str">
        <x:f>IF(OR('Work Log'!$E$186&lt;&gt;"S3",'Work Log'!$A$186=""),"",'Work Log'!$A$186)</x:f>
      </x:c>
      <x:c r="M183" t="str">
        <x:f>IF(P183="","",TEXT(P183,"mm/dd/yy"))</x:f>
      </x:c>
      <x:c r="N183" s="11" t="str">
        <x:f>IF(OR(P183="",SUMIF('Backlog'!$B$6:$B$25,"S4",'Backlog'!$E$6:$E$25)=0,Burndown!$B$8="",Burndown!$C$8=""),"",MAX(0,SUMIF('Backlog'!$B$6:$B$25,"S4",'Backlog'!$E$6:$E$25)-SUMIFS('Work Log'!$D$6:$D$205,'Work Log'!$E$6:$E$205,"S4",'Work Log'!$A$6:$A$205,"&lt;="&amp;P183)))</x:f>
      </x:c>
      <x:c r="O183" s="11" t="str">
        <x:f>IF(OR(P183="",SUMIF('Backlog'!$B$6:$B$25,"S4",'Backlog'!$E$6:$E$25)=0,Burndown!$B$8="",Burndown!$C$8="",Burndown!$C$8&lt;=Burndown!$B$8),"",MAX(0,SUMIF('Backlog'!$B$6:$B$25,"S4",'Backlog'!$E$6:$E$25)*(Burndown!$C$8-P183)/(Burndown!$C$8-Burndown!$B$8)))</x:f>
      </x:c>
      <x:c r="P183" s="10" t="str">
        <x:f>IF(OR('Work Log'!$E$186&lt;&gt;"S4",'Work Log'!$A$186=""),"",'Work Log'!$A$186)</x:f>
      </x:c>
      <x:c r="Q183" t="str">
        <x:f>IF(T183="","",TEXT(T183,"mm/dd/yy"))</x:f>
      </x:c>
      <x:c r="R183" s="11" t="str">
        <x:f>IF(OR(T183="",SUMIF('Backlog'!$B$6:$B$25,"S5",'Backlog'!$E$6:$E$25)=0,Burndown!$B$9="",Burndown!$C$9=""),"",MAX(0,SUMIF('Backlog'!$B$6:$B$25,"S5",'Backlog'!$E$6:$E$25)-SUMIFS('Work Log'!$D$6:$D$205,'Work Log'!$E$6:$E$205,"S5",'Work Log'!$A$6:$A$205,"&lt;="&amp;T183)))</x:f>
      </x:c>
      <x:c r="S183" s="11" t="str">
        <x:f>IF(OR(T183="",SUMIF('Backlog'!$B$6:$B$25,"S5",'Backlog'!$E$6:$E$25)=0,Burndown!$B$9="",Burndown!$C$9="",Burndown!$C$9&lt;=Burndown!$B$9),"",MAX(0,SUMIF('Backlog'!$B$6:$B$25,"S5",'Backlog'!$E$6:$E$25)*(Burndown!$C$9-T183)/(Burndown!$C$9-Burndown!$B$9)))</x:f>
      </x:c>
      <x:c r="T183" s="10" t="str">
        <x:f>IF(OR('Work Log'!$E$186&lt;&gt;"S5",'Work Log'!$A$186=""),"",'Work Log'!$A$186)</x:f>
      </x:c>
    </x:row>
    <x:row r="184">
      <x:c r="A184" t="str">
        <x:f>IF(D184="","",TEXT(D184,"mm/dd/yy"))</x:f>
      </x:c>
      <x:c r="B184" s="11" t="str">
        <x:f>IF(OR(D184="",SUMIF('Backlog'!$B$6:$B$25,"S1",'Backlog'!$E$6:$E$25)=0,Burndown!$B$5="",Burndown!$C$5=""),"",MAX(0,SUMIF('Backlog'!$B$6:$B$25,"S1",'Backlog'!$E$6:$E$25)-SUMIFS('Work Log'!$D$6:$D$205,'Work Log'!$E$6:$E$205,"S1",'Work Log'!$A$6:$A$205,"&lt;="&amp;D184)))</x:f>
      </x:c>
      <x:c r="C184" s="11" t="str">
        <x:f>IF(OR(D184="",SUMIF('Backlog'!$B$6:$B$25,"S1",'Backlog'!$E$6:$E$25)=0,Burndown!$B$5="",Burndown!$C$5="",Burndown!$C$5&lt;=Burndown!$B$5),"",MAX(0,SUMIF('Backlog'!$B$6:$B$25,"S1",'Backlog'!$E$6:$E$25)*(Burndown!$C$5-D184)/(Burndown!$C$5-Burndown!$B$5)))</x:f>
      </x:c>
      <x:c r="D184" s="10" t="str">
        <x:f>IF(OR('Work Log'!$E$187&lt;&gt;"S1",'Work Log'!$A$187=""),"",'Work Log'!$A$187)</x:f>
      </x:c>
      <x:c r="E184" t="str">
        <x:f>IF(H184="","",TEXT(H184,"mm/dd/yy"))</x:f>
      </x:c>
      <x:c r="F184" s="11" t="str">
        <x:f>IF(OR(H184="",SUMIF('Backlog'!$B$6:$B$25,"S2",'Backlog'!$E$6:$E$25)=0,Burndown!$B$6="",Burndown!$C$6=""),"",MAX(0,SUMIF('Backlog'!$B$6:$B$25,"S2",'Backlog'!$E$6:$E$25)-SUMIFS('Work Log'!$D$6:$D$205,'Work Log'!$E$6:$E$205,"S2",'Work Log'!$A$6:$A$205,"&lt;="&amp;H184)))</x:f>
      </x:c>
      <x:c r="G184" s="11" t="str">
        <x:f>IF(OR(H184="",SUMIF('Backlog'!$B$6:$B$25,"S2",'Backlog'!$E$6:$E$25)=0,Burndown!$B$6="",Burndown!$C$6="",Burndown!$C$6&lt;=Burndown!$B$6),"",MAX(0,SUMIF('Backlog'!$B$6:$B$25,"S2",'Backlog'!$E$6:$E$25)*(Burndown!$C$6-H184)/(Burndown!$C$6-Burndown!$B$6)))</x:f>
      </x:c>
      <x:c r="H184" s="10" t="str">
        <x:f>IF(OR('Work Log'!$E$187&lt;&gt;"S2",'Work Log'!$A$187=""),"",'Work Log'!$A$187)</x:f>
      </x:c>
      <x:c r="I184" t="str">
        <x:f>IF(L184="","",TEXT(L184,"mm/dd/yy"))</x:f>
      </x:c>
      <x:c r="J184" s="11" t="str">
        <x:f>IF(OR(L184="",SUMIF('Backlog'!$B$6:$B$25,"S3",'Backlog'!$E$6:$E$25)=0,Burndown!$B$7="",Burndown!$C$7=""),"",MAX(0,SUMIF('Backlog'!$B$6:$B$25,"S3",'Backlog'!$E$6:$E$25)-SUMIFS('Work Log'!$D$6:$D$205,'Work Log'!$E$6:$E$205,"S3",'Work Log'!$A$6:$A$205,"&lt;="&amp;L184)))</x:f>
      </x:c>
      <x:c r="K184" s="11" t="str">
        <x:f>IF(OR(L184="",SUMIF('Backlog'!$B$6:$B$25,"S3",'Backlog'!$E$6:$E$25)=0,Burndown!$B$7="",Burndown!$C$7="",Burndown!$C$7&lt;=Burndown!$B$7),"",MAX(0,SUMIF('Backlog'!$B$6:$B$25,"S3",'Backlog'!$E$6:$E$25)*(Burndown!$C$7-L184)/(Burndown!$C$7-Burndown!$B$7)))</x:f>
      </x:c>
      <x:c r="L184" s="10" t="str">
        <x:f>IF(OR('Work Log'!$E$187&lt;&gt;"S3",'Work Log'!$A$187=""),"",'Work Log'!$A$187)</x:f>
      </x:c>
      <x:c r="M184" t="str">
        <x:f>IF(P184="","",TEXT(P184,"mm/dd/yy"))</x:f>
      </x:c>
      <x:c r="N184" s="11" t="str">
        <x:f>IF(OR(P184="",SUMIF('Backlog'!$B$6:$B$25,"S4",'Backlog'!$E$6:$E$25)=0,Burndown!$B$8="",Burndown!$C$8=""),"",MAX(0,SUMIF('Backlog'!$B$6:$B$25,"S4",'Backlog'!$E$6:$E$25)-SUMIFS('Work Log'!$D$6:$D$205,'Work Log'!$E$6:$E$205,"S4",'Work Log'!$A$6:$A$205,"&lt;="&amp;P184)))</x:f>
      </x:c>
      <x:c r="O184" s="11" t="str">
        <x:f>IF(OR(P184="",SUMIF('Backlog'!$B$6:$B$25,"S4",'Backlog'!$E$6:$E$25)=0,Burndown!$B$8="",Burndown!$C$8="",Burndown!$C$8&lt;=Burndown!$B$8),"",MAX(0,SUMIF('Backlog'!$B$6:$B$25,"S4",'Backlog'!$E$6:$E$25)*(Burndown!$C$8-P184)/(Burndown!$C$8-Burndown!$B$8)))</x:f>
      </x:c>
      <x:c r="P184" s="10" t="str">
        <x:f>IF(OR('Work Log'!$E$187&lt;&gt;"S4",'Work Log'!$A$187=""),"",'Work Log'!$A$187)</x:f>
      </x:c>
      <x:c r="Q184" t="str">
        <x:f>IF(T184="","",TEXT(T184,"mm/dd/yy"))</x:f>
      </x:c>
      <x:c r="R184" s="11" t="str">
        <x:f>IF(OR(T184="",SUMIF('Backlog'!$B$6:$B$25,"S5",'Backlog'!$E$6:$E$25)=0,Burndown!$B$9="",Burndown!$C$9=""),"",MAX(0,SUMIF('Backlog'!$B$6:$B$25,"S5",'Backlog'!$E$6:$E$25)-SUMIFS('Work Log'!$D$6:$D$205,'Work Log'!$E$6:$E$205,"S5",'Work Log'!$A$6:$A$205,"&lt;="&amp;T184)))</x:f>
      </x:c>
      <x:c r="S184" s="11" t="str">
        <x:f>IF(OR(T184="",SUMIF('Backlog'!$B$6:$B$25,"S5",'Backlog'!$E$6:$E$25)=0,Burndown!$B$9="",Burndown!$C$9="",Burndown!$C$9&lt;=Burndown!$B$9),"",MAX(0,SUMIF('Backlog'!$B$6:$B$25,"S5",'Backlog'!$E$6:$E$25)*(Burndown!$C$9-T184)/(Burndown!$C$9-Burndown!$B$9)))</x:f>
      </x:c>
      <x:c r="T184" s="10" t="str">
        <x:f>IF(OR('Work Log'!$E$187&lt;&gt;"S5",'Work Log'!$A$187=""),"",'Work Log'!$A$187)</x:f>
      </x:c>
    </x:row>
    <x:row r="185">
      <x:c r="A185" t="str">
        <x:f>IF(D185="","",TEXT(D185,"mm/dd/yy"))</x:f>
      </x:c>
      <x:c r="B185" s="11" t="str">
        <x:f>IF(OR(D185="",SUMIF('Backlog'!$B$6:$B$25,"S1",'Backlog'!$E$6:$E$25)=0,Burndown!$B$5="",Burndown!$C$5=""),"",MAX(0,SUMIF('Backlog'!$B$6:$B$25,"S1",'Backlog'!$E$6:$E$25)-SUMIFS('Work Log'!$D$6:$D$205,'Work Log'!$E$6:$E$205,"S1",'Work Log'!$A$6:$A$205,"&lt;="&amp;D185)))</x:f>
      </x:c>
      <x:c r="C185" s="11" t="str">
        <x:f>IF(OR(D185="",SUMIF('Backlog'!$B$6:$B$25,"S1",'Backlog'!$E$6:$E$25)=0,Burndown!$B$5="",Burndown!$C$5="",Burndown!$C$5&lt;=Burndown!$B$5),"",MAX(0,SUMIF('Backlog'!$B$6:$B$25,"S1",'Backlog'!$E$6:$E$25)*(Burndown!$C$5-D185)/(Burndown!$C$5-Burndown!$B$5)))</x:f>
      </x:c>
      <x:c r="D185" s="10" t="str">
        <x:f>IF(OR('Work Log'!$E$188&lt;&gt;"S1",'Work Log'!$A$188=""),"",'Work Log'!$A$188)</x:f>
      </x:c>
      <x:c r="E185" t="str">
        <x:f>IF(H185="","",TEXT(H185,"mm/dd/yy"))</x:f>
      </x:c>
      <x:c r="F185" s="11" t="str">
        <x:f>IF(OR(H185="",SUMIF('Backlog'!$B$6:$B$25,"S2",'Backlog'!$E$6:$E$25)=0,Burndown!$B$6="",Burndown!$C$6=""),"",MAX(0,SUMIF('Backlog'!$B$6:$B$25,"S2",'Backlog'!$E$6:$E$25)-SUMIFS('Work Log'!$D$6:$D$205,'Work Log'!$E$6:$E$205,"S2",'Work Log'!$A$6:$A$205,"&lt;="&amp;H185)))</x:f>
      </x:c>
      <x:c r="G185" s="11" t="str">
        <x:f>IF(OR(H185="",SUMIF('Backlog'!$B$6:$B$25,"S2",'Backlog'!$E$6:$E$25)=0,Burndown!$B$6="",Burndown!$C$6="",Burndown!$C$6&lt;=Burndown!$B$6),"",MAX(0,SUMIF('Backlog'!$B$6:$B$25,"S2",'Backlog'!$E$6:$E$25)*(Burndown!$C$6-H185)/(Burndown!$C$6-Burndown!$B$6)))</x:f>
      </x:c>
      <x:c r="H185" s="10" t="str">
        <x:f>IF(OR('Work Log'!$E$188&lt;&gt;"S2",'Work Log'!$A$188=""),"",'Work Log'!$A$188)</x:f>
      </x:c>
      <x:c r="I185" t="str">
        <x:f>IF(L185="","",TEXT(L185,"mm/dd/yy"))</x:f>
      </x:c>
      <x:c r="J185" s="11" t="str">
        <x:f>IF(OR(L185="",SUMIF('Backlog'!$B$6:$B$25,"S3",'Backlog'!$E$6:$E$25)=0,Burndown!$B$7="",Burndown!$C$7=""),"",MAX(0,SUMIF('Backlog'!$B$6:$B$25,"S3",'Backlog'!$E$6:$E$25)-SUMIFS('Work Log'!$D$6:$D$205,'Work Log'!$E$6:$E$205,"S3",'Work Log'!$A$6:$A$205,"&lt;="&amp;L185)))</x:f>
      </x:c>
      <x:c r="K185" s="11" t="str">
        <x:f>IF(OR(L185="",SUMIF('Backlog'!$B$6:$B$25,"S3",'Backlog'!$E$6:$E$25)=0,Burndown!$B$7="",Burndown!$C$7="",Burndown!$C$7&lt;=Burndown!$B$7),"",MAX(0,SUMIF('Backlog'!$B$6:$B$25,"S3",'Backlog'!$E$6:$E$25)*(Burndown!$C$7-L185)/(Burndown!$C$7-Burndown!$B$7)))</x:f>
      </x:c>
      <x:c r="L185" s="10" t="str">
        <x:f>IF(OR('Work Log'!$E$188&lt;&gt;"S3",'Work Log'!$A$188=""),"",'Work Log'!$A$188)</x:f>
      </x:c>
      <x:c r="M185" t="str">
        <x:f>IF(P185="","",TEXT(P185,"mm/dd/yy"))</x:f>
      </x:c>
      <x:c r="N185" s="11" t="str">
        <x:f>IF(OR(P185="",SUMIF('Backlog'!$B$6:$B$25,"S4",'Backlog'!$E$6:$E$25)=0,Burndown!$B$8="",Burndown!$C$8=""),"",MAX(0,SUMIF('Backlog'!$B$6:$B$25,"S4",'Backlog'!$E$6:$E$25)-SUMIFS('Work Log'!$D$6:$D$205,'Work Log'!$E$6:$E$205,"S4",'Work Log'!$A$6:$A$205,"&lt;="&amp;P185)))</x:f>
      </x:c>
      <x:c r="O185" s="11" t="str">
        <x:f>IF(OR(P185="",SUMIF('Backlog'!$B$6:$B$25,"S4",'Backlog'!$E$6:$E$25)=0,Burndown!$B$8="",Burndown!$C$8="",Burndown!$C$8&lt;=Burndown!$B$8),"",MAX(0,SUMIF('Backlog'!$B$6:$B$25,"S4",'Backlog'!$E$6:$E$25)*(Burndown!$C$8-P185)/(Burndown!$C$8-Burndown!$B$8)))</x:f>
      </x:c>
      <x:c r="P185" s="10" t="str">
        <x:f>IF(OR('Work Log'!$E$188&lt;&gt;"S4",'Work Log'!$A$188=""),"",'Work Log'!$A$188)</x:f>
      </x:c>
      <x:c r="Q185" t="str">
        <x:f>IF(T185="","",TEXT(T185,"mm/dd/yy"))</x:f>
      </x:c>
      <x:c r="R185" s="11" t="str">
        <x:f>IF(OR(T185="",SUMIF('Backlog'!$B$6:$B$25,"S5",'Backlog'!$E$6:$E$25)=0,Burndown!$B$9="",Burndown!$C$9=""),"",MAX(0,SUMIF('Backlog'!$B$6:$B$25,"S5",'Backlog'!$E$6:$E$25)-SUMIFS('Work Log'!$D$6:$D$205,'Work Log'!$E$6:$E$205,"S5",'Work Log'!$A$6:$A$205,"&lt;="&amp;T185)))</x:f>
      </x:c>
      <x:c r="S185" s="11" t="str">
        <x:f>IF(OR(T185="",SUMIF('Backlog'!$B$6:$B$25,"S5",'Backlog'!$E$6:$E$25)=0,Burndown!$B$9="",Burndown!$C$9="",Burndown!$C$9&lt;=Burndown!$B$9),"",MAX(0,SUMIF('Backlog'!$B$6:$B$25,"S5",'Backlog'!$E$6:$E$25)*(Burndown!$C$9-T185)/(Burndown!$C$9-Burndown!$B$9)))</x:f>
      </x:c>
      <x:c r="T185" s="10" t="str">
        <x:f>IF(OR('Work Log'!$E$188&lt;&gt;"S5",'Work Log'!$A$188=""),"",'Work Log'!$A$188)</x:f>
      </x:c>
    </x:row>
    <x:row r="186">
      <x:c r="A186" t="str">
        <x:f>IF(D186="","",TEXT(D186,"mm/dd/yy"))</x:f>
      </x:c>
      <x:c r="B186" s="11" t="str">
        <x:f>IF(OR(D186="",SUMIF('Backlog'!$B$6:$B$25,"S1",'Backlog'!$E$6:$E$25)=0,Burndown!$B$5="",Burndown!$C$5=""),"",MAX(0,SUMIF('Backlog'!$B$6:$B$25,"S1",'Backlog'!$E$6:$E$25)-SUMIFS('Work Log'!$D$6:$D$205,'Work Log'!$E$6:$E$205,"S1",'Work Log'!$A$6:$A$205,"&lt;="&amp;D186)))</x:f>
      </x:c>
      <x:c r="C186" s="11" t="str">
        <x:f>IF(OR(D186="",SUMIF('Backlog'!$B$6:$B$25,"S1",'Backlog'!$E$6:$E$25)=0,Burndown!$B$5="",Burndown!$C$5="",Burndown!$C$5&lt;=Burndown!$B$5),"",MAX(0,SUMIF('Backlog'!$B$6:$B$25,"S1",'Backlog'!$E$6:$E$25)*(Burndown!$C$5-D186)/(Burndown!$C$5-Burndown!$B$5)))</x:f>
      </x:c>
      <x:c r="D186" s="10" t="str">
        <x:f>IF(OR('Work Log'!$E$189&lt;&gt;"S1",'Work Log'!$A$189=""),"",'Work Log'!$A$189)</x:f>
      </x:c>
      <x:c r="E186" t="str">
        <x:f>IF(H186="","",TEXT(H186,"mm/dd/yy"))</x:f>
      </x:c>
      <x:c r="F186" s="11" t="str">
        <x:f>IF(OR(H186="",SUMIF('Backlog'!$B$6:$B$25,"S2",'Backlog'!$E$6:$E$25)=0,Burndown!$B$6="",Burndown!$C$6=""),"",MAX(0,SUMIF('Backlog'!$B$6:$B$25,"S2",'Backlog'!$E$6:$E$25)-SUMIFS('Work Log'!$D$6:$D$205,'Work Log'!$E$6:$E$205,"S2",'Work Log'!$A$6:$A$205,"&lt;="&amp;H186)))</x:f>
      </x:c>
      <x:c r="G186" s="11" t="str">
        <x:f>IF(OR(H186="",SUMIF('Backlog'!$B$6:$B$25,"S2",'Backlog'!$E$6:$E$25)=0,Burndown!$B$6="",Burndown!$C$6="",Burndown!$C$6&lt;=Burndown!$B$6),"",MAX(0,SUMIF('Backlog'!$B$6:$B$25,"S2",'Backlog'!$E$6:$E$25)*(Burndown!$C$6-H186)/(Burndown!$C$6-Burndown!$B$6)))</x:f>
      </x:c>
      <x:c r="H186" s="10" t="str">
        <x:f>IF(OR('Work Log'!$E$189&lt;&gt;"S2",'Work Log'!$A$189=""),"",'Work Log'!$A$189)</x:f>
      </x:c>
      <x:c r="I186" t="str">
        <x:f>IF(L186="","",TEXT(L186,"mm/dd/yy"))</x:f>
      </x:c>
      <x:c r="J186" s="11" t="str">
        <x:f>IF(OR(L186="",SUMIF('Backlog'!$B$6:$B$25,"S3",'Backlog'!$E$6:$E$25)=0,Burndown!$B$7="",Burndown!$C$7=""),"",MAX(0,SUMIF('Backlog'!$B$6:$B$25,"S3",'Backlog'!$E$6:$E$25)-SUMIFS('Work Log'!$D$6:$D$205,'Work Log'!$E$6:$E$205,"S3",'Work Log'!$A$6:$A$205,"&lt;="&amp;L186)))</x:f>
      </x:c>
      <x:c r="K186" s="11" t="str">
        <x:f>IF(OR(L186="",SUMIF('Backlog'!$B$6:$B$25,"S3",'Backlog'!$E$6:$E$25)=0,Burndown!$B$7="",Burndown!$C$7="",Burndown!$C$7&lt;=Burndown!$B$7),"",MAX(0,SUMIF('Backlog'!$B$6:$B$25,"S3",'Backlog'!$E$6:$E$25)*(Burndown!$C$7-L186)/(Burndown!$C$7-Burndown!$B$7)))</x:f>
      </x:c>
      <x:c r="L186" s="10" t="str">
        <x:f>IF(OR('Work Log'!$E$189&lt;&gt;"S3",'Work Log'!$A$189=""),"",'Work Log'!$A$189)</x:f>
      </x:c>
      <x:c r="M186" t="str">
        <x:f>IF(P186="","",TEXT(P186,"mm/dd/yy"))</x:f>
      </x:c>
      <x:c r="N186" s="11" t="str">
        <x:f>IF(OR(P186="",SUMIF('Backlog'!$B$6:$B$25,"S4",'Backlog'!$E$6:$E$25)=0,Burndown!$B$8="",Burndown!$C$8=""),"",MAX(0,SUMIF('Backlog'!$B$6:$B$25,"S4",'Backlog'!$E$6:$E$25)-SUMIFS('Work Log'!$D$6:$D$205,'Work Log'!$E$6:$E$205,"S4",'Work Log'!$A$6:$A$205,"&lt;="&amp;P186)))</x:f>
      </x:c>
      <x:c r="O186" s="11" t="str">
        <x:f>IF(OR(P186="",SUMIF('Backlog'!$B$6:$B$25,"S4",'Backlog'!$E$6:$E$25)=0,Burndown!$B$8="",Burndown!$C$8="",Burndown!$C$8&lt;=Burndown!$B$8),"",MAX(0,SUMIF('Backlog'!$B$6:$B$25,"S4",'Backlog'!$E$6:$E$25)*(Burndown!$C$8-P186)/(Burndown!$C$8-Burndown!$B$8)))</x:f>
      </x:c>
      <x:c r="P186" s="10" t="str">
        <x:f>IF(OR('Work Log'!$E$189&lt;&gt;"S4",'Work Log'!$A$189=""),"",'Work Log'!$A$189)</x:f>
      </x:c>
      <x:c r="Q186" t="str">
        <x:f>IF(T186="","",TEXT(T186,"mm/dd/yy"))</x:f>
      </x:c>
      <x:c r="R186" s="11" t="str">
        <x:f>IF(OR(T186="",SUMIF('Backlog'!$B$6:$B$25,"S5",'Backlog'!$E$6:$E$25)=0,Burndown!$B$9="",Burndown!$C$9=""),"",MAX(0,SUMIF('Backlog'!$B$6:$B$25,"S5",'Backlog'!$E$6:$E$25)-SUMIFS('Work Log'!$D$6:$D$205,'Work Log'!$E$6:$E$205,"S5",'Work Log'!$A$6:$A$205,"&lt;="&amp;T186)))</x:f>
      </x:c>
      <x:c r="S186" s="11" t="str">
        <x:f>IF(OR(T186="",SUMIF('Backlog'!$B$6:$B$25,"S5",'Backlog'!$E$6:$E$25)=0,Burndown!$B$9="",Burndown!$C$9="",Burndown!$C$9&lt;=Burndown!$B$9),"",MAX(0,SUMIF('Backlog'!$B$6:$B$25,"S5",'Backlog'!$E$6:$E$25)*(Burndown!$C$9-T186)/(Burndown!$C$9-Burndown!$B$9)))</x:f>
      </x:c>
      <x:c r="T186" s="10" t="str">
        <x:f>IF(OR('Work Log'!$E$189&lt;&gt;"S5",'Work Log'!$A$189=""),"",'Work Log'!$A$189)</x:f>
      </x:c>
    </x:row>
    <x:row r="187">
      <x:c r="A187" t="str">
        <x:f>IF(D187="","",TEXT(D187,"mm/dd/yy"))</x:f>
      </x:c>
      <x:c r="B187" s="11" t="str">
        <x:f>IF(OR(D187="",SUMIF('Backlog'!$B$6:$B$25,"S1",'Backlog'!$E$6:$E$25)=0,Burndown!$B$5="",Burndown!$C$5=""),"",MAX(0,SUMIF('Backlog'!$B$6:$B$25,"S1",'Backlog'!$E$6:$E$25)-SUMIFS('Work Log'!$D$6:$D$205,'Work Log'!$E$6:$E$205,"S1",'Work Log'!$A$6:$A$205,"&lt;="&amp;D187)))</x:f>
      </x:c>
      <x:c r="C187" s="11" t="str">
        <x:f>IF(OR(D187="",SUMIF('Backlog'!$B$6:$B$25,"S1",'Backlog'!$E$6:$E$25)=0,Burndown!$B$5="",Burndown!$C$5="",Burndown!$C$5&lt;=Burndown!$B$5),"",MAX(0,SUMIF('Backlog'!$B$6:$B$25,"S1",'Backlog'!$E$6:$E$25)*(Burndown!$C$5-D187)/(Burndown!$C$5-Burndown!$B$5)))</x:f>
      </x:c>
      <x:c r="D187" s="10" t="str">
        <x:f>IF(OR('Work Log'!$E$190&lt;&gt;"S1",'Work Log'!$A$190=""),"",'Work Log'!$A$190)</x:f>
      </x:c>
      <x:c r="E187" t="str">
        <x:f>IF(H187="","",TEXT(H187,"mm/dd/yy"))</x:f>
      </x:c>
      <x:c r="F187" s="11" t="str">
        <x:f>IF(OR(H187="",SUMIF('Backlog'!$B$6:$B$25,"S2",'Backlog'!$E$6:$E$25)=0,Burndown!$B$6="",Burndown!$C$6=""),"",MAX(0,SUMIF('Backlog'!$B$6:$B$25,"S2",'Backlog'!$E$6:$E$25)-SUMIFS('Work Log'!$D$6:$D$205,'Work Log'!$E$6:$E$205,"S2",'Work Log'!$A$6:$A$205,"&lt;="&amp;H187)))</x:f>
      </x:c>
      <x:c r="G187" s="11" t="str">
        <x:f>IF(OR(H187="",SUMIF('Backlog'!$B$6:$B$25,"S2",'Backlog'!$E$6:$E$25)=0,Burndown!$B$6="",Burndown!$C$6="",Burndown!$C$6&lt;=Burndown!$B$6),"",MAX(0,SUMIF('Backlog'!$B$6:$B$25,"S2",'Backlog'!$E$6:$E$25)*(Burndown!$C$6-H187)/(Burndown!$C$6-Burndown!$B$6)))</x:f>
      </x:c>
      <x:c r="H187" s="10" t="str">
        <x:f>IF(OR('Work Log'!$E$190&lt;&gt;"S2",'Work Log'!$A$190=""),"",'Work Log'!$A$190)</x:f>
      </x:c>
      <x:c r="I187" t="str">
        <x:f>IF(L187="","",TEXT(L187,"mm/dd/yy"))</x:f>
      </x:c>
      <x:c r="J187" s="11" t="str">
        <x:f>IF(OR(L187="",SUMIF('Backlog'!$B$6:$B$25,"S3",'Backlog'!$E$6:$E$25)=0,Burndown!$B$7="",Burndown!$C$7=""),"",MAX(0,SUMIF('Backlog'!$B$6:$B$25,"S3",'Backlog'!$E$6:$E$25)-SUMIFS('Work Log'!$D$6:$D$205,'Work Log'!$E$6:$E$205,"S3",'Work Log'!$A$6:$A$205,"&lt;="&amp;L187)))</x:f>
      </x:c>
      <x:c r="K187" s="11" t="str">
        <x:f>IF(OR(L187="",SUMIF('Backlog'!$B$6:$B$25,"S3",'Backlog'!$E$6:$E$25)=0,Burndown!$B$7="",Burndown!$C$7="",Burndown!$C$7&lt;=Burndown!$B$7),"",MAX(0,SUMIF('Backlog'!$B$6:$B$25,"S3",'Backlog'!$E$6:$E$25)*(Burndown!$C$7-L187)/(Burndown!$C$7-Burndown!$B$7)))</x:f>
      </x:c>
      <x:c r="L187" s="10" t="str">
        <x:f>IF(OR('Work Log'!$E$190&lt;&gt;"S3",'Work Log'!$A$190=""),"",'Work Log'!$A$190)</x:f>
      </x:c>
      <x:c r="M187" t="str">
        <x:f>IF(P187="","",TEXT(P187,"mm/dd/yy"))</x:f>
      </x:c>
      <x:c r="N187" s="11" t="str">
        <x:f>IF(OR(P187="",SUMIF('Backlog'!$B$6:$B$25,"S4",'Backlog'!$E$6:$E$25)=0,Burndown!$B$8="",Burndown!$C$8=""),"",MAX(0,SUMIF('Backlog'!$B$6:$B$25,"S4",'Backlog'!$E$6:$E$25)-SUMIFS('Work Log'!$D$6:$D$205,'Work Log'!$E$6:$E$205,"S4",'Work Log'!$A$6:$A$205,"&lt;="&amp;P187)))</x:f>
      </x:c>
      <x:c r="O187" s="11" t="str">
        <x:f>IF(OR(P187="",SUMIF('Backlog'!$B$6:$B$25,"S4",'Backlog'!$E$6:$E$25)=0,Burndown!$B$8="",Burndown!$C$8="",Burndown!$C$8&lt;=Burndown!$B$8),"",MAX(0,SUMIF('Backlog'!$B$6:$B$25,"S4",'Backlog'!$E$6:$E$25)*(Burndown!$C$8-P187)/(Burndown!$C$8-Burndown!$B$8)))</x:f>
      </x:c>
      <x:c r="P187" s="10" t="str">
        <x:f>IF(OR('Work Log'!$E$190&lt;&gt;"S4",'Work Log'!$A$190=""),"",'Work Log'!$A$190)</x:f>
      </x:c>
      <x:c r="Q187" t="str">
        <x:f>IF(T187="","",TEXT(T187,"mm/dd/yy"))</x:f>
      </x:c>
      <x:c r="R187" s="11" t="str">
        <x:f>IF(OR(T187="",SUMIF('Backlog'!$B$6:$B$25,"S5",'Backlog'!$E$6:$E$25)=0,Burndown!$B$9="",Burndown!$C$9=""),"",MAX(0,SUMIF('Backlog'!$B$6:$B$25,"S5",'Backlog'!$E$6:$E$25)-SUMIFS('Work Log'!$D$6:$D$205,'Work Log'!$E$6:$E$205,"S5",'Work Log'!$A$6:$A$205,"&lt;="&amp;T187)))</x:f>
      </x:c>
      <x:c r="S187" s="11" t="str">
        <x:f>IF(OR(T187="",SUMIF('Backlog'!$B$6:$B$25,"S5",'Backlog'!$E$6:$E$25)=0,Burndown!$B$9="",Burndown!$C$9="",Burndown!$C$9&lt;=Burndown!$B$9),"",MAX(0,SUMIF('Backlog'!$B$6:$B$25,"S5",'Backlog'!$E$6:$E$25)*(Burndown!$C$9-T187)/(Burndown!$C$9-Burndown!$B$9)))</x:f>
      </x:c>
      <x:c r="T187" s="10" t="str">
        <x:f>IF(OR('Work Log'!$E$190&lt;&gt;"S5",'Work Log'!$A$190=""),"",'Work Log'!$A$190)</x:f>
      </x:c>
    </x:row>
    <x:row r="188">
      <x:c r="A188" t="str">
        <x:f>IF(D188="","",TEXT(D188,"mm/dd/yy"))</x:f>
      </x:c>
      <x:c r="B188" s="11" t="str">
        <x:f>IF(OR(D188="",SUMIF('Backlog'!$B$6:$B$25,"S1",'Backlog'!$E$6:$E$25)=0,Burndown!$B$5="",Burndown!$C$5=""),"",MAX(0,SUMIF('Backlog'!$B$6:$B$25,"S1",'Backlog'!$E$6:$E$25)-SUMIFS('Work Log'!$D$6:$D$205,'Work Log'!$E$6:$E$205,"S1",'Work Log'!$A$6:$A$205,"&lt;="&amp;D188)))</x:f>
      </x:c>
      <x:c r="C188" s="11" t="str">
        <x:f>IF(OR(D188="",SUMIF('Backlog'!$B$6:$B$25,"S1",'Backlog'!$E$6:$E$25)=0,Burndown!$B$5="",Burndown!$C$5="",Burndown!$C$5&lt;=Burndown!$B$5),"",MAX(0,SUMIF('Backlog'!$B$6:$B$25,"S1",'Backlog'!$E$6:$E$25)*(Burndown!$C$5-D188)/(Burndown!$C$5-Burndown!$B$5)))</x:f>
      </x:c>
      <x:c r="D188" s="10" t="str">
        <x:f>IF(OR('Work Log'!$E$191&lt;&gt;"S1",'Work Log'!$A$191=""),"",'Work Log'!$A$191)</x:f>
      </x:c>
      <x:c r="E188" t="str">
        <x:f>IF(H188="","",TEXT(H188,"mm/dd/yy"))</x:f>
      </x:c>
      <x:c r="F188" s="11" t="str">
        <x:f>IF(OR(H188="",SUMIF('Backlog'!$B$6:$B$25,"S2",'Backlog'!$E$6:$E$25)=0,Burndown!$B$6="",Burndown!$C$6=""),"",MAX(0,SUMIF('Backlog'!$B$6:$B$25,"S2",'Backlog'!$E$6:$E$25)-SUMIFS('Work Log'!$D$6:$D$205,'Work Log'!$E$6:$E$205,"S2",'Work Log'!$A$6:$A$205,"&lt;="&amp;H188)))</x:f>
      </x:c>
      <x:c r="G188" s="11" t="str">
        <x:f>IF(OR(H188="",SUMIF('Backlog'!$B$6:$B$25,"S2",'Backlog'!$E$6:$E$25)=0,Burndown!$B$6="",Burndown!$C$6="",Burndown!$C$6&lt;=Burndown!$B$6),"",MAX(0,SUMIF('Backlog'!$B$6:$B$25,"S2",'Backlog'!$E$6:$E$25)*(Burndown!$C$6-H188)/(Burndown!$C$6-Burndown!$B$6)))</x:f>
      </x:c>
      <x:c r="H188" s="10" t="str">
        <x:f>IF(OR('Work Log'!$E$191&lt;&gt;"S2",'Work Log'!$A$191=""),"",'Work Log'!$A$191)</x:f>
      </x:c>
      <x:c r="I188" t="str">
        <x:f>IF(L188="","",TEXT(L188,"mm/dd/yy"))</x:f>
      </x:c>
      <x:c r="J188" s="11" t="str">
        <x:f>IF(OR(L188="",SUMIF('Backlog'!$B$6:$B$25,"S3",'Backlog'!$E$6:$E$25)=0,Burndown!$B$7="",Burndown!$C$7=""),"",MAX(0,SUMIF('Backlog'!$B$6:$B$25,"S3",'Backlog'!$E$6:$E$25)-SUMIFS('Work Log'!$D$6:$D$205,'Work Log'!$E$6:$E$205,"S3",'Work Log'!$A$6:$A$205,"&lt;="&amp;L188)))</x:f>
      </x:c>
      <x:c r="K188" s="11" t="str">
        <x:f>IF(OR(L188="",SUMIF('Backlog'!$B$6:$B$25,"S3",'Backlog'!$E$6:$E$25)=0,Burndown!$B$7="",Burndown!$C$7="",Burndown!$C$7&lt;=Burndown!$B$7),"",MAX(0,SUMIF('Backlog'!$B$6:$B$25,"S3",'Backlog'!$E$6:$E$25)*(Burndown!$C$7-L188)/(Burndown!$C$7-Burndown!$B$7)))</x:f>
      </x:c>
      <x:c r="L188" s="10" t="str">
        <x:f>IF(OR('Work Log'!$E$191&lt;&gt;"S3",'Work Log'!$A$191=""),"",'Work Log'!$A$191)</x:f>
      </x:c>
      <x:c r="M188" t="str">
        <x:f>IF(P188="","",TEXT(P188,"mm/dd/yy"))</x:f>
      </x:c>
      <x:c r="N188" s="11" t="str">
        <x:f>IF(OR(P188="",SUMIF('Backlog'!$B$6:$B$25,"S4",'Backlog'!$E$6:$E$25)=0,Burndown!$B$8="",Burndown!$C$8=""),"",MAX(0,SUMIF('Backlog'!$B$6:$B$25,"S4",'Backlog'!$E$6:$E$25)-SUMIFS('Work Log'!$D$6:$D$205,'Work Log'!$E$6:$E$205,"S4",'Work Log'!$A$6:$A$205,"&lt;="&amp;P188)))</x:f>
      </x:c>
      <x:c r="O188" s="11" t="str">
        <x:f>IF(OR(P188="",SUMIF('Backlog'!$B$6:$B$25,"S4",'Backlog'!$E$6:$E$25)=0,Burndown!$B$8="",Burndown!$C$8="",Burndown!$C$8&lt;=Burndown!$B$8),"",MAX(0,SUMIF('Backlog'!$B$6:$B$25,"S4",'Backlog'!$E$6:$E$25)*(Burndown!$C$8-P188)/(Burndown!$C$8-Burndown!$B$8)))</x:f>
      </x:c>
      <x:c r="P188" s="10" t="str">
        <x:f>IF(OR('Work Log'!$E$191&lt;&gt;"S4",'Work Log'!$A$191=""),"",'Work Log'!$A$191)</x:f>
      </x:c>
      <x:c r="Q188" t="str">
        <x:f>IF(T188="","",TEXT(T188,"mm/dd/yy"))</x:f>
      </x:c>
      <x:c r="R188" s="11" t="str">
        <x:f>IF(OR(T188="",SUMIF('Backlog'!$B$6:$B$25,"S5",'Backlog'!$E$6:$E$25)=0,Burndown!$B$9="",Burndown!$C$9=""),"",MAX(0,SUMIF('Backlog'!$B$6:$B$25,"S5",'Backlog'!$E$6:$E$25)-SUMIFS('Work Log'!$D$6:$D$205,'Work Log'!$E$6:$E$205,"S5",'Work Log'!$A$6:$A$205,"&lt;="&amp;T188)))</x:f>
      </x:c>
      <x:c r="S188" s="11" t="str">
        <x:f>IF(OR(T188="",SUMIF('Backlog'!$B$6:$B$25,"S5",'Backlog'!$E$6:$E$25)=0,Burndown!$B$9="",Burndown!$C$9="",Burndown!$C$9&lt;=Burndown!$B$9),"",MAX(0,SUMIF('Backlog'!$B$6:$B$25,"S5",'Backlog'!$E$6:$E$25)*(Burndown!$C$9-T188)/(Burndown!$C$9-Burndown!$B$9)))</x:f>
      </x:c>
      <x:c r="T188" s="10" t="str">
        <x:f>IF(OR('Work Log'!$E$191&lt;&gt;"S5",'Work Log'!$A$191=""),"",'Work Log'!$A$191)</x:f>
      </x:c>
    </x:row>
    <x:row r="189">
      <x:c r="A189" t="str">
        <x:f>IF(D189="","",TEXT(D189,"mm/dd/yy"))</x:f>
      </x:c>
      <x:c r="B189" s="11" t="str">
        <x:f>IF(OR(D189="",SUMIF('Backlog'!$B$6:$B$25,"S1",'Backlog'!$E$6:$E$25)=0,Burndown!$B$5="",Burndown!$C$5=""),"",MAX(0,SUMIF('Backlog'!$B$6:$B$25,"S1",'Backlog'!$E$6:$E$25)-SUMIFS('Work Log'!$D$6:$D$205,'Work Log'!$E$6:$E$205,"S1",'Work Log'!$A$6:$A$205,"&lt;="&amp;D189)))</x:f>
      </x:c>
      <x:c r="C189" s="11" t="str">
        <x:f>IF(OR(D189="",SUMIF('Backlog'!$B$6:$B$25,"S1",'Backlog'!$E$6:$E$25)=0,Burndown!$B$5="",Burndown!$C$5="",Burndown!$C$5&lt;=Burndown!$B$5),"",MAX(0,SUMIF('Backlog'!$B$6:$B$25,"S1",'Backlog'!$E$6:$E$25)*(Burndown!$C$5-D189)/(Burndown!$C$5-Burndown!$B$5)))</x:f>
      </x:c>
      <x:c r="D189" s="10" t="str">
        <x:f>IF(OR('Work Log'!$E$192&lt;&gt;"S1",'Work Log'!$A$192=""),"",'Work Log'!$A$192)</x:f>
      </x:c>
      <x:c r="E189" t="str">
        <x:f>IF(H189="","",TEXT(H189,"mm/dd/yy"))</x:f>
      </x:c>
      <x:c r="F189" s="11" t="str">
        <x:f>IF(OR(H189="",SUMIF('Backlog'!$B$6:$B$25,"S2",'Backlog'!$E$6:$E$25)=0,Burndown!$B$6="",Burndown!$C$6=""),"",MAX(0,SUMIF('Backlog'!$B$6:$B$25,"S2",'Backlog'!$E$6:$E$25)-SUMIFS('Work Log'!$D$6:$D$205,'Work Log'!$E$6:$E$205,"S2",'Work Log'!$A$6:$A$205,"&lt;="&amp;H189)))</x:f>
      </x:c>
      <x:c r="G189" s="11" t="str">
        <x:f>IF(OR(H189="",SUMIF('Backlog'!$B$6:$B$25,"S2",'Backlog'!$E$6:$E$25)=0,Burndown!$B$6="",Burndown!$C$6="",Burndown!$C$6&lt;=Burndown!$B$6),"",MAX(0,SUMIF('Backlog'!$B$6:$B$25,"S2",'Backlog'!$E$6:$E$25)*(Burndown!$C$6-H189)/(Burndown!$C$6-Burndown!$B$6)))</x:f>
      </x:c>
      <x:c r="H189" s="10" t="str">
        <x:f>IF(OR('Work Log'!$E$192&lt;&gt;"S2",'Work Log'!$A$192=""),"",'Work Log'!$A$192)</x:f>
      </x:c>
      <x:c r="I189" t="str">
        <x:f>IF(L189="","",TEXT(L189,"mm/dd/yy"))</x:f>
      </x:c>
      <x:c r="J189" s="11" t="str">
        <x:f>IF(OR(L189="",SUMIF('Backlog'!$B$6:$B$25,"S3",'Backlog'!$E$6:$E$25)=0,Burndown!$B$7="",Burndown!$C$7=""),"",MAX(0,SUMIF('Backlog'!$B$6:$B$25,"S3",'Backlog'!$E$6:$E$25)-SUMIFS('Work Log'!$D$6:$D$205,'Work Log'!$E$6:$E$205,"S3",'Work Log'!$A$6:$A$205,"&lt;="&amp;L189)))</x:f>
      </x:c>
      <x:c r="K189" s="11" t="str">
        <x:f>IF(OR(L189="",SUMIF('Backlog'!$B$6:$B$25,"S3",'Backlog'!$E$6:$E$25)=0,Burndown!$B$7="",Burndown!$C$7="",Burndown!$C$7&lt;=Burndown!$B$7),"",MAX(0,SUMIF('Backlog'!$B$6:$B$25,"S3",'Backlog'!$E$6:$E$25)*(Burndown!$C$7-L189)/(Burndown!$C$7-Burndown!$B$7)))</x:f>
      </x:c>
      <x:c r="L189" s="10" t="str">
        <x:f>IF(OR('Work Log'!$E$192&lt;&gt;"S3",'Work Log'!$A$192=""),"",'Work Log'!$A$192)</x:f>
      </x:c>
      <x:c r="M189" t="str">
        <x:f>IF(P189="","",TEXT(P189,"mm/dd/yy"))</x:f>
      </x:c>
      <x:c r="N189" s="11" t="str">
        <x:f>IF(OR(P189="",SUMIF('Backlog'!$B$6:$B$25,"S4",'Backlog'!$E$6:$E$25)=0,Burndown!$B$8="",Burndown!$C$8=""),"",MAX(0,SUMIF('Backlog'!$B$6:$B$25,"S4",'Backlog'!$E$6:$E$25)-SUMIFS('Work Log'!$D$6:$D$205,'Work Log'!$E$6:$E$205,"S4",'Work Log'!$A$6:$A$205,"&lt;="&amp;P189)))</x:f>
      </x:c>
      <x:c r="O189" s="11" t="str">
        <x:f>IF(OR(P189="",SUMIF('Backlog'!$B$6:$B$25,"S4",'Backlog'!$E$6:$E$25)=0,Burndown!$B$8="",Burndown!$C$8="",Burndown!$C$8&lt;=Burndown!$B$8),"",MAX(0,SUMIF('Backlog'!$B$6:$B$25,"S4",'Backlog'!$E$6:$E$25)*(Burndown!$C$8-P189)/(Burndown!$C$8-Burndown!$B$8)))</x:f>
      </x:c>
      <x:c r="P189" s="10" t="str">
        <x:f>IF(OR('Work Log'!$E$192&lt;&gt;"S4",'Work Log'!$A$192=""),"",'Work Log'!$A$192)</x:f>
      </x:c>
      <x:c r="Q189" t="str">
        <x:f>IF(T189="","",TEXT(T189,"mm/dd/yy"))</x:f>
      </x:c>
      <x:c r="R189" s="11" t="str">
        <x:f>IF(OR(T189="",SUMIF('Backlog'!$B$6:$B$25,"S5",'Backlog'!$E$6:$E$25)=0,Burndown!$B$9="",Burndown!$C$9=""),"",MAX(0,SUMIF('Backlog'!$B$6:$B$25,"S5",'Backlog'!$E$6:$E$25)-SUMIFS('Work Log'!$D$6:$D$205,'Work Log'!$E$6:$E$205,"S5",'Work Log'!$A$6:$A$205,"&lt;="&amp;T189)))</x:f>
      </x:c>
      <x:c r="S189" s="11" t="str">
        <x:f>IF(OR(T189="",SUMIF('Backlog'!$B$6:$B$25,"S5",'Backlog'!$E$6:$E$25)=0,Burndown!$B$9="",Burndown!$C$9="",Burndown!$C$9&lt;=Burndown!$B$9),"",MAX(0,SUMIF('Backlog'!$B$6:$B$25,"S5",'Backlog'!$E$6:$E$25)*(Burndown!$C$9-T189)/(Burndown!$C$9-Burndown!$B$9)))</x:f>
      </x:c>
      <x:c r="T189" s="10" t="str">
        <x:f>IF(OR('Work Log'!$E$192&lt;&gt;"S5",'Work Log'!$A$192=""),"",'Work Log'!$A$192)</x:f>
      </x:c>
    </x:row>
    <x:row r="190">
      <x:c r="A190" t="str">
        <x:f>IF(D190="","",TEXT(D190,"mm/dd/yy"))</x:f>
      </x:c>
      <x:c r="B190" s="11" t="str">
        <x:f>IF(OR(D190="",SUMIF('Backlog'!$B$6:$B$25,"S1",'Backlog'!$E$6:$E$25)=0,Burndown!$B$5="",Burndown!$C$5=""),"",MAX(0,SUMIF('Backlog'!$B$6:$B$25,"S1",'Backlog'!$E$6:$E$25)-SUMIFS('Work Log'!$D$6:$D$205,'Work Log'!$E$6:$E$205,"S1",'Work Log'!$A$6:$A$205,"&lt;="&amp;D190)))</x:f>
      </x:c>
      <x:c r="C190" s="11" t="str">
        <x:f>IF(OR(D190="",SUMIF('Backlog'!$B$6:$B$25,"S1",'Backlog'!$E$6:$E$25)=0,Burndown!$B$5="",Burndown!$C$5="",Burndown!$C$5&lt;=Burndown!$B$5),"",MAX(0,SUMIF('Backlog'!$B$6:$B$25,"S1",'Backlog'!$E$6:$E$25)*(Burndown!$C$5-D190)/(Burndown!$C$5-Burndown!$B$5)))</x:f>
      </x:c>
      <x:c r="D190" s="10" t="str">
        <x:f>IF(OR('Work Log'!$E$193&lt;&gt;"S1",'Work Log'!$A$193=""),"",'Work Log'!$A$193)</x:f>
      </x:c>
      <x:c r="E190" t="str">
        <x:f>IF(H190="","",TEXT(H190,"mm/dd/yy"))</x:f>
      </x:c>
      <x:c r="F190" s="11" t="str">
        <x:f>IF(OR(H190="",SUMIF('Backlog'!$B$6:$B$25,"S2",'Backlog'!$E$6:$E$25)=0,Burndown!$B$6="",Burndown!$C$6=""),"",MAX(0,SUMIF('Backlog'!$B$6:$B$25,"S2",'Backlog'!$E$6:$E$25)-SUMIFS('Work Log'!$D$6:$D$205,'Work Log'!$E$6:$E$205,"S2",'Work Log'!$A$6:$A$205,"&lt;="&amp;H190)))</x:f>
      </x:c>
      <x:c r="G190" s="11" t="str">
        <x:f>IF(OR(H190="",SUMIF('Backlog'!$B$6:$B$25,"S2",'Backlog'!$E$6:$E$25)=0,Burndown!$B$6="",Burndown!$C$6="",Burndown!$C$6&lt;=Burndown!$B$6),"",MAX(0,SUMIF('Backlog'!$B$6:$B$25,"S2",'Backlog'!$E$6:$E$25)*(Burndown!$C$6-H190)/(Burndown!$C$6-Burndown!$B$6)))</x:f>
      </x:c>
      <x:c r="H190" s="10" t="str">
        <x:f>IF(OR('Work Log'!$E$193&lt;&gt;"S2",'Work Log'!$A$193=""),"",'Work Log'!$A$193)</x:f>
      </x:c>
      <x:c r="I190" t="str">
        <x:f>IF(L190="","",TEXT(L190,"mm/dd/yy"))</x:f>
      </x:c>
      <x:c r="J190" s="11" t="str">
        <x:f>IF(OR(L190="",SUMIF('Backlog'!$B$6:$B$25,"S3",'Backlog'!$E$6:$E$25)=0,Burndown!$B$7="",Burndown!$C$7=""),"",MAX(0,SUMIF('Backlog'!$B$6:$B$25,"S3",'Backlog'!$E$6:$E$25)-SUMIFS('Work Log'!$D$6:$D$205,'Work Log'!$E$6:$E$205,"S3",'Work Log'!$A$6:$A$205,"&lt;="&amp;L190)))</x:f>
      </x:c>
      <x:c r="K190" s="11" t="str">
        <x:f>IF(OR(L190="",SUMIF('Backlog'!$B$6:$B$25,"S3",'Backlog'!$E$6:$E$25)=0,Burndown!$B$7="",Burndown!$C$7="",Burndown!$C$7&lt;=Burndown!$B$7),"",MAX(0,SUMIF('Backlog'!$B$6:$B$25,"S3",'Backlog'!$E$6:$E$25)*(Burndown!$C$7-L190)/(Burndown!$C$7-Burndown!$B$7)))</x:f>
      </x:c>
      <x:c r="L190" s="10" t="str">
        <x:f>IF(OR('Work Log'!$E$193&lt;&gt;"S3",'Work Log'!$A$193=""),"",'Work Log'!$A$193)</x:f>
      </x:c>
      <x:c r="M190" t="str">
        <x:f>IF(P190="","",TEXT(P190,"mm/dd/yy"))</x:f>
      </x:c>
      <x:c r="N190" s="11" t="str">
        <x:f>IF(OR(P190="",SUMIF('Backlog'!$B$6:$B$25,"S4",'Backlog'!$E$6:$E$25)=0,Burndown!$B$8="",Burndown!$C$8=""),"",MAX(0,SUMIF('Backlog'!$B$6:$B$25,"S4",'Backlog'!$E$6:$E$25)-SUMIFS('Work Log'!$D$6:$D$205,'Work Log'!$E$6:$E$205,"S4",'Work Log'!$A$6:$A$205,"&lt;="&amp;P190)))</x:f>
      </x:c>
      <x:c r="O190" s="11" t="str">
        <x:f>IF(OR(P190="",SUMIF('Backlog'!$B$6:$B$25,"S4",'Backlog'!$E$6:$E$25)=0,Burndown!$B$8="",Burndown!$C$8="",Burndown!$C$8&lt;=Burndown!$B$8),"",MAX(0,SUMIF('Backlog'!$B$6:$B$25,"S4",'Backlog'!$E$6:$E$25)*(Burndown!$C$8-P190)/(Burndown!$C$8-Burndown!$B$8)))</x:f>
      </x:c>
      <x:c r="P190" s="10" t="str">
        <x:f>IF(OR('Work Log'!$E$193&lt;&gt;"S4",'Work Log'!$A$193=""),"",'Work Log'!$A$193)</x:f>
      </x:c>
      <x:c r="Q190" t="str">
        <x:f>IF(T190="","",TEXT(T190,"mm/dd/yy"))</x:f>
      </x:c>
      <x:c r="R190" s="11" t="str">
        <x:f>IF(OR(T190="",SUMIF('Backlog'!$B$6:$B$25,"S5",'Backlog'!$E$6:$E$25)=0,Burndown!$B$9="",Burndown!$C$9=""),"",MAX(0,SUMIF('Backlog'!$B$6:$B$25,"S5",'Backlog'!$E$6:$E$25)-SUMIFS('Work Log'!$D$6:$D$205,'Work Log'!$E$6:$E$205,"S5",'Work Log'!$A$6:$A$205,"&lt;="&amp;T190)))</x:f>
      </x:c>
      <x:c r="S190" s="11" t="str">
        <x:f>IF(OR(T190="",SUMIF('Backlog'!$B$6:$B$25,"S5",'Backlog'!$E$6:$E$25)=0,Burndown!$B$9="",Burndown!$C$9="",Burndown!$C$9&lt;=Burndown!$B$9),"",MAX(0,SUMIF('Backlog'!$B$6:$B$25,"S5",'Backlog'!$E$6:$E$25)*(Burndown!$C$9-T190)/(Burndown!$C$9-Burndown!$B$9)))</x:f>
      </x:c>
      <x:c r="T190" s="10" t="str">
        <x:f>IF(OR('Work Log'!$E$193&lt;&gt;"S5",'Work Log'!$A$193=""),"",'Work Log'!$A$193)</x:f>
      </x:c>
    </x:row>
    <x:row r="191">
      <x:c r="A191" t="str">
        <x:f>IF(D191="","",TEXT(D191,"mm/dd/yy"))</x:f>
      </x:c>
      <x:c r="B191" s="11" t="str">
        <x:f>IF(OR(D191="",SUMIF('Backlog'!$B$6:$B$25,"S1",'Backlog'!$E$6:$E$25)=0,Burndown!$B$5="",Burndown!$C$5=""),"",MAX(0,SUMIF('Backlog'!$B$6:$B$25,"S1",'Backlog'!$E$6:$E$25)-SUMIFS('Work Log'!$D$6:$D$205,'Work Log'!$E$6:$E$205,"S1",'Work Log'!$A$6:$A$205,"&lt;="&amp;D191)))</x:f>
      </x:c>
      <x:c r="C191" s="11" t="str">
        <x:f>IF(OR(D191="",SUMIF('Backlog'!$B$6:$B$25,"S1",'Backlog'!$E$6:$E$25)=0,Burndown!$B$5="",Burndown!$C$5="",Burndown!$C$5&lt;=Burndown!$B$5),"",MAX(0,SUMIF('Backlog'!$B$6:$B$25,"S1",'Backlog'!$E$6:$E$25)*(Burndown!$C$5-D191)/(Burndown!$C$5-Burndown!$B$5)))</x:f>
      </x:c>
      <x:c r="D191" s="10" t="str">
        <x:f>IF(OR('Work Log'!$E$194&lt;&gt;"S1",'Work Log'!$A$194=""),"",'Work Log'!$A$194)</x:f>
      </x:c>
      <x:c r="E191" t="str">
        <x:f>IF(H191="","",TEXT(H191,"mm/dd/yy"))</x:f>
      </x:c>
      <x:c r="F191" s="11" t="str">
        <x:f>IF(OR(H191="",SUMIF('Backlog'!$B$6:$B$25,"S2",'Backlog'!$E$6:$E$25)=0,Burndown!$B$6="",Burndown!$C$6=""),"",MAX(0,SUMIF('Backlog'!$B$6:$B$25,"S2",'Backlog'!$E$6:$E$25)-SUMIFS('Work Log'!$D$6:$D$205,'Work Log'!$E$6:$E$205,"S2",'Work Log'!$A$6:$A$205,"&lt;="&amp;H191)))</x:f>
      </x:c>
      <x:c r="G191" s="11" t="str">
        <x:f>IF(OR(H191="",SUMIF('Backlog'!$B$6:$B$25,"S2",'Backlog'!$E$6:$E$25)=0,Burndown!$B$6="",Burndown!$C$6="",Burndown!$C$6&lt;=Burndown!$B$6),"",MAX(0,SUMIF('Backlog'!$B$6:$B$25,"S2",'Backlog'!$E$6:$E$25)*(Burndown!$C$6-H191)/(Burndown!$C$6-Burndown!$B$6)))</x:f>
      </x:c>
      <x:c r="H191" s="10" t="str">
        <x:f>IF(OR('Work Log'!$E$194&lt;&gt;"S2",'Work Log'!$A$194=""),"",'Work Log'!$A$194)</x:f>
      </x:c>
      <x:c r="I191" t="str">
        <x:f>IF(L191="","",TEXT(L191,"mm/dd/yy"))</x:f>
      </x:c>
      <x:c r="J191" s="11" t="str">
        <x:f>IF(OR(L191="",SUMIF('Backlog'!$B$6:$B$25,"S3",'Backlog'!$E$6:$E$25)=0,Burndown!$B$7="",Burndown!$C$7=""),"",MAX(0,SUMIF('Backlog'!$B$6:$B$25,"S3",'Backlog'!$E$6:$E$25)-SUMIFS('Work Log'!$D$6:$D$205,'Work Log'!$E$6:$E$205,"S3",'Work Log'!$A$6:$A$205,"&lt;="&amp;L191)))</x:f>
      </x:c>
      <x:c r="K191" s="11" t="str">
        <x:f>IF(OR(L191="",SUMIF('Backlog'!$B$6:$B$25,"S3",'Backlog'!$E$6:$E$25)=0,Burndown!$B$7="",Burndown!$C$7="",Burndown!$C$7&lt;=Burndown!$B$7),"",MAX(0,SUMIF('Backlog'!$B$6:$B$25,"S3",'Backlog'!$E$6:$E$25)*(Burndown!$C$7-L191)/(Burndown!$C$7-Burndown!$B$7)))</x:f>
      </x:c>
      <x:c r="L191" s="10" t="str">
        <x:f>IF(OR('Work Log'!$E$194&lt;&gt;"S3",'Work Log'!$A$194=""),"",'Work Log'!$A$194)</x:f>
      </x:c>
      <x:c r="M191" t="str">
        <x:f>IF(P191="","",TEXT(P191,"mm/dd/yy"))</x:f>
      </x:c>
      <x:c r="N191" s="11" t="str">
        <x:f>IF(OR(P191="",SUMIF('Backlog'!$B$6:$B$25,"S4",'Backlog'!$E$6:$E$25)=0,Burndown!$B$8="",Burndown!$C$8=""),"",MAX(0,SUMIF('Backlog'!$B$6:$B$25,"S4",'Backlog'!$E$6:$E$25)-SUMIFS('Work Log'!$D$6:$D$205,'Work Log'!$E$6:$E$205,"S4",'Work Log'!$A$6:$A$205,"&lt;="&amp;P191)))</x:f>
      </x:c>
      <x:c r="O191" s="11" t="str">
        <x:f>IF(OR(P191="",SUMIF('Backlog'!$B$6:$B$25,"S4",'Backlog'!$E$6:$E$25)=0,Burndown!$B$8="",Burndown!$C$8="",Burndown!$C$8&lt;=Burndown!$B$8),"",MAX(0,SUMIF('Backlog'!$B$6:$B$25,"S4",'Backlog'!$E$6:$E$25)*(Burndown!$C$8-P191)/(Burndown!$C$8-Burndown!$B$8)))</x:f>
      </x:c>
      <x:c r="P191" s="10" t="str">
        <x:f>IF(OR('Work Log'!$E$194&lt;&gt;"S4",'Work Log'!$A$194=""),"",'Work Log'!$A$194)</x:f>
      </x:c>
      <x:c r="Q191" t="str">
        <x:f>IF(T191="","",TEXT(T191,"mm/dd/yy"))</x:f>
      </x:c>
      <x:c r="R191" s="11" t="str">
        <x:f>IF(OR(T191="",SUMIF('Backlog'!$B$6:$B$25,"S5",'Backlog'!$E$6:$E$25)=0,Burndown!$B$9="",Burndown!$C$9=""),"",MAX(0,SUMIF('Backlog'!$B$6:$B$25,"S5",'Backlog'!$E$6:$E$25)-SUMIFS('Work Log'!$D$6:$D$205,'Work Log'!$E$6:$E$205,"S5",'Work Log'!$A$6:$A$205,"&lt;="&amp;T191)))</x:f>
      </x:c>
      <x:c r="S191" s="11" t="str">
        <x:f>IF(OR(T191="",SUMIF('Backlog'!$B$6:$B$25,"S5",'Backlog'!$E$6:$E$25)=0,Burndown!$B$9="",Burndown!$C$9="",Burndown!$C$9&lt;=Burndown!$B$9),"",MAX(0,SUMIF('Backlog'!$B$6:$B$25,"S5",'Backlog'!$E$6:$E$25)*(Burndown!$C$9-T191)/(Burndown!$C$9-Burndown!$B$9)))</x:f>
      </x:c>
      <x:c r="T191" s="10" t="str">
        <x:f>IF(OR('Work Log'!$E$194&lt;&gt;"S5",'Work Log'!$A$194=""),"",'Work Log'!$A$194)</x:f>
      </x:c>
    </x:row>
    <x:row r="192">
      <x:c r="A192" t="str">
        <x:f>IF(D192="","",TEXT(D192,"mm/dd/yy"))</x:f>
      </x:c>
      <x:c r="B192" s="11" t="str">
        <x:f>IF(OR(D192="",SUMIF('Backlog'!$B$6:$B$25,"S1",'Backlog'!$E$6:$E$25)=0,Burndown!$B$5="",Burndown!$C$5=""),"",MAX(0,SUMIF('Backlog'!$B$6:$B$25,"S1",'Backlog'!$E$6:$E$25)-SUMIFS('Work Log'!$D$6:$D$205,'Work Log'!$E$6:$E$205,"S1",'Work Log'!$A$6:$A$205,"&lt;="&amp;D192)))</x:f>
      </x:c>
      <x:c r="C192" s="11" t="str">
        <x:f>IF(OR(D192="",SUMIF('Backlog'!$B$6:$B$25,"S1",'Backlog'!$E$6:$E$25)=0,Burndown!$B$5="",Burndown!$C$5="",Burndown!$C$5&lt;=Burndown!$B$5),"",MAX(0,SUMIF('Backlog'!$B$6:$B$25,"S1",'Backlog'!$E$6:$E$25)*(Burndown!$C$5-D192)/(Burndown!$C$5-Burndown!$B$5)))</x:f>
      </x:c>
      <x:c r="D192" s="10" t="str">
        <x:f>IF(OR('Work Log'!$E$195&lt;&gt;"S1",'Work Log'!$A$195=""),"",'Work Log'!$A$195)</x:f>
      </x:c>
      <x:c r="E192" t="str">
        <x:f>IF(H192="","",TEXT(H192,"mm/dd/yy"))</x:f>
      </x:c>
      <x:c r="F192" s="11" t="str">
        <x:f>IF(OR(H192="",SUMIF('Backlog'!$B$6:$B$25,"S2",'Backlog'!$E$6:$E$25)=0,Burndown!$B$6="",Burndown!$C$6=""),"",MAX(0,SUMIF('Backlog'!$B$6:$B$25,"S2",'Backlog'!$E$6:$E$25)-SUMIFS('Work Log'!$D$6:$D$205,'Work Log'!$E$6:$E$205,"S2",'Work Log'!$A$6:$A$205,"&lt;="&amp;H192)))</x:f>
      </x:c>
      <x:c r="G192" s="11" t="str">
        <x:f>IF(OR(H192="",SUMIF('Backlog'!$B$6:$B$25,"S2",'Backlog'!$E$6:$E$25)=0,Burndown!$B$6="",Burndown!$C$6="",Burndown!$C$6&lt;=Burndown!$B$6),"",MAX(0,SUMIF('Backlog'!$B$6:$B$25,"S2",'Backlog'!$E$6:$E$25)*(Burndown!$C$6-H192)/(Burndown!$C$6-Burndown!$B$6)))</x:f>
      </x:c>
      <x:c r="H192" s="10" t="str">
        <x:f>IF(OR('Work Log'!$E$195&lt;&gt;"S2",'Work Log'!$A$195=""),"",'Work Log'!$A$195)</x:f>
      </x:c>
      <x:c r="I192" t="str">
        <x:f>IF(L192="","",TEXT(L192,"mm/dd/yy"))</x:f>
      </x:c>
      <x:c r="J192" s="11" t="str">
        <x:f>IF(OR(L192="",SUMIF('Backlog'!$B$6:$B$25,"S3",'Backlog'!$E$6:$E$25)=0,Burndown!$B$7="",Burndown!$C$7=""),"",MAX(0,SUMIF('Backlog'!$B$6:$B$25,"S3",'Backlog'!$E$6:$E$25)-SUMIFS('Work Log'!$D$6:$D$205,'Work Log'!$E$6:$E$205,"S3",'Work Log'!$A$6:$A$205,"&lt;="&amp;L192)))</x:f>
      </x:c>
      <x:c r="K192" s="11" t="str">
        <x:f>IF(OR(L192="",SUMIF('Backlog'!$B$6:$B$25,"S3",'Backlog'!$E$6:$E$25)=0,Burndown!$B$7="",Burndown!$C$7="",Burndown!$C$7&lt;=Burndown!$B$7),"",MAX(0,SUMIF('Backlog'!$B$6:$B$25,"S3",'Backlog'!$E$6:$E$25)*(Burndown!$C$7-L192)/(Burndown!$C$7-Burndown!$B$7)))</x:f>
      </x:c>
      <x:c r="L192" s="10" t="str">
        <x:f>IF(OR('Work Log'!$E$195&lt;&gt;"S3",'Work Log'!$A$195=""),"",'Work Log'!$A$195)</x:f>
      </x:c>
      <x:c r="M192" t="str">
        <x:f>IF(P192="","",TEXT(P192,"mm/dd/yy"))</x:f>
      </x:c>
      <x:c r="N192" s="11" t="str">
        <x:f>IF(OR(P192="",SUMIF('Backlog'!$B$6:$B$25,"S4",'Backlog'!$E$6:$E$25)=0,Burndown!$B$8="",Burndown!$C$8=""),"",MAX(0,SUMIF('Backlog'!$B$6:$B$25,"S4",'Backlog'!$E$6:$E$25)-SUMIFS('Work Log'!$D$6:$D$205,'Work Log'!$E$6:$E$205,"S4",'Work Log'!$A$6:$A$205,"&lt;="&amp;P192)))</x:f>
      </x:c>
      <x:c r="O192" s="11" t="str">
        <x:f>IF(OR(P192="",SUMIF('Backlog'!$B$6:$B$25,"S4",'Backlog'!$E$6:$E$25)=0,Burndown!$B$8="",Burndown!$C$8="",Burndown!$C$8&lt;=Burndown!$B$8),"",MAX(0,SUMIF('Backlog'!$B$6:$B$25,"S4",'Backlog'!$E$6:$E$25)*(Burndown!$C$8-P192)/(Burndown!$C$8-Burndown!$B$8)))</x:f>
      </x:c>
      <x:c r="P192" s="10" t="str">
        <x:f>IF(OR('Work Log'!$E$195&lt;&gt;"S4",'Work Log'!$A$195=""),"",'Work Log'!$A$195)</x:f>
      </x:c>
      <x:c r="Q192" t="str">
        <x:f>IF(T192="","",TEXT(T192,"mm/dd/yy"))</x:f>
      </x:c>
      <x:c r="R192" s="11" t="str">
        <x:f>IF(OR(T192="",SUMIF('Backlog'!$B$6:$B$25,"S5",'Backlog'!$E$6:$E$25)=0,Burndown!$B$9="",Burndown!$C$9=""),"",MAX(0,SUMIF('Backlog'!$B$6:$B$25,"S5",'Backlog'!$E$6:$E$25)-SUMIFS('Work Log'!$D$6:$D$205,'Work Log'!$E$6:$E$205,"S5",'Work Log'!$A$6:$A$205,"&lt;="&amp;T192)))</x:f>
      </x:c>
      <x:c r="S192" s="11" t="str">
        <x:f>IF(OR(T192="",SUMIF('Backlog'!$B$6:$B$25,"S5",'Backlog'!$E$6:$E$25)=0,Burndown!$B$9="",Burndown!$C$9="",Burndown!$C$9&lt;=Burndown!$B$9),"",MAX(0,SUMIF('Backlog'!$B$6:$B$25,"S5",'Backlog'!$E$6:$E$25)*(Burndown!$C$9-T192)/(Burndown!$C$9-Burndown!$B$9)))</x:f>
      </x:c>
      <x:c r="T192" s="10" t="str">
        <x:f>IF(OR('Work Log'!$E$195&lt;&gt;"S5",'Work Log'!$A$195=""),"",'Work Log'!$A$195)</x:f>
      </x:c>
    </x:row>
    <x:row r="193">
      <x:c r="A193" t="str">
        <x:f>IF(D193="","",TEXT(D193,"mm/dd/yy"))</x:f>
      </x:c>
      <x:c r="B193" s="11" t="str">
        <x:f>IF(OR(D193="",SUMIF('Backlog'!$B$6:$B$25,"S1",'Backlog'!$E$6:$E$25)=0,Burndown!$B$5="",Burndown!$C$5=""),"",MAX(0,SUMIF('Backlog'!$B$6:$B$25,"S1",'Backlog'!$E$6:$E$25)-SUMIFS('Work Log'!$D$6:$D$205,'Work Log'!$E$6:$E$205,"S1",'Work Log'!$A$6:$A$205,"&lt;="&amp;D193)))</x:f>
      </x:c>
      <x:c r="C193" s="11" t="str">
        <x:f>IF(OR(D193="",SUMIF('Backlog'!$B$6:$B$25,"S1",'Backlog'!$E$6:$E$25)=0,Burndown!$B$5="",Burndown!$C$5="",Burndown!$C$5&lt;=Burndown!$B$5),"",MAX(0,SUMIF('Backlog'!$B$6:$B$25,"S1",'Backlog'!$E$6:$E$25)*(Burndown!$C$5-D193)/(Burndown!$C$5-Burndown!$B$5)))</x:f>
      </x:c>
      <x:c r="D193" s="10" t="str">
        <x:f>IF(OR('Work Log'!$E$196&lt;&gt;"S1",'Work Log'!$A$196=""),"",'Work Log'!$A$196)</x:f>
      </x:c>
      <x:c r="E193" t="str">
        <x:f>IF(H193="","",TEXT(H193,"mm/dd/yy"))</x:f>
      </x:c>
      <x:c r="F193" s="11" t="str">
        <x:f>IF(OR(H193="",SUMIF('Backlog'!$B$6:$B$25,"S2",'Backlog'!$E$6:$E$25)=0,Burndown!$B$6="",Burndown!$C$6=""),"",MAX(0,SUMIF('Backlog'!$B$6:$B$25,"S2",'Backlog'!$E$6:$E$25)-SUMIFS('Work Log'!$D$6:$D$205,'Work Log'!$E$6:$E$205,"S2",'Work Log'!$A$6:$A$205,"&lt;="&amp;H193)))</x:f>
      </x:c>
      <x:c r="G193" s="11" t="str">
        <x:f>IF(OR(H193="",SUMIF('Backlog'!$B$6:$B$25,"S2",'Backlog'!$E$6:$E$25)=0,Burndown!$B$6="",Burndown!$C$6="",Burndown!$C$6&lt;=Burndown!$B$6),"",MAX(0,SUMIF('Backlog'!$B$6:$B$25,"S2",'Backlog'!$E$6:$E$25)*(Burndown!$C$6-H193)/(Burndown!$C$6-Burndown!$B$6)))</x:f>
      </x:c>
      <x:c r="H193" s="10" t="str">
        <x:f>IF(OR('Work Log'!$E$196&lt;&gt;"S2",'Work Log'!$A$196=""),"",'Work Log'!$A$196)</x:f>
      </x:c>
      <x:c r="I193" t="str">
        <x:f>IF(L193="","",TEXT(L193,"mm/dd/yy"))</x:f>
      </x:c>
      <x:c r="J193" s="11" t="str">
        <x:f>IF(OR(L193="",SUMIF('Backlog'!$B$6:$B$25,"S3",'Backlog'!$E$6:$E$25)=0,Burndown!$B$7="",Burndown!$C$7=""),"",MAX(0,SUMIF('Backlog'!$B$6:$B$25,"S3",'Backlog'!$E$6:$E$25)-SUMIFS('Work Log'!$D$6:$D$205,'Work Log'!$E$6:$E$205,"S3",'Work Log'!$A$6:$A$205,"&lt;="&amp;L193)))</x:f>
      </x:c>
      <x:c r="K193" s="11" t="str">
        <x:f>IF(OR(L193="",SUMIF('Backlog'!$B$6:$B$25,"S3",'Backlog'!$E$6:$E$25)=0,Burndown!$B$7="",Burndown!$C$7="",Burndown!$C$7&lt;=Burndown!$B$7),"",MAX(0,SUMIF('Backlog'!$B$6:$B$25,"S3",'Backlog'!$E$6:$E$25)*(Burndown!$C$7-L193)/(Burndown!$C$7-Burndown!$B$7)))</x:f>
      </x:c>
      <x:c r="L193" s="10" t="str">
        <x:f>IF(OR('Work Log'!$E$196&lt;&gt;"S3",'Work Log'!$A$196=""),"",'Work Log'!$A$196)</x:f>
      </x:c>
      <x:c r="M193" t="str">
        <x:f>IF(P193="","",TEXT(P193,"mm/dd/yy"))</x:f>
      </x:c>
      <x:c r="N193" s="11" t="str">
        <x:f>IF(OR(P193="",SUMIF('Backlog'!$B$6:$B$25,"S4",'Backlog'!$E$6:$E$25)=0,Burndown!$B$8="",Burndown!$C$8=""),"",MAX(0,SUMIF('Backlog'!$B$6:$B$25,"S4",'Backlog'!$E$6:$E$25)-SUMIFS('Work Log'!$D$6:$D$205,'Work Log'!$E$6:$E$205,"S4",'Work Log'!$A$6:$A$205,"&lt;="&amp;P193)))</x:f>
      </x:c>
      <x:c r="O193" s="11" t="str">
        <x:f>IF(OR(P193="",SUMIF('Backlog'!$B$6:$B$25,"S4",'Backlog'!$E$6:$E$25)=0,Burndown!$B$8="",Burndown!$C$8="",Burndown!$C$8&lt;=Burndown!$B$8),"",MAX(0,SUMIF('Backlog'!$B$6:$B$25,"S4",'Backlog'!$E$6:$E$25)*(Burndown!$C$8-P193)/(Burndown!$C$8-Burndown!$B$8)))</x:f>
      </x:c>
      <x:c r="P193" s="10" t="str">
        <x:f>IF(OR('Work Log'!$E$196&lt;&gt;"S4",'Work Log'!$A$196=""),"",'Work Log'!$A$196)</x:f>
      </x:c>
      <x:c r="Q193" t="str">
        <x:f>IF(T193="","",TEXT(T193,"mm/dd/yy"))</x:f>
      </x:c>
      <x:c r="R193" s="11" t="str">
        <x:f>IF(OR(T193="",SUMIF('Backlog'!$B$6:$B$25,"S5",'Backlog'!$E$6:$E$25)=0,Burndown!$B$9="",Burndown!$C$9=""),"",MAX(0,SUMIF('Backlog'!$B$6:$B$25,"S5",'Backlog'!$E$6:$E$25)-SUMIFS('Work Log'!$D$6:$D$205,'Work Log'!$E$6:$E$205,"S5",'Work Log'!$A$6:$A$205,"&lt;="&amp;T193)))</x:f>
      </x:c>
      <x:c r="S193" s="11" t="str">
        <x:f>IF(OR(T193="",SUMIF('Backlog'!$B$6:$B$25,"S5",'Backlog'!$E$6:$E$25)=0,Burndown!$B$9="",Burndown!$C$9="",Burndown!$C$9&lt;=Burndown!$B$9),"",MAX(0,SUMIF('Backlog'!$B$6:$B$25,"S5",'Backlog'!$E$6:$E$25)*(Burndown!$C$9-T193)/(Burndown!$C$9-Burndown!$B$9)))</x:f>
      </x:c>
      <x:c r="T193" s="10" t="str">
        <x:f>IF(OR('Work Log'!$E$196&lt;&gt;"S5",'Work Log'!$A$196=""),"",'Work Log'!$A$196)</x:f>
      </x:c>
    </x:row>
    <x:row r="194">
      <x:c r="A194" t="str">
        <x:f>IF(D194="","",TEXT(D194,"mm/dd/yy"))</x:f>
      </x:c>
      <x:c r="B194" s="11" t="str">
        <x:f>IF(OR(D194="",SUMIF('Backlog'!$B$6:$B$25,"S1",'Backlog'!$E$6:$E$25)=0,Burndown!$B$5="",Burndown!$C$5=""),"",MAX(0,SUMIF('Backlog'!$B$6:$B$25,"S1",'Backlog'!$E$6:$E$25)-SUMIFS('Work Log'!$D$6:$D$205,'Work Log'!$E$6:$E$205,"S1",'Work Log'!$A$6:$A$205,"&lt;="&amp;D194)))</x:f>
      </x:c>
      <x:c r="C194" s="11" t="str">
        <x:f>IF(OR(D194="",SUMIF('Backlog'!$B$6:$B$25,"S1",'Backlog'!$E$6:$E$25)=0,Burndown!$B$5="",Burndown!$C$5="",Burndown!$C$5&lt;=Burndown!$B$5),"",MAX(0,SUMIF('Backlog'!$B$6:$B$25,"S1",'Backlog'!$E$6:$E$25)*(Burndown!$C$5-D194)/(Burndown!$C$5-Burndown!$B$5)))</x:f>
      </x:c>
      <x:c r="D194" s="10" t="str">
        <x:f>IF(OR('Work Log'!$E$197&lt;&gt;"S1",'Work Log'!$A$197=""),"",'Work Log'!$A$197)</x:f>
      </x:c>
      <x:c r="E194" t="str">
        <x:f>IF(H194="","",TEXT(H194,"mm/dd/yy"))</x:f>
      </x:c>
      <x:c r="F194" s="11" t="str">
        <x:f>IF(OR(H194="",SUMIF('Backlog'!$B$6:$B$25,"S2",'Backlog'!$E$6:$E$25)=0,Burndown!$B$6="",Burndown!$C$6=""),"",MAX(0,SUMIF('Backlog'!$B$6:$B$25,"S2",'Backlog'!$E$6:$E$25)-SUMIFS('Work Log'!$D$6:$D$205,'Work Log'!$E$6:$E$205,"S2",'Work Log'!$A$6:$A$205,"&lt;="&amp;H194)))</x:f>
      </x:c>
      <x:c r="G194" s="11" t="str">
        <x:f>IF(OR(H194="",SUMIF('Backlog'!$B$6:$B$25,"S2",'Backlog'!$E$6:$E$25)=0,Burndown!$B$6="",Burndown!$C$6="",Burndown!$C$6&lt;=Burndown!$B$6),"",MAX(0,SUMIF('Backlog'!$B$6:$B$25,"S2",'Backlog'!$E$6:$E$25)*(Burndown!$C$6-H194)/(Burndown!$C$6-Burndown!$B$6)))</x:f>
      </x:c>
      <x:c r="H194" s="10" t="str">
        <x:f>IF(OR('Work Log'!$E$197&lt;&gt;"S2",'Work Log'!$A$197=""),"",'Work Log'!$A$197)</x:f>
      </x:c>
      <x:c r="I194" t="str">
        <x:f>IF(L194="","",TEXT(L194,"mm/dd/yy"))</x:f>
      </x:c>
      <x:c r="J194" s="11" t="str">
        <x:f>IF(OR(L194="",SUMIF('Backlog'!$B$6:$B$25,"S3",'Backlog'!$E$6:$E$25)=0,Burndown!$B$7="",Burndown!$C$7=""),"",MAX(0,SUMIF('Backlog'!$B$6:$B$25,"S3",'Backlog'!$E$6:$E$25)-SUMIFS('Work Log'!$D$6:$D$205,'Work Log'!$E$6:$E$205,"S3",'Work Log'!$A$6:$A$205,"&lt;="&amp;L194)))</x:f>
      </x:c>
      <x:c r="K194" s="11" t="str">
        <x:f>IF(OR(L194="",SUMIF('Backlog'!$B$6:$B$25,"S3",'Backlog'!$E$6:$E$25)=0,Burndown!$B$7="",Burndown!$C$7="",Burndown!$C$7&lt;=Burndown!$B$7),"",MAX(0,SUMIF('Backlog'!$B$6:$B$25,"S3",'Backlog'!$E$6:$E$25)*(Burndown!$C$7-L194)/(Burndown!$C$7-Burndown!$B$7)))</x:f>
      </x:c>
      <x:c r="L194" s="10" t="str">
        <x:f>IF(OR('Work Log'!$E$197&lt;&gt;"S3",'Work Log'!$A$197=""),"",'Work Log'!$A$197)</x:f>
      </x:c>
      <x:c r="M194" t="str">
        <x:f>IF(P194="","",TEXT(P194,"mm/dd/yy"))</x:f>
      </x:c>
      <x:c r="N194" s="11" t="str">
        <x:f>IF(OR(P194="",SUMIF('Backlog'!$B$6:$B$25,"S4",'Backlog'!$E$6:$E$25)=0,Burndown!$B$8="",Burndown!$C$8=""),"",MAX(0,SUMIF('Backlog'!$B$6:$B$25,"S4",'Backlog'!$E$6:$E$25)-SUMIFS('Work Log'!$D$6:$D$205,'Work Log'!$E$6:$E$205,"S4",'Work Log'!$A$6:$A$205,"&lt;="&amp;P194)))</x:f>
      </x:c>
      <x:c r="O194" s="11" t="str">
        <x:f>IF(OR(P194="",SUMIF('Backlog'!$B$6:$B$25,"S4",'Backlog'!$E$6:$E$25)=0,Burndown!$B$8="",Burndown!$C$8="",Burndown!$C$8&lt;=Burndown!$B$8),"",MAX(0,SUMIF('Backlog'!$B$6:$B$25,"S4",'Backlog'!$E$6:$E$25)*(Burndown!$C$8-P194)/(Burndown!$C$8-Burndown!$B$8)))</x:f>
      </x:c>
      <x:c r="P194" s="10" t="str">
        <x:f>IF(OR('Work Log'!$E$197&lt;&gt;"S4",'Work Log'!$A$197=""),"",'Work Log'!$A$197)</x:f>
      </x:c>
      <x:c r="Q194" t="str">
        <x:f>IF(T194="","",TEXT(T194,"mm/dd/yy"))</x:f>
      </x:c>
      <x:c r="R194" s="11" t="str">
        <x:f>IF(OR(T194="",SUMIF('Backlog'!$B$6:$B$25,"S5",'Backlog'!$E$6:$E$25)=0,Burndown!$B$9="",Burndown!$C$9=""),"",MAX(0,SUMIF('Backlog'!$B$6:$B$25,"S5",'Backlog'!$E$6:$E$25)-SUMIFS('Work Log'!$D$6:$D$205,'Work Log'!$E$6:$E$205,"S5",'Work Log'!$A$6:$A$205,"&lt;="&amp;T194)))</x:f>
      </x:c>
      <x:c r="S194" s="11" t="str">
        <x:f>IF(OR(T194="",SUMIF('Backlog'!$B$6:$B$25,"S5",'Backlog'!$E$6:$E$25)=0,Burndown!$B$9="",Burndown!$C$9="",Burndown!$C$9&lt;=Burndown!$B$9),"",MAX(0,SUMIF('Backlog'!$B$6:$B$25,"S5",'Backlog'!$E$6:$E$25)*(Burndown!$C$9-T194)/(Burndown!$C$9-Burndown!$B$9)))</x:f>
      </x:c>
      <x:c r="T194" s="10" t="str">
        <x:f>IF(OR('Work Log'!$E$197&lt;&gt;"S5",'Work Log'!$A$197=""),"",'Work Log'!$A$197)</x:f>
      </x:c>
    </x:row>
    <x:row r="195">
      <x:c r="A195" t="str">
        <x:f>IF(D195="","",TEXT(D195,"mm/dd/yy"))</x:f>
      </x:c>
      <x:c r="B195" s="11" t="str">
        <x:f>IF(OR(D195="",SUMIF('Backlog'!$B$6:$B$25,"S1",'Backlog'!$E$6:$E$25)=0,Burndown!$B$5="",Burndown!$C$5=""),"",MAX(0,SUMIF('Backlog'!$B$6:$B$25,"S1",'Backlog'!$E$6:$E$25)-SUMIFS('Work Log'!$D$6:$D$205,'Work Log'!$E$6:$E$205,"S1",'Work Log'!$A$6:$A$205,"&lt;="&amp;D195)))</x:f>
      </x:c>
      <x:c r="C195" s="11" t="str">
        <x:f>IF(OR(D195="",SUMIF('Backlog'!$B$6:$B$25,"S1",'Backlog'!$E$6:$E$25)=0,Burndown!$B$5="",Burndown!$C$5="",Burndown!$C$5&lt;=Burndown!$B$5),"",MAX(0,SUMIF('Backlog'!$B$6:$B$25,"S1",'Backlog'!$E$6:$E$25)*(Burndown!$C$5-D195)/(Burndown!$C$5-Burndown!$B$5)))</x:f>
      </x:c>
      <x:c r="D195" s="10" t="str">
        <x:f>IF(OR('Work Log'!$E$198&lt;&gt;"S1",'Work Log'!$A$198=""),"",'Work Log'!$A$198)</x:f>
      </x:c>
      <x:c r="E195" t="str">
        <x:f>IF(H195="","",TEXT(H195,"mm/dd/yy"))</x:f>
      </x:c>
      <x:c r="F195" s="11" t="str">
        <x:f>IF(OR(H195="",SUMIF('Backlog'!$B$6:$B$25,"S2",'Backlog'!$E$6:$E$25)=0,Burndown!$B$6="",Burndown!$C$6=""),"",MAX(0,SUMIF('Backlog'!$B$6:$B$25,"S2",'Backlog'!$E$6:$E$25)-SUMIFS('Work Log'!$D$6:$D$205,'Work Log'!$E$6:$E$205,"S2",'Work Log'!$A$6:$A$205,"&lt;="&amp;H195)))</x:f>
      </x:c>
      <x:c r="G195" s="11" t="str">
        <x:f>IF(OR(H195="",SUMIF('Backlog'!$B$6:$B$25,"S2",'Backlog'!$E$6:$E$25)=0,Burndown!$B$6="",Burndown!$C$6="",Burndown!$C$6&lt;=Burndown!$B$6),"",MAX(0,SUMIF('Backlog'!$B$6:$B$25,"S2",'Backlog'!$E$6:$E$25)*(Burndown!$C$6-H195)/(Burndown!$C$6-Burndown!$B$6)))</x:f>
      </x:c>
      <x:c r="H195" s="10" t="str">
        <x:f>IF(OR('Work Log'!$E$198&lt;&gt;"S2",'Work Log'!$A$198=""),"",'Work Log'!$A$198)</x:f>
      </x:c>
      <x:c r="I195" t="str">
        <x:f>IF(L195="","",TEXT(L195,"mm/dd/yy"))</x:f>
      </x:c>
      <x:c r="J195" s="11" t="str">
        <x:f>IF(OR(L195="",SUMIF('Backlog'!$B$6:$B$25,"S3",'Backlog'!$E$6:$E$25)=0,Burndown!$B$7="",Burndown!$C$7=""),"",MAX(0,SUMIF('Backlog'!$B$6:$B$25,"S3",'Backlog'!$E$6:$E$25)-SUMIFS('Work Log'!$D$6:$D$205,'Work Log'!$E$6:$E$205,"S3",'Work Log'!$A$6:$A$205,"&lt;="&amp;L195)))</x:f>
      </x:c>
      <x:c r="K195" s="11" t="str">
        <x:f>IF(OR(L195="",SUMIF('Backlog'!$B$6:$B$25,"S3",'Backlog'!$E$6:$E$25)=0,Burndown!$B$7="",Burndown!$C$7="",Burndown!$C$7&lt;=Burndown!$B$7),"",MAX(0,SUMIF('Backlog'!$B$6:$B$25,"S3",'Backlog'!$E$6:$E$25)*(Burndown!$C$7-L195)/(Burndown!$C$7-Burndown!$B$7)))</x:f>
      </x:c>
      <x:c r="L195" s="10" t="str">
        <x:f>IF(OR('Work Log'!$E$198&lt;&gt;"S3",'Work Log'!$A$198=""),"",'Work Log'!$A$198)</x:f>
      </x:c>
      <x:c r="M195" t="str">
        <x:f>IF(P195="","",TEXT(P195,"mm/dd/yy"))</x:f>
      </x:c>
      <x:c r="N195" s="11" t="str">
        <x:f>IF(OR(P195="",SUMIF('Backlog'!$B$6:$B$25,"S4",'Backlog'!$E$6:$E$25)=0,Burndown!$B$8="",Burndown!$C$8=""),"",MAX(0,SUMIF('Backlog'!$B$6:$B$25,"S4",'Backlog'!$E$6:$E$25)-SUMIFS('Work Log'!$D$6:$D$205,'Work Log'!$E$6:$E$205,"S4",'Work Log'!$A$6:$A$205,"&lt;="&amp;P195)))</x:f>
      </x:c>
      <x:c r="O195" s="11" t="str">
        <x:f>IF(OR(P195="",SUMIF('Backlog'!$B$6:$B$25,"S4",'Backlog'!$E$6:$E$25)=0,Burndown!$B$8="",Burndown!$C$8="",Burndown!$C$8&lt;=Burndown!$B$8),"",MAX(0,SUMIF('Backlog'!$B$6:$B$25,"S4",'Backlog'!$E$6:$E$25)*(Burndown!$C$8-P195)/(Burndown!$C$8-Burndown!$B$8)))</x:f>
      </x:c>
      <x:c r="P195" s="10" t="str">
        <x:f>IF(OR('Work Log'!$E$198&lt;&gt;"S4",'Work Log'!$A$198=""),"",'Work Log'!$A$198)</x:f>
      </x:c>
      <x:c r="Q195" t="str">
        <x:f>IF(T195="","",TEXT(T195,"mm/dd/yy"))</x:f>
      </x:c>
      <x:c r="R195" s="11" t="str">
        <x:f>IF(OR(T195="",SUMIF('Backlog'!$B$6:$B$25,"S5",'Backlog'!$E$6:$E$25)=0,Burndown!$B$9="",Burndown!$C$9=""),"",MAX(0,SUMIF('Backlog'!$B$6:$B$25,"S5",'Backlog'!$E$6:$E$25)-SUMIFS('Work Log'!$D$6:$D$205,'Work Log'!$E$6:$E$205,"S5",'Work Log'!$A$6:$A$205,"&lt;="&amp;T195)))</x:f>
      </x:c>
      <x:c r="S195" s="11" t="str">
        <x:f>IF(OR(T195="",SUMIF('Backlog'!$B$6:$B$25,"S5",'Backlog'!$E$6:$E$25)=0,Burndown!$B$9="",Burndown!$C$9="",Burndown!$C$9&lt;=Burndown!$B$9),"",MAX(0,SUMIF('Backlog'!$B$6:$B$25,"S5",'Backlog'!$E$6:$E$25)*(Burndown!$C$9-T195)/(Burndown!$C$9-Burndown!$B$9)))</x:f>
      </x:c>
      <x:c r="T195" s="10" t="str">
        <x:f>IF(OR('Work Log'!$E$198&lt;&gt;"S5",'Work Log'!$A$198=""),"",'Work Log'!$A$198)</x:f>
      </x:c>
    </x:row>
    <x:row r="196">
      <x:c r="A196" t="str">
        <x:f>IF(D196="","",TEXT(D196,"mm/dd/yy"))</x:f>
      </x:c>
      <x:c r="B196" s="11" t="str">
        <x:f>IF(OR(D196="",SUMIF('Backlog'!$B$6:$B$25,"S1",'Backlog'!$E$6:$E$25)=0,Burndown!$B$5="",Burndown!$C$5=""),"",MAX(0,SUMIF('Backlog'!$B$6:$B$25,"S1",'Backlog'!$E$6:$E$25)-SUMIFS('Work Log'!$D$6:$D$205,'Work Log'!$E$6:$E$205,"S1",'Work Log'!$A$6:$A$205,"&lt;="&amp;D196)))</x:f>
      </x:c>
      <x:c r="C196" s="11" t="str">
        <x:f>IF(OR(D196="",SUMIF('Backlog'!$B$6:$B$25,"S1",'Backlog'!$E$6:$E$25)=0,Burndown!$B$5="",Burndown!$C$5="",Burndown!$C$5&lt;=Burndown!$B$5),"",MAX(0,SUMIF('Backlog'!$B$6:$B$25,"S1",'Backlog'!$E$6:$E$25)*(Burndown!$C$5-D196)/(Burndown!$C$5-Burndown!$B$5)))</x:f>
      </x:c>
      <x:c r="D196" s="10" t="str">
        <x:f>IF(OR('Work Log'!$E$199&lt;&gt;"S1",'Work Log'!$A$199=""),"",'Work Log'!$A$199)</x:f>
      </x:c>
      <x:c r="E196" t="str">
        <x:f>IF(H196="","",TEXT(H196,"mm/dd/yy"))</x:f>
      </x:c>
      <x:c r="F196" s="11" t="str">
        <x:f>IF(OR(H196="",SUMIF('Backlog'!$B$6:$B$25,"S2",'Backlog'!$E$6:$E$25)=0,Burndown!$B$6="",Burndown!$C$6=""),"",MAX(0,SUMIF('Backlog'!$B$6:$B$25,"S2",'Backlog'!$E$6:$E$25)-SUMIFS('Work Log'!$D$6:$D$205,'Work Log'!$E$6:$E$205,"S2",'Work Log'!$A$6:$A$205,"&lt;="&amp;H196)))</x:f>
      </x:c>
      <x:c r="G196" s="11" t="str">
        <x:f>IF(OR(H196="",SUMIF('Backlog'!$B$6:$B$25,"S2",'Backlog'!$E$6:$E$25)=0,Burndown!$B$6="",Burndown!$C$6="",Burndown!$C$6&lt;=Burndown!$B$6),"",MAX(0,SUMIF('Backlog'!$B$6:$B$25,"S2",'Backlog'!$E$6:$E$25)*(Burndown!$C$6-H196)/(Burndown!$C$6-Burndown!$B$6)))</x:f>
      </x:c>
      <x:c r="H196" s="10" t="str">
        <x:f>IF(OR('Work Log'!$E$199&lt;&gt;"S2",'Work Log'!$A$199=""),"",'Work Log'!$A$199)</x:f>
      </x:c>
      <x:c r="I196" t="str">
        <x:f>IF(L196="","",TEXT(L196,"mm/dd/yy"))</x:f>
      </x:c>
      <x:c r="J196" s="11" t="str">
        <x:f>IF(OR(L196="",SUMIF('Backlog'!$B$6:$B$25,"S3",'Backlog'!$E$6:$E$25)=0,Burndown!$B$7="",Burndown!$C$7=""),"",MAX(0,SUMIF('Backlog'!$B$6:$B$25,"S3",'Backlog'!$E$6:$E$25)-SUMIFS('Work Log'!$D$6:$D$205,'Work Log'!$E$6:$E$205,"S3",'Work Log'!$A$6:$A$205,"&lt;="&amp;L196)))</x:f>
      </x:c>
      <x:c r="K196" s="11" t="str">
        <x:f>IF(OR(L196="",SUMIF('Backlog'!$B$6:$B$25,"S3",'Backlog'!$E$6:$E$25)=0,Burndown!$B$7="",Burndown!$C$7="",Burndown!$C$7&lt;=Burndown!$B$7),"",MAX(0,SUMIF('Backlog'!$B$6:$B$25,"S3",'Backlog'!$E$6:$E$25)*(Burndown!$C$7-L196)/(Burndown!$C$7-Burndown!$B$7)))</x:f>
      </x:c>
      <x:c r="L196" s="10" t="str">
        <x:f>IF(OR('Work Log'!$E$199&lt;&gt;"S3",'Work Log'!$A$199=""),"",'Work Log'!$A$199)</x:f>
      </x:c>
      <x:c r="M196" t="str">
        <x:f>IF(P196="","",TEXT(P196,"mm/dd/yy"))</x:f>
      </x:c>
      <x:c r="N196" s="11" t="str">
        <x:f>IF(OR(P196="",SUMIF('Backlog'!$B$6:$B$25,"S4",'Backlog'!$E$6:$E$25)=0,Burndown!$B$8="",Burndown!$C$8=""),"",MAX(0,SUMIF('Backlog'!$B$6:$B$25,"S4",'Backlog'!$E$6:$E$25)-SUMIFS('Work Log'!$D$6:$D$205,'Work Log'!$E$6:$E$205,"S4",'Work Log'!$A$6:$A$205,"&lt;="&amp;P196)))</x:f>
      </x:c>
      <x:c r="O196" s="11" t="str">
        <x:f>IF(OR(P196="",SUMIF('Backlog'!$B$6:$B$25,"S4",'Backlog'!$E$6:$E$25)=0,Burndown!$B$8="",Burndown!$C$8="",Burndown!$C$8&lt;=Burndown!$B$8),"",MAX(0,SUMIF('Backlog'!$B$6:$B$25,"S4",'Backlog'!$E$6:$E$25)*(Burndown!$C$8-P196)/(Burndown!$C$8-Burndown!$B$8)))</x:f>
      </x:c>
      <x:c r="P196" s="10" t="str">
        <x:f>IF(OR('Work Log'!$E$199&lt;&gt;"S4",'Work Log'!$A$199=""),"",'Work Log'!$A$199)</x:f>
      </x:c>
      <x:c r="Q196" t="str">
        <x:f>IF(T196="","",TEXT(T196,"mm/dd/yy"))</x:f>
      </x:c>
      <x:c r="R196" s="11" t="str">
        <x:f>IF(OR(T196="",SUMIF('Backlog'!$B$6:$B$25,"S5",'Backlog'!$E$6:$E$25)=0,Burndown!$B$9="",Burndown!$C$9=""),"",MAX(0,SUMIF('Backlog'!$B$6:$B$25,"S5",'Backlog'!$E$6:$E$25)-SUMIFS('Work Log'!$D$6:$D$205,'Work Log'!$E$6:$E$205,"S5",'Work Log'!$A$6:$A$205,"&lt;="&amp;T196)))</x:f>
      </x:c>
      <x:c r="S196" s="11" t="str">
        <x:f>IF(OR(T196="",SUMIF('Backlog'!$B$6:$B$25,"S5",'Backlog'!$E$6:$E$25)=0,Burndown!$B$9="",Burndown!$C$9="",Burndown!$C$9&lt;=Burndown!$B$9),"",MAX(0,SUMIF('Backlog'!$B$6:$B$25,"S5",'Backlog'!$E$6:$E$25)*(Burndown!$C$9-T196)/(Burndown!$C$9-Burndown!$B$9)))</x:f>
      </x:c>
      <x:c r="T196" s="10" t="str">
        <x:f>IF(OR('Work Log'!$E$199&lt;&gt;"S5",'Work Log'!$A$199=""),"",'Work Log'!$A$199)</x:f>
      </x:c>
    </x:row>
    <x:row r="197">
      <x:c r="A197" t="str">
        <x:f>IF(D197="","",TEXT(D197,"mm/dd/yy"))</x:f>
      </x:c>
      <x:c r="B197" s="11" t="str">
        <x:f>IF(OR(D197="",SUMIF('Backlog'!$B$6:$B$25,"S1",'Backlog'!$E$6:$E$25)=0,Burndown!$B$5="",Burndown!$C$5=""),"",MAX(0,SUMIF('Backlog'!$B$6:$B$25,"S1",'Backlog'!$E$6:$E$25)-SUMIFS('Work Log'!$D$6:$D$205,'Work Log'!$E$6:$E$205,"S1",'Work Log'!$A$6:$A$205,"&lt;="&amp;D197)))</x:f>
      </x:c>
      <x:c r="C197" s="11" t="str">
        <x:f>IF(OR(D197="",SUMIF('Backlog'!$B$6:$B$25,"S1",'Backlog'!$E$6:$E$25)=0,Burndown!$B$5="",Burndown!$C$5="",Burndown!$C$5&lt;=Burndown!$B$5),"",MAX(0,SUMIF('Backlog'!$B$6:$B$25,"S1",'Backlog'!$E$6:$E$25)*(Burndown!$C$5-D197)/(Burndown!$C$5-Burndown!$B$5)))</x:f>
      </x:c>
      <x:c r="D197" s="10" t="str">
        <x:f>IF(OR('Work Log'!$E$200&lt;&gt;"S1",'Work Log'!$A$200=""),"",'Work Log'!$A$200)</x:f>
      </x:c>
      <x:c r="E197" t="str">
        <x:f>IF(H197="","",TEXT(H197,"mm/dd/yy"))</x:f>
      </x:c>
      <x:c r="F197" s="11" t="str">
        <x:f>IF(OR(H197="",SUMIF('Backlog'!$B$6:$B$25,"S2",'Backlog'!$E$6:$E$25)=0,Burndown!$B$6="",Burndown!$C$6=""),"",MAX(0,SUMIF('Backlog'!$B$6:$B$25,"S2",'Backlog'!$E$6:$E$25)-SUMIFS('Work Log'!$D$6:$D$205,'Work Log'!$E$6:$E$205,"S2",'Work Log'!$A$6:$A$205,"&lt;="&amp;H197)))</x:f>
      </x:c>
      <x:c r="G197" s="11" t="str">
        <x:f>IF(OR(H197="",SUMIF('Backlog'!$B$6:$B$25,"S2",'Backlog'!$E$6:$E$25)=0,Burndown!$B$6="",Burndown!$C$6="",Burndown!$C$6&lt;=Burndown!$B$6),"",MAX(0,SUMIF('Backlog'!$B$6:$B$25,"S2",'Backlog'!$E$6:$E$25)*(Burndown!$C$6-H197)/(Burndown!$C$6-Burndown!$B$6)))</x:f>
      </x:c>
      <x:c r="H197" s="10" t="str">
        <x:f>IF(OR('Work Log'!$E$200&lt;&gt;"S2",'Work Log'!$A$200=""),"",'Work Log'!$A$200)</x:f>
      </x:c>
      <x:c r="I197" t="str">
        <x:f>IF(L197="","",TEXT(L197,"mm/dd/yy"))</x:f>
      </x:c>
      <x:c r="J197" s="11" t="str">
        <x:f>IF(OR(L197="",SUMIF('Backlog'!$B$6:$B$25,"S3",'Backlog'!$E$6:$E$25)=0,Burndown!$B$7="",Burndown!$C$7=""),"",MAX(0,SUMIF('Backlog'!$B$6:$B$25,"S3",'Backlog'!$E$6:$E$25)-SUMIFS('Work Log'!$D$6:$D$205,'Work Log'!$E$6:$E$205,"S3",'Work Log'!$A$6:$A$205,"&lt;="&amp;L197)))</x:f>
      </x:c>
      <x:c r="K197" s="11" t="str">
        <x:f>IF(OR(L197="",SUMIF('Backlog'!$B$6:$B$25,"S3",'Backlog'!$E$6:$E$25)=0,Burndown!$B$7="",Burndown!$C$7="",Burndown!$C$7&lt;=Burndown!$B$7),"",MAX(0,SUMIF('Backlog'!$B$6:$B$25,"S3",'Backlog'!$E$6:$E$25)*(Burndown!$C$7-L197)/(Burndown!$C$7-Burndown!$B$7)))</x:f>
      </x:c>
      <x:c r="L197" s="10" t="str">
        <x:f>IF(OR('Work Log'!$E$200&lt;&gt;"S3",'Work Log'!$A$200=""),"",'Work Log'!$A$200)</x:f>
      </x:c>
      <x:c r="M197" t="str">
        <x:f>IF(P197="","",TEXT(P197,"mm/dd/yy"))</x:f>
      </x:c>
      <x:c r="N197" s="11" t="str">
        <x:f>IF(OR(P197="",SUMIF('Backlog'!$B$6:$B$25,"S4",'Backlog'!$E$6:$E$25)=0,Burndown!$B$8="",Burndown!$C$8=""),"",MAX(0,SUMIF('Backlog'!$B$6:$B$25,"S4",'Backlog'!$E$6:$E$25)-SUMIFS('Work Log'!$D$6:$D$205,'Work Log'!$E$6:$E$205,"S4",'Work Log'!$A$6:$A$205,"&lt;="&amp;P197)))</x:f>
      </x:c>
      <x:c r="O197" s="11" t="str">
        <x:f>IF(OR(P197="",SUMIF('Backlog'!$B$6:$B$25,"S4",'Backlog'!$E$6:$E$25)=0,Burndown!$B$8="",Burndown!$C$8="",Burndown!$C$8&lt;=Burndown!$B$8),"",MAX(0,SUMIF('Backlog'!$B$6:$B$25,"S4",'Backlog'!$E$6:$E$25)*(Burndown!$C$8-P197)/(Burndown!$C$8-Burndown!$B$8)))</x:f>
      </x:c>
      <x:c r="P197" s="10" t="str">
        <x:f>IF(OR('Work Log'!$E$200&lt;&gt;"S4",'Work Log'!$A$200=""),"",'Work Log'!$A$200)</x:f>
      </x:c>
      <x:c r="Q197" t="str">
        <x:f>IF(T197="","",TEXT(T197,"mm/dd/yy"))</x:f>
      </x:c>
      <x:c r="R197" s="11" t="str">
        <x:f>IF(OR(T197="",SUMIF('Backlog'!$B$6:$B$25,"S5",'Backlog'!$E$6:$E$25)=0,Burndown!$B$9="",Burndown!$C$9=""),"",MAX(0,SUMIF('Backlog'!$B$6:$B$25,"S5",'Backlog'!$E$6:$E$25)-SUMIFS('Work Log'!$D$6:$D$205,'Work Log'!$E$6:$E$205,"S5",'Work Log'!$A$6:$A$205,"&lt;="&amp;T197)))</x:f>
      </x:c>
      <x:c r="S197" s="11" t="str">
        <x:f>IF(OR(T197="",SUMIF('Backlog'!$B$6:$B$25,"S5",'Backlog'!$E$6:$E$25)=0,Burndown!$B$9="",Burndown!$C$9="",Burndown!$C$9&lt;=Burndown!$B$9),"",MAX(0,SUMIF('Backlog'!$B$6:$B$25,"S5",'Backlog'!$E$6:$E$25)*(Burndown!$C$9-T197)/(Burndown!$C$9-Burndown!$B$9)))</x:f>
      </x:c>
      <x:c r="T197" s="10" t="str">
        <x:f>IF(OR('Work Log'!$E$200&lt;&gt;"S5",'Work Log'!$A$200=""),"",'Work Log'!$A$200)</x:f>
      </x:c>
    </x:row>
    <x:row r="198">
      <x:c r="A198" t="str">
        <x:f>IF(D198="","",TEXT(D198,"mm/dd/yy"))</x:f>
      </x:c>
      <x:c r="B198" s="11" t="str">
        <x:f>IF(OR(D198="",SUMIF('Backlog'!$B$6:$B$25,"S1",'Backlog'!$E$6:$E$25)=0,Burndown!$B$5="",Burndown!$C$5=""),"",MAX(0,SUMIF('Backlog'!$B$6:$B$25,"S1",'Backlog'!$E$6:$E$25)-SUMIFS('Work Log'!$D$6:$D$205,'Work Log'!$E$6:$E$205,"S1",'Work Log'!$A$6:$A$205,"&lt;="&amp;D198)))</x:f>
      </x:c>
      <x:c r="C198" s="11" t="str">
        <x:f>IF(OR(D198="",SUMIF('Backlog'!$B$6:$B$25,"S1",'Backlog'!$E$6:$E$25)=0,Burndown!$B$5="",Burndown!$C$5="",Burndown!$C$5&lt;=Burndown!$B$5),"",MAX(0,SUMIF('Backlog'!$B$6:$B$25,"S1",'Backlog'!$E$6:$E$25)*(Burndown!$C$5-D198)/(Burndown!$C$5-Burndown!$B$5)))</x:f>
      </x:c>
      <x:c r="D198" s="10" t="str">
        <x:f>IF(OR('Work Log'!$E$201&lt;&gt;"S1",'Work Log'!$A$201=""),"",'Work Log'!$A$201)</x:f>
      </x:c>
      <x:c r="E198" t="str">
        <x:f>IF(H198="","",TEXT(H198,"mm/dd/yy"))</x:f>
      </x:c>
      <x:c r="F198" s="11" t="str">
        <x:f>IF(OR(H198="",SUMIF('Backlog'!$B$6:$B$25,"S2",'Backlog'!$E$6:$E$25)=0,Burndown!$B$6="",Burndown!$C$6=""),"",MAX(0,SUMIF('Backlog'!$B$6:$B$25,"S2",'Backlog'!$E$6:$E$25)-SUMIFS('Work Log'!$D$6:$D$205,'Work Log'!$E$6:$E$205,"S2",'Work Log'!$A$6:$A$205,"&lt;="&amp;H198)))</x:f>
      </x:c>
      <x:c r="G198" s="11" t="str">
        <x:f>IF(OR(H198="",SUMIF('Backlog'!$B$6:$B$25,"S2",'Backlog'!$E$6:$E$25)=0,Burndown!$B$6="",Burndown!$C$6="",Burndown!$C$6&lt;=Burndown!$B$6),"",MAX(0,SUMIF('Backlog'!$B$6:$B$25,"S2",'Backlog'!$E$6:$E$25)*(Burndown!$C$6-H198)/(Burndown!$C$6-Burndown!$B$6)))</x:f>
      </x:c>
      <x:c r="H198" s="10" t="str">
        <x:f>IF(OR('Work Log'!$E$201&lt;&gt;"S2",'Work Log'!$A$201=""),"",'Work Log'!$A$201)</x:f>
      </x:c>
      <x:c r="I198" t="str">
        <x:f>IF(L198="","",TEXT(L198,"mm/dd/yy"))</x:f>
      </x:c>
      <x:c r="J198" s="11" t="str">
        <x:f>IF(OR(L198="",SUMIF('Backlog'!$B$6:$B$25,"S3",'Backlog'!$E$6:$E$25)=0,Burndown!$B$7="",Burndown!$C$7=""),"",MAX(0,SUMIF('Backlog'!$B$6:$B$25,"S3",'Backlog'!$E$6:$E$25)-SUMIFS('Work Log'!$D$6:$D$205,'Work Log'!$E$6:$E$205,"S3",'Work Log'!$A$6:$A$205,"&lt;="&amp;L198)))</x:f>
      </x:c>
      <x:c r="K198" s="11" t="str">
        <x:f>IF(OR(L198="",SUMIF('Backlog'!$B$6:$B$25,"S3",'Backlog'!$E$6:$E$25)=0,Burndown!$B$7="",Burndown!$C$7="",Burndown!$C$7&lt;=Burndown!$B$7),"",MAX(0,SUMIF('Backlog'!$B$6:$B$25,"S3",'Backlog'!$E$6:$E$25)*(Burndown!$C$7-L198)/(Burndown!$C$7-Burndown!$B$7)))</x:f>
      </x:c>
      <x:c r="L198" s="10" t="str">
        <x:f>IF(OR('Work Log'!$E$201&lt;&gt;"S3",'Work Log'!$A$201=""),"",'Work Log'!$A$201)</x:f>
      </x:c>
      <x:c r="M198" t="str">
        <x:f>IF(P198="","",TEXT(P198,"mm/dd/yy"))</x:f>
      </x:c>
      <x:c r="N198" s="11" t="str">
        <x:f>IF(OR(P198="",SUMIF('Backlog'!$B$6:$B$25,"S4",'Backlog'!$E$6:$E$25)=0,Burndown!$B$8="",Burndown!$C$8=""),"",MAX(0,SUMIF('Backlog'!$B$6:$B$25,"S4",'Backlog'!$E$6:$E$25)-SUMIFS('Work Log'!$D$6:$D$205,'Work Log'!$E$6:$E$205,"S4",'Work Log'!$A$6:$A$205,"&lt;="&amp;P198)))</x:f>
      </x:c>
      <x:c r="O198" s="11" t="str">
        <x:f>IF(OR(P198="",SUMIF('Backlog'!$B$6:$B$25,"S4",'Backlog'!$E$6:$E$25)=0,Burndown!$B$8="",Burndown!$C$8="",Burndown!$C$8&lt;=Burndown!$B$8),"",MAX(0,SUMIF('Backlog'!$B$6:$B$25,"S4",'Backlog'!$E$6:$E$25)*(Burndown!$C$8-P198)/(Burndown!$C$8-Burndown!$B$8)))</x:f>
      </x:c>
      <x:c r="P198" s="10" t="str">
        <x:f>IF(OR('Work Log'!$E$201&lt;&gt;"S4",'Work Log'!$A$201=""),"",'Work Log'!$A$201)</x:f>
      </x:c>
      <x:c r="Q198" t="str">
        <x:f>IF(T198="","",TEXT(T198,"mm/dd/yy"))</x:f>
      </x:c>
      <x:c r="R198" s="11" t="str">
        <x:f>IF(OR(T198="",SUMIF('Backlog'!$B$6:$B$25,"S5",'Backlog'!$E$6:$E$25)=0,Burndown!$B$9="",Burndown!$C$9=""),"",MAX(0,SUMIF('Backlog'!$B$6:$B$25,"S5",'Backlog'!$E$6:$E$25)-SUMIFS('Work Log'!$D$6:$D$205,'Work Log'!$E$6:$E$205,"S5",'Work Log'!$A$6:$A$205,"&lt;="&amp;T198)))</x:f>
      </x:c>
      <x:c r="S198" s="11" t="str">
        <x:f>IF(OR(T198="",SUMIF('Backlog'!$B$6:$B$25,"S5",'Backlog'!$E$6:$E$25)=0,Burndown!$B$9="",Burndown!$C$9="",Burndown!$C$9&lt;=Burndown!$B$9),"",MAX(0,SUMIF('Backlog'!$B$6:$B$25,"S5",'Backlog'!$E$6:$E$25)*(Burndown!$C$9-T198)/(Burndown!$C$9-Burndown!$B$9)))</x:f>
      </x:c>
      <x:c r="T198" s="10" t="str">
        <x:f>IF(OR('Work Log'!$E$201&lt;&gt;"S5",'Work Log'!$A$201=""),"",'Work Log'!$A$201)</x:f>
      </x:c>
    </x:row>
    <x:row r="199">
      <x:c r="A199" t="str">
        <x:f>IF(D199="","",TEXT(D199,"mm/dd/yy"))</x:f>
      </x:c>
      <x:c r="B199" s="11" t="str">
        <x:f>IF(OR(D199="",SUMIF('Backlog'!$B$6:$B$25,"S1",'Backlog'!$E$6:$E$25)=0,Burndown!$B$5="",Burndown!$C$5=""),"",MAX(0,SUMIF('Backlog'!$B$6:$B$25,"S1",'Backlog'!$E$6:$E$25)-SUMIFS('Work Log'!$D$6:$D$205,'Work Log'!$E$6:$E$205,"S1",'Work Log'!$A$6:$A$205,"&lt;="&amp;D199)))</x:f>
      </x:c>
      <x:c r="C199" s="11" t="str">
        <x:f>IF(OR(D199="",SUMIF('Backlog'!$B$6:$B$25,"S1",'Backlog'!$E$6:$E$25)=0,Burndown!$B$5="",Burndown!$C$5="",Burndown!$C$5&lt;=Burndown!$B$5),"",MAX(0,SUMIF('Backlog'!$B$6:$B$25,"S1",'Backlog'!$E$6:$E$25)*(Burndown!$C$5-D199)/(Burndown!$C$5-Burndown!$B$5)))</x:f>
      </x:c>
      <x:c r="D199" s="10" t="str">
        <x:f>IF(OR('Work Log'!$E$202&lt;&gt;"S1",'Work Log'!$A$202=""),"",'Work Log'!$A$202)</x:f>
      </x:c>
      <x:c r="E199" t="str">
        <x:f>IF(H199="","",TEXT(H199,"mm/dd/yy"))</x:f>
      </x:c>
      <x:c r="F199" s="11" t="str">
        <x:f>IF(OR(H199="",SUMIF('Backlog'!$B$6:$B$25,"S2",'Backlog'!$E$6:$E$25)=0,Burndown!$B$6="",Burndown!$C$6=""),"",MAX(0,SUMIF('Backlog'!$B$6:$B$25,"S2",'Backlog'!$E$6:$E$25)-SUMIFS('Work Log'!$D$6:$D$205,'Work Log'!$E$6:$E$205,"S2",'Work Log'!$A$6:$A$205,"&lt;="&amp;H199)))</x:f>
      </x:c>
      <x:c r="G199" s="11" t="str">
        <x:f>IF(OR(H199="",SUMIF('Backlog'!$B$6:$B$25,"S2",'Backlog'!$E$6:$E$25)=0,Burndown!$B$6="",Burndown!$C$6="",Burndown!$C$6&lt;=Burndown!$B$6),"",MAX(0,SUMIF('Backlog'!$B$6:$B$25,"S2",'Backlog'!$E$6:$E$25)*(Burndown!$C$6-H199)/(Burndown!$C$6-Burndown!$B$6)))</x:f>
      </x:c>
      <x:c r="H199" s="10" t="str">
        <x:f>IF(OR('Work Log'!$E$202&lt;&gt;"S2",'Work Log'!$A$202=""),"",'Work Log'!$A$202)</x:f>
      </x:c>
      <x:c r="I199" t="str">
        <x:f>IF(L199="","",TEXT(L199,"mm/dd/yy"))</x:f>
      </x:c>
      <x:c r="J199" s="11" t="str">
        <x:f>IF(OR(L199="",SUMIF('Backlog'!$B$6:$B$25,"S3",'Backlog'!$E$6:$E$25)=0,Burndown!$B$7="",Burndown!$C$7=""),"",MAX(0,SUMIF('Backlog'!$B$6:$B$25,"S3",'Backlog'!$E$6:$E$25)-SUMIFS('Work Log'!$D$6:$D$205,'Work Log'!$E$6:$E$205,"S3",'Work Log'!$A$6:$A$205,"&lt;="&amp;L199)))</x:f>
      </x:c>
      <x:c r="K199" s="11" t="str">
        <x:f>IF(OR(L199="",SUMIF('Backlog'!$B$6:$B$25,"S3",'Backlog'!$E$6:$E$25)=0,Burndown!$B$7="",Burndown!$C$7="",Burndown!$C$7&lt;=Burndown!$B$7),"",MAX(0,SUMIF('Backlog'!$B$6:$B$25,"S3",'Backlog'!$E$6:$E$25)*(Burndown!$C$7-L199)/(Burndown!$C$7-Burndown!$B$7)))</x:f>
      </x:c>
      <x:c r="L199" s="10" t="str">
        <x:f>IF(OR('Work Log'!$E$202&lt;&gt;"S3",'Work Log'!$A$202=""),"",'Work Log'!$A$202)</x:f>
      </x:c>
      <x:c r="M199" t="str">
        <x:f>IF(P199="","",TEXT(P199,"mm/dd/yy"))</x:f>
      </x:c>
      <x:c r="N199" s="11" t="str">
        <x:f>IF(OR(P199="",SUMIF('Backlog'!$B$6:$B$25,"S4",'Backlog'!$E$6:$E$25)=0,Burndown!$B$8="",Burndown!$C$8=""),"",MAX(0,SUMIF('Backlog'!$B$6:$B$25,"S4",'Backlog'!$E$6:$E$25)-SUMIFS('Work Log'!$D$6:$D$205,'Work Log'!$E$6:$E$205,"S4",'Work Log'!$A$6:$A$205,"&lt;="&amp;P199)))</x:f>
      </x:c>
      <x:c r="O199" s="11" t="str">
        <x:f>IF(OR(P199="",SUMIF('Backlog'!$B$6:$B$25,"S4",'Backlog'!$E$6:$E$25)=0,Burndown!$B$8="",Burndown!$C$8="",Burndown!$C$8&lt;=Burndown!$B$8),"",MAX(0,SUMIF('Backlog'!$B$6:$B$25,"S4",'Backlog'!$E$6:$E$25)*(Burndown!$C$8-P199)/(Burndown!$C$8-Burndown!$B$8)))</x:f>
      </x:c>
      <x:c r="P199" s="10" t="str">
        <x:f>IF(OR('Work Log'!$E$202&lt;&gt;"S4",'Work Log'!$A$202=""),"",'Work Log'!$A$202)</x:f>
      </x:c>
      <x:c r="Q199" t="str">
        <x:f>IF(T199="","",TEXT(T199,"mm/dd/yy"))</x:f>
      </x:c>
      <x:c r="R199" s="11" t="str">
        <x:f>IF(OR(T199="",SUMIF('Backlog'!$B$6:$B$25,"S5",'Backlog'!$E$6:$E$25)=0,Burndown!$B$9="",Burndown!$C$9=""),"",MAX(0,SUMIF('Backlog'!$B$6:$B$25,"S5",'Backlog'!$E$6:$E$25)-SUMIFS('Work Log'!$D$6:$D$205,'Work Log'!$E$6:$E$205,"S5",'Work Log'!$A$6:$A$205,"&lt;="&amp;T199)))</x:f>
      </x:c>
      <x:c r="S199" s="11" t="str">
        <x:f>IF(OR(T199="",SUMIF('Backlog'!$B$6:$B$25,"S5",'Backlog'!$E$6:$E$25)=0,Burndown!$B$9="",Burndown!$C$9="",Burndown!$C$9&lt;=Burndown!$B$9),"",MAX(0,SUMIF('Backlog'!$B$6:$B$25,"S5",'Backlog'!$E$6:$E$25)*(Burndown!$C$9-T199)/(Burndown!$C$9-Burndown!$B$9)))</x:f>
      </x:c>
      <x:c r="T199" s="10" t="str">
        <x:f>IF(OR('Work Log'!$E$202&lt;&gt;"S5",'Work Log'!$A$202=""),"",'Work Log'!$A$202)</x:f>
      </x:c>
    </x:row>
    <x:row r="200">
      <x:c r="A200" t="str">
        <x:f>IF(D200="","",TEXT(D200,"mm/dd/yy"))</x:f>
      </x:c>
      <x:c r="B200" s="11" t="str">
        <x:f>IF(OR(D200="",SUMIF('Backlog'!$B$6:$B$25,"S1",'Backlog'!$E$6:$E$25)=0,Burndown!$B$5="",Burndown!$C$5=""),"",MAX(0,SUMIF('Backlog'!$B$6:$B$25,"S1",'Backlog'!$E$6:$E$25)-SUMIFS('Work Log'!$D$6:$D$205,'Work Log'!$E$6:$E$205,"S1",'Work Log'!$A$6:$A$205,"&lt;="&amp;D200)))</x:f>
      </x:c>
      <x:c r="C200" s="11" t="str">
        <x:f>IF(OR(D200="",SUMIF('Backlog'!$B$6:$B$25,"S1",'Backlog'!$E$6:$E$25)=0,Burndown!$B$5="",Burndown!$C$5="",Burndown!$C$5&lt;=Burndown!$B$5),"",MAX(0,SUMIF('Backlog'!$B$6:$B$25,"S1",'Backlog'!$E$6:$E$25)*(Burndown!$C$5-D200)/(Burndown!$C$5-Burndown!$B$5)))</x:f>
      </x:c>
      <x:c r="D200" s="10" t="str">
        <x:f>IF(OR('Work Log'!$E$203&lt;&gt;"S1",'Work Log'!$A$203=""),"",'Work Log'!$A$203)</x:f>
      </x:c>
      <x:c r="E200" t="str">
        <x:f>IF(H200="","",TEXT(H200,"mm/dd/yy"))</x:f>
      </x:c>
      <x:c r="F200" s="11" t="str">
        <x:f>IF(OR(H200="",SUMIF('Backlog'!$B$6:$B$25,"S2",'Backlog'!$E$6:$E$25)=0,Burndown!$B$6="",Burndown!$C$6=""),"",MAX(0,SUMIF('Backlog'!$B$6:$B$25,"S2",'Backlog'!$E$6:$E$25)-SUMIFS('Work Log'!$D$6:$D$205,'Work Log'!$E$6:$E$205,"S2",'Work Log'!$A$6:$A$205,"&lt;="&amp;H200)))</x:f>
      </x:c>
      <x:c r="G200" s="11" t="str">
        <x:f>IF(OR(H200="",SUMIF('Backlog'!$B$6:$B$25,"S2",'Backlog'!$E$6:$E$25)=0,Burndown!$B$6="",Burndown!$C$6="",Burndown!$C$6&lt;=Burndown!$B$6),"",MAX(0,SUMIF('Backlog'!$B$6:$B$25,"S2",'Backlog'!$E$6:$E$25)*(Burndown!$C$6-H200)/(Burndown!$C$6-Burndown!$B$6)))</x:f>
      </x:c>
      <x:c r="H200" s="10" t="str">
        <x:f>IF(OR('Work Log'!$E$203&lt;&gt;"S2",'Work Log'!$A$203=""),"",'Work Log'!$A$203)</x:f>
      </x:c>
      <x:c r="I200" t="str">
        <x:f>IF(L200="","",TEXT(L200,"mm/dd/yy"))</x:f>
      </x:c>
      <x:c r="J200" s="11" t="str">
        <x:f>IF(OR(L200="",SUMIF('Backlog'!$B$6:$B$25,"S3",'Backlog'!$E$6:$E$25)=0,Burndown!$B$7="",Burndown!$C$7=""),"",MAX(0,SUMIF('Backlog'!$B$6:$B$25,"S3",'Backlog'!$E$6:$E$25)-SUMIFS('Work Log'!$D$6:$D$205,'Work Log'!$E$6:$E$205,"S3",'Work Log'!$A$6:$A$205,"&lt;="&amp;L200)))</x:f>
      </x:c>
      <x:c r="K200" s="11" t="str">
        <x:f>IF(OR(L200="",SUMIF('Backlog'!$B$6:$B$25,"S3",'Backlog'!$E$6:$E$25)=0,Burndown!$B$7="",Burndown!$C$7="",Burndown!$C$7&lt;=Burndown!$B$7),"",MAX(0,SUMIF('Backlog'!$B$6:$B$25,"S3",'Backlog'!$E$6:$E$25)*(Burndown!$C$7-L200)/(Burndown!$C$7-Burndown!$B$7)))</x:f>
      </x:c>
      <x:c r="L200" s="10" t="str">
        <x:f>IF(OR('Work Log'!$E$203&lt;&gt;"S3",'Work Log'!$A$203=""),"",'Work Log'!$A$203)</x:f>
      </x:c>
      <x:c r="M200" t="str">
        <x:f>IF(P200="","",TEXT(P200,"mm/dd/yy"))</x:f>
      </x:c>
      <x:c r="N200" s="11" t="str">
        <x:f>IF(OR(P200="",SUMIF('Backlog'!$B$6:$B$25,"S4",'Backlog'!$E$6:$E$25)=0,Burndown!$B$8="",Burndown!$C$8=""),"",MAX(0,SUMIF('Backlog'!$B$6:$B$25,"S4",'Backlog'!$E$6:$E$25)-SUMIFS('Work Log'!$D$6:$D$205,'Work Log'!$E$6:$E$205,"S4",'Work Log'!$A$6:$A$205,"&lt;="&amp;P200)))</x:f>
      </x:c>
      <x:c r="O200" s="11" t="str">
        <x:f>IF(OR(P200="",SUMIF('Backlog'!$B$6:$B$25,"S4",'Backlog'!$E$6:$E$25)=0,Burndown!$B$8="",Burndown!$C$8="",Burndown!$C$8&lt;=Burndown!$B$8),"",MAX(0,SUMIF('Backlog'!$B$6:$B$25,"S4",'Backlog'!$E$6:$E$25)*(Burndown!$C$8-P200)/(Burndown!$C$8-Burndown!$B$8)))</x:f>
      </x:c>
      <x:c r="P200" s="10" t="str">
        <x:f>IF(OR('Work Log'!$E$203&lt;&gt;"S4",'Work Log'!$A$203=""),"",'Work Log'!$A$203)</x:f>
      </x:c>
      <x:c r="Q200" t="str">
        <x:f>IF(T200="","",TEXT(T200,"mm/dd/yy"))</x:f>
      </x:c>
      <x:c r="R200" s="11" t="str">
        <x:f>IF(OR(T200="",SUMIF('Backlog'!$B$6:$B$25,"S5",'Backlog'!$E$6:$E$25)=0,Burndown!$B$9="",Burndown!$C$9=""),"",MAX(0,SUMIF('Backlog'!$B$6:$B$25,"S5",'Backlog'!$E$6:$E$25)-SUMIFS('Work Log'!$D$6:$D$205,'Work Log'!$E$6:$E$205,"S5",'Work Log'!$A$6:$A$205,"&lt;="&amp;T200)))</x:f>
      </x:c>
      <x:c r="S200" s="11" t="str">
        <x:f>IF(OR(T200="",SUMIF('Backlog'!$B$6:$B$25,"S5",'Backlog'!$E$6:$E$25)=0,Burndown!$B$9="",Burndown!$C$9="",Burndown!$C$9&lt;=Burndown!$B$9),"",MAX(0,SUMIF('Backlog'!$B$6:$B$25,"S5",'Backlog'!$E$6:$E$25)*(Burndown!$C$9-T200)/(Burndown!$C$9-Burndown!$B$9)))</x:f>
      </x:c>
      <x:c r="T200" s="10" t="str">
        <x:f>IF(OR('Work Log'!$E$203&lt;&gt;"S5",'Work Log'!$A$203=""),"",'Work Log'!$A$203)</x:f>
      </x:c>
    </x:row>
    <x:row r="201">
      <x:c r="A201" t="str">
        <x:f>IF(D201="","",TEXT(D201,"mm/dd/yy"))</x:f>
      </x:c>
      <x:c r="B201" s="11" t="str">
        <x:f>IF(OR(D201="",SUMIF('Backlog'!$B$6:$B$25,"S1",'Backlog'!$E$6:$E$25)=0,Burndown!$B$5="",Burndown!$C$5=""),"",MAX(0,SUMIF('Backlog'!$B$6:$B$25,"S1",'Backlog'!$E$6:$E$25)-SUMIFS('Work Log'!$D$6:$D$205,'Work Log'!$E$6:$E$205,"S1",'Work Log'!$A$6:$A$205,"&lt;="&amp;D201)))</x:f>
      </x:c>
      <x:c r="C201" s="11" t="str">
        <x:f>IF(OR(D201="",SUMIF('Backlog'!$B$6:$B$25,"S1",'Backlog'!$E$6:$E$25)=0,Burndown!$B$5="",Burndown!$C$5="",Burndown!$C$5&lt;=Burndown!$B$5),"",MAX(0,SUMIF('Backlog'!$B$6:$B$25,"S1",'Backlog'!$E$6:$E$25)*(Burndown!$C$5-D201)/(Burndown!$C$5-Burndown!$B$5)))</x:f>
      </x:c>
      <x:c r="D201" s="10" t="str">
        <x:f>IF(OR('Work Log'!$E$204&lt;&gt;"S1",'Work Log'!$A$204=""),"",'Work Log'!$A$204)</x:f>
      </x:c>
      <x:c r="E201" t="str">
        <x:f>IF(H201="","",TEXT(H201,"mm/dd/yy"))</x:f>
      </x:c>
      <x:c r="F201" s="11" t="str">
        <x:f>IF(OR(H201="",SUMIF('Backlog'!$B$6:$B$25,"S2",'Backlog'!$E$6:$E$25)=0,Burndown!$B$6="",Burndown!$C$6=""),"",MAX(0,SUMIF('Backlog'!$B$6:$B$25,"S2",'Backlog'!$E$6:$E$25)-SUMIFS('Work Log'!$D$6:$D$205,'Work Log'!$E$6:$E$205,"S2",'Work Log'!$A$6:$A$205,"&lt;="&amp;H201)))</x:f>
      </x:c>
      <x:c r="G201" s="11" t="str">
        <x:f>IF(OR(H201="",SUMIF('Backlog'!$B$6:$B$25,"S2",'Backlog'!$E$6:$E$25)=0,Burndown!$B$6="",Burndown!$C$6="",Burndown!$C$6&lt;=Burndown!$B$6),"",MAX(0,SUMIF('Backlog'!$B$6:$B$25,"S2",'Backlog'!$E$6:$E$25)*(Burndown!$C$6-H201)/(Burndown!$C$6-Burndown!$B$6)))</x:f>
      </x:c>
      <x:c r="H201" s="10" t="str">
        <x:f>IF(OR('Work Log'!$E$204&lt;&gt;"S2",'Work Log'!$A$204=""),"",'Work Log'!$A$204)</x:f>
      </x:c>
      <x:c r="I201" t="str">
        <x:f>IF(L201="","",TEXT(L201,"mm/dd/yy"))</x:f>
      </x:c>
      <x:c r="J201" s="11" t="str">
        <x:f>IF(OR(L201="",SUMIF('Backlog'!$B$6:$B$25,"S3",'Backlog'!$E$6:$E$25)=0,Burndown!$B$7="",Burndown!$C$7=""),"",MAX(0,SUMIF('Backlog'!$B$6:$B$25,"S3",'Backlog'!$E$6:$E$25)-SUMIFS('Work Log'!$D$6:$D$205,'Work Log'!$E$6:$E$205,"S3",'Work Log'!$A$6:$A$205,"&lt;="&amp;L201)))</x:f>
      </x:c>
      <x:c r="K201" s="11" t="str">
        <x:f>IF(OR(L201="",SUMIF('Backlog'!$B$6:$B$25,"S3",'Backlog'!$E$6:$E$25)=0,Burndown!$B$7="",Burndown!$C$7="",Burndown!$C$7&lt;=Burndown!$B$7),"",MAX(0,SUMIF('Backlog'!$B$6:$B$25,"S3",'Backlog'!$E$6:$E$25)*(Burndown!$C$7-L201)/(Burndown!$C$7-Burndown!$B$7)))</x:f>
      </x:c>
      <x:c r="L201" s="10" t="str">
        <x:f>IF(OR('Work Log'!$E$204&lt;&gt;"S3",'Work Log'!$A$204=""),"",'Work Log'!$A$204)</x:f>
      </x:c>
      <x:c r="M201" t="str">
        <x:f>IF(P201="","",TEXT(P201,"mm/dd/yy"))</x:f>
      </x:c>
      <x:c r="N201" s="11" t="str">
        <x:f>IF(OR(P201="",SUMIF('Backlog'!$B$6:$B$25,"S4",'Backlog'!$E$6:$E$25)=0,Burndown!$B$8="",Burndown!$C$8=""),"",MAX(0,SUMIF('Backlog'!$B$6:$B$25,"S4",'Backlog'!$E$6:$E$25)-SUMIFS('Work Log'!$D$6:$D$205,'Work Log'!$E$6:$E$205,"S4",'Work Log'!$A$6:$A$205,"&lt;="&amp;P201)))</x:f>
      </x:c>
      <x:c r="O201" s="11" t="str">
        <x:f>IF(OR(P201="",SUMIF('Backlog'!$B$6:$B$25,"S4",'Backlog'!$E$6:$E$25)=0,Burndown!$B$8="",Burndown!$C$8="",Burndown!$C$8&lt;=Burndown!$B$8),"",MAX(0,SUMIF('Backlog'!$B$6:$B$25,"S4",'Backlog'!$E$6:$E$25)*(Burndown!$C$8-P201)/(Burndown!$C$8-Burndown!$B$8)))</x:f>
      </x:c>
      <x:c r="P201" s="10" t="str">
        <x:f>IF(OR('Work Log'!$E$204&lt;&gt;"S4",'Work Log'!$A$204=""),"",'Work Log'!$A$204)</x:f>
      </x:c>
      <x:c r="Q201" t="str">
        <x:f>IF(T201="","",TEXT(T201,"mm/dd/yy"))</x:f>
      </x:c>
      <x:c r="R201" s="11" t="str">
        <x:f>IF(OR(T201="",SUMIF('Backlog'!$B$6:$B$25,"S5",'Backlog'!$E$6:$E$25)=0,Burndown!$B$9="",Burndown!$C$9=""),"",MAX(0,SUMIF('Backlog'!$B$6:$B$25,"S5",'Backlog'!$E$6:$E$25)-SUMIFS('Work Log'!$D$6:$D$205,'Work Log'!$E$6:$E$205,"S5",'Work Log'!$A$6:$A$205,"&lt;="&amp;T201)))</x:f>
      </x:c>
      <x:c r="S201" s="11" t="str">
        <x:f>IF(OR(T201="",SUMIF('Backlog'!$B$6:$B$25,"S5",'Backlog'!$E$6:$E$25)=0,Burndown!$B$9="",Burndown!$C$9="",Burndown!$C$9&lt;=Burndown!$B$9),"",MAX(0,SUMIF('Backlog'!$B$6:$B$25,"S5",'Backlog'!$E$6:$E$25)*(Burndown!$C$9-T201)/(Burndown!$C$9-Burndown!$B$9)))</x:f>
      </x:c>
      <x:c r="T201" s="10" t="str">
        <x:f>IF(OR('Work Log'!$E$204&lt;&gt;"S5",'Work Log'!$A$204=""),"",'Work Log'!$A$204)</x:f>
      </x:c>
    </x:row>
    <x:row r="202">
      <x:c r="A202" t="str">
        <x:f>IF(D202="","",TEXT(D202,"mm/dd/yy"))</x:f>
      </x:c>
      <x:c r="B202" s="11" t="str">
        <x:f>IF(OR(D202="",SUMIF('Backlog'!$B$6:$B$25,"S1",'Backlog'!$E$6:$E$25)=0,Burndown!$B$5="",Burndown!$C$5=""),"",MAX(0,SUMIF('Backlog'!$B$6:$B$25,"S1",'Backlog'!$E$6:$E$25)-SUMIFS('Work Log'!$D$6:$D$205,'Work Log'!$E$6:$E$205,"S1",'Work Log'!$A$6:$A$205,"&lt;="&amp;D202)))</x:f>
      </x:c>
      <x:c r="C202" s="11" t="str">
        <x:f>IF(OR(D202="",SUMIF('Backlog'!$B$6:$B$25,"S1",'Backlog'!$E$6:$E$25)=0,Burndown!$B$5="",Burndown!$C$5="",Burndown!$C$5&lt;=Burndown!$B$5),"",MAX(0,SUMIF('Backlog'!$B$6:$B$25,"S1",'Backlog'!$E$6:$E$25)*(Burndown!$C$5-D202)/(Burndown!$C$5-Burndown!$B$5)))</x:f>
      </x:c>
      <x:c r="D202" s="10" t="str">
        <x:f>IF(OR('Work Log'!$E$205&lt;&gt;"S1",'Work Log'!$A$205=""),"",'Work Log'!$A$205)</x:f>
      </x:c>
      <x:c r="E202" t="str">
        <x:f>IF(H202="","",TEXT(H202,"mm/dd/yy"))</x:f>
      </x:c>
      <x:c r="F202" s="11" t="str">
        <x:f>IF(OR(H202="",SUMIF('Backlog'!$B$6:$B$25,"S2",'Backlog'!$E$6:$E$25)=0,Burndown!$B$6="",Burndown!$C$6=""),"",MAX(0,SUMIF('Backlog'!$B$6:$B$25,"S2",'Backlog'!$E$6:$E$25)-SUMIFS('Work Log'!$D$6:$D$205,'Work Log'!$E$6:$E$205,"S2",'Work Log'!$A$6:$A$205,"&lt;="&amp;H202)))</x:f>
      </x:c>
      <x:c r="G202" s="11" t="str">
        <x:f>IF(OR(H202="",SUMIF('Backlog'!$B$6:$B$25,"S2",'Backlog'!$E$6:$E$25)=0,Burndown!$B$6="",Burndown!$C$6="",Burndown!$C$6&lt;=Burndown!$B$6),"",MAX(0,SUMIF('Backlog'!$B$6:$B$25,"S2",'Backlog'!$E$6:$E$25)*(Burndown!$C$6-H202)/(Burndown!$C$6-Burndown!$B$6)))</x:f>
      </x:c>
      <x:c r="H202" s="10" t="str">
        <x:f>IF(OR('Work Log'!$E$205&lt;&gt;"S2",'Work Log'!$A$205=""),"",'Work Log'!$A$205)</x:f>
      </x:c>
      <x:c r="I202" t="str">
        <x:f>IF(L202="","",TEXT(L202,"mm/dd/yy"))</x:f>
      </x:c>
      <x:c r="J202" s="11" t="str">
        <x:f>IF(OR(L202="",SUMIF('Backlog'!$B$6:$B$25,"S3",'Backlog'!$E$6:$E$25)=0,Burndown!$B$7="",Burndown!$C$7=""),"",MAX(0,SUMIF('Backlog'!$B$6:$B$25,"S3",'Backlog'!$E$6:$E$25)-SUMIFS('Work Log'!$D$6:$D$205,'Work Log'!$E$6:$E$205,"S3",'Work Log'!$A$6:$A$205,"&lt;="&amp;L202)))</x:f>
      </x:c>
      <x:c r="K202" s="11" t="str">
        <x:f>IF(OR(L202="",SUMIF('Backlog'!$B$6:$B$25,"S3",'Backlog'!$E$6:$E$25)=0,Burndown!$B$7="",Burndown!$C$7="",Burndown!$C$7&lt;=Burndown!$B$7),"",MAX(0,SUMIF('Backlog'!$B$6:$B$25,"S3",'Backlog'!$E$6:$E$25)*(Burndown!$C$7-L202)/(Burndown!$C$7-Burndown!$B$7)))</x:f>
      </x:c>
      <x:c r="L202" s="10" t="str">
        <x:f>IF(OR('Work Log'!$E$205&lt;&gt;"S3",'Work Log'!$A$205=""),"",'Work Log'!$A$205)</x:f>
      </x:c>
      <x:c r="M202" t="str">
        <x:f>IF(P202="","",TEXT(P202,"mm/dd/yy"))</x:f>
      </x:c>
      <x:c r="N202" s="11" t="str">
        <x:f>IF(OR(P202="",SUMIF('Backlog'!$B$6:$B$25,"S4",'Backlog'!$E$6:$E$25)=0,Burndown!$B$8="",Burndown!$C$8=""),"",MAX(0,SUMIF('Backlog'!$B$6:$B$25,"S4",'Backlog'!$E$6:$E$25)-SUMIFS('Work Log'!$D$6:$D$205,'Work Log'!$E$6:$E$205,"S4",'Work Log'!$A$6:$A$205,"&lt;="&amp;P202)))</x:f>
      </x:c>
      <x:c r="O202" s="11" t="str">
        <x:f>IF(OR(P202="",SUMIF('Backlog'!$B$6:$B$25,"S4",'Backlog'!$E$6:$E$25)=0,Burndown!$B$8="",Burndown!$C$8="",Burndown!$C$8&lt;=Burndown!$B$8),"",MAX(0,SUMIF('Backlog'!$B$6:$B$25,"S4",'Backlog'!$E$6:$E$25)*(Burndown!$C$8-P202)/(Burndown!$C$8-Burndown!$B$8)))</x:f>
      </x:c>
      <x:c r="P202" s="10" t="str">
        <x:f>IF(OR('Work Log'!$E$205&lt;&gt;"S4",'Work Log'!$A$205=""),"",'Work Log'!$A$205)</x:f>
      </x:c>
      <x:c r="Q202" t="str">
        <x:f>IF(T202="","",TEXT(T202,"mm/dd/yy"))</x:f>
      </x:c>
      <x:c r="R202" s="11" t="str">
        <x:f>IF(OR(T202="",SUMIF('Backlog'!$B$6:$B$25,"S5",'Backlog'!$E$6:$E$25)=0,Burndown!$B$9="",Burndown!$C$9=""),"",MAX(0,SUMIF('Backlog'!$B$6:$B$25,"S5",'Backlog'!$E$6:$E$25)-SUMIFS('Work Log'!$D$6:$D$205,'Work Log'!$E$6:$E$205,"S5",'Work Log'!$A$6:$A$205,"&lt;="&amp;T202)))</x:f>
      </x:c>
      <x:c r="S202" s="11" t="str">
        <x:f>IF(OR(T202="",SUMIF('Backlog'!$B$6:$B$25,"S5",'Backlog'!$E$6:$E$25)=0,Burndown!$B$9="",Burndown!$C$9="",Burndown!$C$9&lt;=Burndown!$B$9),"",MAX(0,SUMIF('Backlog'!$B$6:$B$25,"S5",'Backlog'!$E$6:$E$25)*(Burndown!$C$9-T202)/(Burndown!$C$9-Burndown!$B$9)))</x:f>
      </x:c>
      <x:c r="T202" s="10" t="str">
        <x:f>IF(OR('Work Log'!$E$205&lt;&gt;"S5",'Work Log'!$A$205=""),"",'Work Log'!$A$205)</x:f>
      </x:c>
    </x:row>
    <x:row r="203">
      <x:c r="A203" t="str">
        <x:f>IF(D203="","",TEXT(D203,"mm/dd/yy"))</x:f>
      </x:c>
      <x:c r="B203" s="11" t="str">
        <x:f>IF(OR(D203="",SUMIF('Backlog'!$B$6:$B$25,"S1",'Backlog'!$E$6:$E$25)=0),"",MAX(0,SUMIF('Backlog'!$B$6:$B$25,"S1",'Backlog'!$E$6:$E$25)-SUMIFS('Work Log'!$D$6:$D$205,'Work Log'!$E$6:$E$205,"S1",'Work Log'!$A$6:$A$205,"&lt;="&amp;D203)))</x:f>
      </x:c>
      <x:c r="C203" s="11" t="str">
        <x:f>IF(OR(D203="",SUMIF('Backlog'!$B$6:$B$25,"S1",'Backlog'!$E$6:$E$25)=0),"",0)</x:f>
      </x:c>
      <x:c r="D203" s="10" t="str">
        <x:f>IF(OR(Burndown!$B$5="",Burndown!$C$5=""),"",Burndown!$C$5)</x:f>
      </x:c>
      <x:c r="E203" t="str">
        <x:f>IF(H203="","",TEXT(H203,"mm/dd/yy"))</x:f>
        <x:v>09/20/26</x:v>
      </x:c>
      <x:c r="F203" s="11" t="str">
        <x:f>IF(OR(H203="",SUMIF('Backlog'!$B$6:$B$25,"S2",'Backlog'!$E$6:$E$25)=0),"",MAX(0,SUMIF('Backlog'!$B$6:$B$25,"S2",'Backlog'!$E$6:$E$25)-SUMIFS('Work Log'!$D$6:$D$205,'Work Log'!$E$6:$E$205,"S2",'Work Log'!$A$6:$A$205,"&lt;="&amp;H203)))</x:f>
      </x:c>
      <x:c r="G203" s="11" t="str">
        <x:f>IF(OR(H203="",SUMIF('Backlog'!$B$6:$B$25,"S2",'Backlog'!$E$6:$E$25)=0),"",0)</x:f>
      </x:c>
      <x:c r="H203" s="10" t="n">
        <x:f>IF(OR(Burndown!$B$6="",Burndown!$C$6=""),"",Burndown!$C$6)</x:f>
        <x:v>46285</x:v>
      </x:c>
      <x:c r="I203" t="str">
        <x:f>IF(L203="","",TEXT(L203,"mm/dd/yy"))</x:f>
      </x:c>
      <x:c r="J203" s="11" t="str">
        <x:f>IF(OR(L203="",SUMIF('Backlog'!$B$6:$B$25,"S3",'Backlog'!$E$6:$E$25)=0),"",MAX(0,SUMIF('Backlog'!$B$6:$B$25,"S3",'Backlog'!$E$6:$E$25)-SUMIFS('Work Log'!$D$6:$D$205,'Work Log'!$E$6:$E$205,"S3",'Work Log'!$A$6:$A$205,"&lt;="&amp;L203)))</x:f>
      </x:c>
      <x:c r="K203" s="11" t="str">
        <x:f>IF(OR(L203="",SUMIF('Backlog'!$B$6:$B$25,"S3",'Backlog'!$E$6:$E$25)=0),"",0)</x:f>
      </x:c>
      <x:c r="L203" s="10" t="str">
        <x:f>IF(OR(Burndown!$B$7="",Burndown!$C$7=""),"",Burndown!$C$7)</x:f>
      </x:c>
      <x:c r="M203" t="str">
        <x:f>IF(P203="","",TEXT(P203,"mm/dd/yy"))</x:f>
      </x:c>
      <x:c r="N203" s="11" t="str">
        <x:f>IF(OR(P203="",SUMIF('Backlog'!$B$6:$B$25,"S4",'Backlog'!$E$6:$E$25)=0),"",MAX(0,SUMIF('Backlog'!$B$6:$B$25,"S4",'Backlog'!$E$6:$E$25)-SUMIFS('Work Log'!$D$6:$D$205,'Work Log'!$E$6:$E$205,"S4",'Work Log'!$A$6:$A$205,"&lt;="&amp;P203)))</x:f>
      </x:c>
      <x:c r="O203" s="11" t="str">
        <x:f>IF(OR(P203="",SUMIF('Backlog'!$B$6:$B$25,"S4",'Backlog'!$E$6:$E$25)=0),"",0)</x:f>
      </x:c>
      <x:c r="P203" s="10" t="str">
        <x:f>IF(OR(Burndown!$B$8="",Burndown!$C$8=""),"",Burndown!$C$8)</x:f>
      </x:c>
      <x:c r="Q203" t="str">
        <x:f>IF(T203="","",TEXT(T203,"mm/dd/yy"))</x:f>
      </x:c>
      <x:c r="R203" s="11" t="str">
        <x:f>IF(OR(T203="",SUMIF('Backlog'!$B$6:$B$25,"S5",'Backlog'!$E$6:$E$25)=0),"",MAX(0,SUMIF('Backlog'!$B$6:$B$25,"S5",'Backlog'!$E$6:$E$25)-SUMIFS('Work Log'!$D$6:$D$205,'Work Log'!$E$6:$E$205,"S5",'Work Log'!$A$6:$A$205,"&lt;="&amp;T203)))</x:f>
      </x:c>
      <x:c r="S203" s="11" t="str">
        <x:f>IF(OR(T203="",SUMIF('Backlog'!$B$6:$B$25,"S5",'Backlog'!$E$6:$E$25)=0),"",0)</x:f>
      </x:c>
      <x:c r="T203" s="10" t="str">
        <x:f>IF(OR(Burndown!$B$9="",Burndown!$C$9=""),"",Burndown!$C$9)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32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7" customHeight="1">
      <x:c r="A1" s="2" t="str">
        <x:v>Product backlog work units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Tasks, status, and sprint assignments are copied from docs/agile/PRODUCT_BACKLOG.md. Add estimated work units in yellow.</x:v>
      </x:c>
      <x:c r="B2" s="4"/>
      <x:c r="C2" s="4"/>
      <x:c r="D2" s="4"/>
      <x:c r="E2" s="4"/>
      <x:c r="F2" s="4"/>
      <x:c r="G2" s="4"/>
    </x:row>
    <x:row r="5" ht="30" customHeight="1">
      <x:c r="A5" s="9" t="str">
        <x:v>Task ID</x:v>
      </x:c>
      <x:c r="B5" s="9" t="str">
        <x:v>Sprint</x:v>
      </x:c>
      <x:c r="C5" s="9" t="str">
        <x:v>Product work</x:v>
      </x:c>
      <x:c r="D5" s="9" t="str">
        <x:v>Backlog status</x:v>
      </x:c>
      <x:c r="E5" s="9" t="str">
        <x:v>Estimated work units</x:v>
      </x:c>
      <x:c r="F5" s="9" t="str">
        <x:v>Completed work units</x:v>
      </x:c>
      <x:c r="G5" s="9" t="str">
        <x:v>Remaining work units</x:v>
      </x:c>
    </x:row>
    <x:row r="6">
      <x:c r="A6" s="22" t="n">
        <x:v>1</x:v>
      </x:c>
      <x:c r="B6" s="13" t="str">
        <x:v>S1</x:v>
      </x:c>
      <x:c r="C6" s="24" t="str">
        <x:v>Basic webpage and repo setup</x:v>
      </x:c>
      <x:c r="D6" s="24" t="str">
        <x:v>Done</x:v>
      </x:c>
      <x:c r="E6" s="23"/>
      <x:c r="F6" s="15" t="str">
        <x:f>IF(OR(A6="",COUNTIF('Work Log'!$B$6:$B$205,A6)=0),"",SUMIF('Work Log'!$B$6:$B$205,A6,'Work Log'!$D$6:$D$205))</x:f>
      </x:c>
      <x:c r="G6" s="15" t="str">
        <x:f>IF(OR(A6="",E6=""),"",MAX(0,E6-F6))</x:f>
      </x:c>
    </x:row>
    <x:row r="7">
      <x:c r="A7" s="22" t="n">
        <x:v>2</x:v>
      </x:c>
      <x:c r="B7" s="13" t="str">
        <x:v>S1</x:v>
      </x:c>
      <x:c r="C7" s="24" t="str">
        <x:v>Actual web interface and demo features</x:v>
      </x:c>
      <x:c r="D7" s="24" t="str">
        <x:v>Done</x:v>
      </x:c>
      <x:c r="E7" s="23"/>
      <x:c r="F7" s="15" t="str">
        <x:f>IF(OR(A7="",COUNTIF('Work Log'!$B$6:$B$205,A7)=0),"",SUMIF('Work Log'!$B$6:$B$205,A7,'Work Log'!$D$6:$D$205))</x:f>
      </x:c>
      <x:c r="G7" s="15" t="str">
        <x:f>IF(OR(A7="",E7=""),"",MAX(0,E7-F7))</x:f>
      </x:c>
    </x:row>
    <x:row r="8">
      <x:c r="A8" s="22" t="n">
        <x:v>3</x:v>
      </x:c>
      <x:c r="B8" s="13" t="str">
        <x:v>S2</x:v>
      </x:c>
      <x:c r="C8" s="24" t="str">
        <x:v>Find client and update README</x:v>
      </x:c>
      <x:c r="D8" s="24" t="str">
        <x:v>Clients found</x:v>
      </x:c>
      <x:c r="E8" s="23"/>
      <x:c r="F8" s="15" t="str">
        <x:f>IF(OR(A8="",COUNTIF('Work Log'!$B$6:$B$205,A8)=0),"",SUMIF('Work Log'!$B$6:$B$205,A8,'Work Log'!$D$6:$D$205))</x:f>
      </x:c>
      <x:c r="G8" s="15" t="str">
        <x:f>IF(OR(A8="",E8=""),"",MAX(0,E8-F8))</x:f>
      </x:c>
    </x:row>
    <x:row r="9">
      <x:c r="A9" s="22" t="n">
        <x:v>4</x:v>
      </x:c>
      <x:c r="B9" s="13" t="str">
        <x:v>S2</x:v>
      </x:c>
      <x:c r="C9" s="24" t="str">
        <x:v>RSS functionality</x:v>
      </x:c>
      <x:c r="D9" s="24" t="str">
        <x:v>In Progress (Demo implemented S1)</x:v>
      </x:c>
      <x:c r="E9" s="23"/>
      <x:c r="F9" s="15" t="str">
        <x:f>IF(OR(A9="",COUNTIF('Work Log'!$B$6:$B$205,A9)=0),"",SUMIF('Work Log'!$B$6:$B$205,A9,'Work Log'!$D$6:$D$205))</x:f>
      </x:c>
      <x:c r="G9" s="15" t="str">
        <x:f>IF(OR(A9="",E9=""),"",MAX(0,E9-F9))</x:f>
      </x:c>
    </x:row>
    <x:row r="10">
      <x:c r="A10" s="22" t="n">
        <x:v>5</x:v>
      </x:c>
      <x:c r="B10" s="13" t="str">
        <x:v>S2</x:v>
      </x:c>
      <x:c r="C10" s="24" t="str">
        <x:v>German language toggle</x:v>
      </x:c>
      <x:c r="D10" s="24" t="str">
        <x:v>Backlog</x:v>
      </x:c>
      <x:c r="E10" s="23"/>
      <x:c r="F10" s="15" t="str">
        <x:f>IF(OR(A10="",COUNTIF('Work Log'!$B$6:$B$205,A10)=0),"",SUMIF('Work Log'!$B$6:$B$205,A10,'Work Log'!$D$6:$D$205))</x:f>
      </x:c>
      <x:c r="G10" s="15" t="str">
        <x:f>IF(OR(A10="",E10=""),"",MAX(0,E10-F10))</x:f>
      </x:c>
    </x:row>
    <x:row r="11">
      <x:c r="A11" s="22"/>
      <x:c r="B11" s="13"/>
      <x:c r="C11" s="24"/>
      <x:c r="D11" s="24"/>
      <x:c r="E11" s="23"/>
      <x:c r="F11" s="15" t="str">
        <x:f>IF(OR(A11="",COUNTIF('Work Log'!$B$6:$B$205,A11)=0),"",SUMIF('Work Log'!$B$6:$B$205,A11,'Work Log'!$D$6:$D$205))</x:f>
      </x:c>
      <x:c r="G11" s="15" t="str">
        <x:f>IF(OR(A11="",E11=""),"",MAX(0,E11-F11))</x:f>
      </x:c>
    </x:row>
    <x:row r="12">
      <x:c r="A12" s="22"/>
      <x:c r="B12" s="13"/>
      <x:c r="C12" s="24"/>
      <x:c r="D12" s="24"/>
      <x:c r="E12" s="23"/>
      <x:c r="F12" s="15" t="str">
        <x:f>IF(OR(A12="",COUNTIF('Work Log'!$B$6:$B$205,A12)=0),"",SUMIF('Work Log'!$B$6:$B$205,A12,'Work Log'!$D$6:$D$205))</x:f>
      </x:c>
      <x:c r="G12" s="15" t="str">
        <x:f>IF(OR(A12="",E12=""),"",MAX(0,E12-F12))</x:f>
      </x:c>
    </x:row>
    <x:row r="13">
      <x:c r="A13" s="22"/>
      <x:c r="B13" s="13"/>
      <x:c r="C13" s="24"/>
      <x:c r="D13" s="24"/>
      <x:c r="E13" s="23"/>
      <x:c r="F13" s="15" t="str">
        <x:f>IF(OR(A13="",COUNTIF('Work Log'!$B$6:$B$205,A13)=0),"",SUMIF('Work Log'!$B$6:$B$205,A13,'Work Log'!$D$6:$D$205))</x:f>
      </x:c>
      <x:c r="G13" s="15" t="str">
        <x:f>IF(OR(A13="",E13=""),"",MAX(0,E13-F13))</x:f>
      </x:c>
    </x:row>
    <x:row r="14">
      <x:c r="A14" s="22"/>
      <x:c r="B14" s="13"/>
      <x:c r="C14" s="24"/>
      <x:c r="D14" s="24"/>
      <x:c r="E14" s="23"/>
      <x:c r="F14" s="15" t="str">
        <x:f>IF(OR(A14="",COUNTIF('Work Log'!$B$6:$B$205,A14)=0),"",SUMIF('Work Log'!$B$6:$B$205,A14,'Work Log'!$D$6:$D$205))</x:f>
      </x:c>
      <x:c r="G14" s="15" t="str">
        <x:f>IF(OR(A14="",E14=""),"",MAX(0,E14-F14))</x:f>
      </x:c>
    </x:row>
    <x:row r="15">
      <x:c r="A15" s="22"/>
      <x:c r="B15" s="13"/>
      <x:c r="C15" s="24"/>
      <x:c r="D15" s="24"/>
      <x:c r="E15" s="23"/>
      <x:c r="F15" s="15" t="str">
        <x:f>IF(OR(A15="",COUNTIF('Work Log'!$B$6:$B$205,A15)=0),"",SUMIF('Work Log'!$B$6:$B$205,A15,'Work Log'!$D$6:$D$205))</x:f>
      </x:c>
      <x:c r="G15" s="15" t="str">
        <x:f>IF(OR(A15="",E15=""),"",MAX(0,E15-F15))</x:f>
      </x:c>
    </x:row>
    <x:row r="16">
      <x:c r="A16" s="22"/>
      <x:c r="B16" s="13"/>
      <x:c r="C16" s="24"/>
      <x:c r="D16" s="24"/>
      <x:c r="E16" s="23"/>
      <x:c r="F16" s="15" t="str">
        <x:f>IF(OR(A16="",COUNTIF('Work Log'!$B$6:$B$205,A16)=0),"",SUMIF('Work Log'!$B$6:$B$205,A16,'Work Log'!$D$6:$D$205))</x:f>
      </x:c>
      <x:c r="G16" s="15" t="str">
        <x:f>IF(OR(A16="",E16=""),"",MAX(0,E16-F16))</x:f>
      </x:c>
    </x:row>
    <x:row r="17">
      <x:c r="A17" s="22"/>
      <x:c r="B17" s="13"/>
      <x:c r="C17" s="24"/>
      <x:c r="D17" s="24"/>
      <x:c r="E17" s="23"/>
      <x:c r="F17" s="15" t="str">
        <x:f>IF(OR(A17="",COUNTIF('Work Log'!$B$6:$B$205,A17)=0),"",SUMIF('Work Log'!$B$6:$B$205,A17,'Work Log'!$D$6:$D$205))</x:f>
      </x:c>
      <x:c r="G17" s="15" t="str">
        <x:f>IF(OR(A17="",E17=""),"",MAX(0,E17-F17))</x:f>
      </x:c>
    </x:row>
    <x:row r="18">
      <x:c r="A18" s="22"/>
      <x:c r="B18" s="13"/>
      <x:c r="C18" s="24"/>
      <x:c r="D18" s="24"/>
      <x:c r="E18" s="23"/>
      <x:c r="F18" s="15" t="str">
        <x:f>IF(OR(A18="",COUNTIF('Work Log'!$B$6:$B$205,A18)=0),"",SUMIF('Work Log'!$B$6:$B$205,A18,'Work Log'!$D$6:$D$205))</x:f>
      </x:c>
      <x:c r="G18" s="15" t="str">
        <x:f>IF(OR(A18="",E18=""),"",MAX(0,E18-F18))</x:f>
      </x:c>
    </x:row>
    <x:row r="19">
      <x:c r="A19" s="22"/>
      <x:c r="B19" s="13"/>
      <x:c r="C19" s="24"/>
      <x:c r="D19" s="24"/>
      <x:c r="E19" s="23"/>
      <x:c r="F19" s="15" t="str">
        <x:f>IF(OR(A19="",COUNTIF('Work Log'!$B$6:$B$205,A19)=0),"",SUMIF('Work Log'!$B$6:$B$205,A19,'Work Log'!$D$6:$D$205))</x:f>
      </x:c>
      <x:c r="G19" s="15" t="str">
        <x:f>IF(OR(A19="",E19=""),"",MAX(0,E19-F19))</x:f>
      </x:c>
    </x:row>
    <x:row r="20">
      <x:c r="A20" s="22"/>
      <x:c r="B20" s="13"/>
      <x:c r="C20" s="24"/>
      <x:c r="D20" s="24"/>
      <x:c r="E20" s="23"/>
      <x:c r="F20" s="15" t="str">
        <x:f>IF(OR(A20="",COUNTIF('Work Log'!$B$6:$B$205,A20)=0),"",SUMIF('Work Log'!$B$6:$B$205,A20,'Work Log'!$D$6:$D$205))</x:f>
      </x:c>
      <x:c r="G20" s="15" t="str">
        <x:f>IF(OR(A20="",E20=""),"",MAX(0,E20-F20))</x:f>
      </x:c>
    </x:row>
    <x:row r="21">
      <x:c r="A21" s="22"/>
      <x:c r="B21" s="13"/>
      <x:c r="C21" s="24"/>
      <x:c r="D21" s="24"/>
      <x:c r="E21" s="23"/>
      <x:c r="F21" s="15" t="str">
        <x:f>IF(OR(A21="",COUNTIF('Work Log'!$B$6:$B$205,A21)=0),"",SUMIF('Work Log'!$B$6:$B$205,A21,'Work Log'!$D$6:$D$205))</x:f>
      </x:c>
      <x:c r="G21" s="15" t="str">
        <x:f>IF(OR(A21="",E21=""),"",MAX(0,E21-F21))</x:f>
      </x:c>
    </x:row>
    <x:row r="22">
      <x:c r="A22" s="22"/>
      <x:c r="B22" s="13"/>
      <x:c r="C22" s="24"/>
      <x:c r="D22" s="24"/>
      <x:c r="E22" s="23"/>
      <x:c r="F22" s="15" t="str">
        <x:f>IF(OR(A22="",COUNTIF('Work Log'!$B$6:$B$205,A22)=0),"",SUMIF('Work Log'!$B$6:$B$205,A22,'Work Log'!$D$6:$D$205))</x:f>
      </x:c>
      <x:c r="G22" s="15" t="str">
        <x:f>IF(OR(A22="",E22=""),"",MAX(0,E22-F22))</x:f>
      </x:c>
    </x:row>
    <x:row r="23">
      <x:c r="A23" s="22"/>
      <x:c r="B23" s="13"/>
      <x:c r="C23" s="24"/>
      <x:c r="D23" s="24"/>
      <x:c r="E23" s="23"/>
      <x:c r="F23" s="15" t="str">
        <x:f>IF(OR(A23="",COUNTIF('Work Log'!$B$6:$B$205,A23)=0),"",SUMIF('Work Log'!$B$6:$B$205,A23,'Work Log'!$D$6:$D$205))</x:f>
      </x:c>
      <x:c r="G23" s="15" t="str">
        <x:f>IF(OR(A23="",E23=""),"",MAX(0,E23-F23))</x:f>
      </x:c>
    </x:row>
    <x:row r="24">
      <x:c r="A24" s="22"/>
      <x:c r="B24" s="13"/>
      <x:c r="C24" s="24"/>
      <x:c r="D24" s="24"/>
      <x:c r="E24" s="23"/>
      <x:c r="F24" s="15" t="str">
        <x:f>IF(OR(A24="",COUNTIF('Work Log'!$B$6:$B$205,A24)=0),"",SUMIF('Work Log'!$B$6:$B$205,A24,'Work Log'!$D$6:$D$205))</x:f>
      </x:c>
      <x:c r="G24" s="15" t="str">
        <x:f>IF(OR(A24="",E24=""),"",MAX(0,E24-F24))</x:f>
      </x:c>
    </x:row>
    <x:row r="25">
      <x:c r="A25" s="22"/>
      <x:c r="B25" s="13"/>
      <x:c r="C25" s="24"/>
      <x:c r="D25" s="24"/>
      <x:c r="E25" s="23"/>
      <x:c r="F25" s="15" t="str">
        <x:f>IF(OR(A25="",COUNTIF('Work Log'!$B$6:$B$205,A25)=0),"",SUMIF('Work Log'!$B$6:$B$205,A25,'Work Log'!$D$6:$D$205))</x:f>
      </x:c>
      <x:c r="G25" s="15" t="str">
        <x:f>IF(OR(A25="",E25=""),"",MAX(0,E25-F25))</x:f>
      </x:c>
    </x:row>
  </x:sheetData>
  <x:mergeCells>
    <x:mergeCell ref="A2:G2"/>
  </x:mergeCells>
  <x:dataValidations count="1">
    <x:dataValidation type="decimal" operator="greaterThan" sqref="E6:E25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48" hidden="0" customWidth="1"/>
    <x:col min="4" max="4" width="22" hidden="0" customWidth="1"/>
    <x:col min="5" max="5" width="12" hidden="0" customWidth="1"/>
    <x:col min="6" max="6" width="20" hidden="0" customWidth="1"/>
  </x:cols>
  <x:sheetData>
    <x:row r="1" ht="27" customHeight="1">
      <x:c r="A1" s="2" t="str">
        <x:v>Completed work log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4" t="str">
        <x:v>Record the date, backlog task ID, accomplishment, and work units completed. Sprint is looked up from Backlog. Enter dates oldest to newest.</x:v>
      </x:c>
      <x:c r="B2" s="4"/>
      <x:c r="C2" s="4"/>
      <x:c r="D2" s="4"/>
      <x:c r="E2" s="4"/>
      <x:c r="F2" s="4"/>
    </x:row>
    <x:row r="5" ht="30" customHeight="1">
      <x:c r="A5" s="9" t="str">
        <x:v>Date</x:v>
      </x:c>
      <x:c r="B5" s="9" t="str">
        <x:v>Task ID</x:v>
      </x:c>
      <x:c r="C5" s="9" t="str">
        <x:v>Accomplishment</x:v>
      </x:c>
      <x:c r="D5" s="9" t="str">
        <x:v>Work units completed</x:v>
      </x:c>
      <x:c r="E5" s="9" t="str">
        <x:v>Sprint</x:v>
      </x:c>
      <x:c r="F5" s="9" t="str">
        <x:v>Entry check</x:v>
      </x:c>
    </x:row>
    <x:row r="6">
      <x:c r="A6" s="14"/>
      <x:c r="B6" s="26"/>
      <x:c r="C6" s="28"/>
      <x:c r="D6" s="23"/>
      <x:c r="E6" s="13" t="str">
        <x:f>IF(B6="","",IFERROR(VLOOKUP(B6,'Backlog'!$A$6:$B$25,2,FALSE),"Unknown task"))</x:f>
      </x:c>
      <x:c r="F6" s="13" t="str">
        <x:f>IF(COUNTA(A6:D6)=0,"",IF(OR(A6="",B6="",C6="",D6=""),"Missing input",IF(E6="Unknown task","Unknown task",IF(D6&lt;=0,"Units must be positive","Ready"))))</x:f>
      </x:c>
    </x:row>
    <x:row r="7">
      <x:c r="A7" s="14"/>
      <x:c r="B7" s="26"/>
      <x:c r="C7" s="28"/>
      <x:c r="D7" s="23"/>
      <x:c r="E7" s="13" t="str">
        <x:f>IF(B7="","",IFERROR(VLOOKUP(B7,'Backlog'!$A$6:$B$25,2,FALSE),"Unknown task"))</x:f>
      </x:c>
      <x:c r="F7" s="13" t="str">
        <x:f>IF(COUNTA(A7:D7)=0,"",IF(OR(A7="",B7="",C7="",D7=""),"Missing input",IF(E7="Unknown task","Unknown task",IF(D7&lt;=0,"Units must be positive","Ready"))))</x:f>
      </x:c>
    </x:row>
    <x:row r="8">
      <x:c r="A8" s="14"/>
      <x:c r="B8" s="26"/>
      <x:c r="C8" s="28"/>
      <x:c r="D8" s="23"/>
      <x:c r="E8" s="13" t="str">
        <x:f>IF(B8="","",IFERROR(VLOOKUP(B8,'Backlog'!$A$6:$B$25,2,FALSE),"Unknown task"))</x:f>
      </x:c>
      <x:c r="F8" s="13" t="str">
        <x:f>IF(COUNTA(A8:D8)=0,"",IF(OR(A8="",B8="",C8="",D8=""),"Missing input",IF(E8="Unknown task","Unknown task",IF(D8&lt;=0,"Units must be positive","Ready"))))</x:f>
      </x:c>
    </x:row>
    <x:row r="9">
      <x:c r="A9" s="14"/>
      <x:c r="B9" s="26"/>
      <x:c r="C9" s="28"/>
      <x:c r="D9" s="23"/>
      <x:c r="E9" s="13" t="str">
        <x:f>IF(B9="","",IFERROR(VLOOKUP(B9,'Backlog'!$A$6:$B$25,2,FALSE),"Unknown task"))</x:f>
      </x:c>
      <x:c r="F9" s="13" t="str">
        <x:f>IF(COUNTA(A9:D9)=0,"",IF(OR(A9="",B9="",C9="",D9=""),"Missing input",IF(E9="Unknown task","Unknown task",IF(D9&lt;=0,"Units must be positive","Ready"))))</x:f>
      </x:c>
    </x:row>
    <x:row r="10">
      <x:c r="A10" s="14"/>
      <x:c r="B10" s="26"/>
      <x:c r="C10" s="28"/>
      <x:c r="D10" s="23"/>
      <x:c r="E10" s="13" t="str">
        <x:f>IF(B10="","",IFERROR(VLOOKUP(B10,'Backlog'!$A$6:$B$25,2,FALSE),"Unknown task"))</x:f>
      </x:c>
      <x:c r="F10" s="13" t="str">
        <x:f>IF(COUNTA(A10:D10)=0,"",IF(OR(A10="",B10="",C10="",D10=""),"Missing input",IF(E10="Unknown task","Unknown task",IF(D10&lt;=0,"Units must be positive","Ready"))))</x:f>
      </x:c>
    </x:row>
    <x:row r="11">
      <x:c r="A11" s="14"/>
      <x:c r="B11" s="26"/>
      <x:c r="C11" s="28"/>
      <x:c r="D11" s="23"/>
      <x:c r="E11" s="13" t="str">
        <x:f>IF(B11="","",IFERROR(VLOOKUP(B11,'Backlog'!$A$6:$B$25,2,FALSE),"Unknown task"))</x:f>
      </x:c>
      <x:c r="F11" s="13" t="str">
        <x:f>IF(COUNTA(A11:D11)=0,"",IF(OR(A11="",B11="",C11="",D11=""),"Missing input",IF(E11="Unknown task","Unknown task",IF(D11&lt;=0,"Units must be positive","Ready"))))</x:f>
      </x:c>
    </x:row>
    <x:row r="12">
      <x:c r="A12" s="14"/>
      <x:c r="B12" s="26"/>
      <x:c r="C12" s="28"/>
      <x:c r="D12" s="23"/>
      <x:c r="E12" s="13" t="str">
        <x:f>IF(B12="","",IFERROR(VLOOKUP(B12,'Backlog'!$A$6:$B$25,2,FALSE),"Unknown task"))</x:f>
      </x:c>
      <x:c r="F12" s="13" t="str">
        <x:f>IF(COUNTA(A12:D12)=0,"",IF(OR(A12="",B12="",C12="",D12=""),"Missing input",IF(E12="Unknown task","Unknown task",IF(D12&lt;=0,"Units must be positive","Ready"))))</x:f>
      </x:c>
    </x:row>
    <x:row r="13">
      <x:c r="A13" s="14"/>
      <x:c r="B13" s="26"/>
      <x:c r="C13" s="28"/>
      <x:c r="D13" s="23"/>
      <x:c r="E13" s="13" t="str">
        <x:f>IF(B13="","",IFERROR(VLOOKUP(B13,'Backlog'!$A$6:$B$25,2,FALSE),"Unknown task"))</x:f>
      </x:c>
      <x:c r="F13" s="13" t="str">
        <x:f>IF(COUNTA(A13:D13)=0,"",IF(OR(A13="",B13="",C13="",D13=""),"Missing input",IF(E13="Unknown task","Unknown task",IF(D13&lt;=0,"Units must be positive","Ready"))))</x:f>
      </x:c>
    </x:row>
    <x:row r="14">
      <x:c r="A14" s="14"/>
      <x:c r="B14" s="26"/>
      <x:c r="C14" s="28"/>
      <x:c r="D14" s="23"/>
      <x:c r="E14" s="13" t="str">
        <x:f>IF(B14="","",IFERROR(VLOOKUP(B14,'Backlog'!$A$6:$B$25,2,FALSE),"Unknown task"))</x:f>
      </x:c>
      <x:c r="F14" s="13" t="str">
        <x:f>IF(COUNTA(A14:D14)=0,"",IF(OR(A14="",B14="",C14="",D14=""),"Missing input",IF(E14="Unknown task","Unknown task",IF(D14&lt;=0,"Units must be positive","Ready"))))</x:f>
      </x:c>
    </x:row>
    <x:row r="15">
      <x:c r="A15" s="14"/>
      <x:c r="B15" s="26"/>
      <x:c r="C15" s="28"/>
      <x:c r="D15" s="23"/>
      <x:c r="E15" s="13" t="str">
        <x:f>IF(B15="","",IFERROR(VLOOKUP(B15,'Backlog'!$A$6:$B$25,2,FALSE),"Unknown task"))</x:f>
      </x:c>
      <x:c r="F15" s="13" t="str">
        <x:f>IF(COUNTA(A15:D15)=0,"",IF(OR(A15="",B15="",C15="",D15=""),"Missing input",IF(E15="Unknown task","Unknown task",IF(D15&lt;=0,"Units must be positive","Ready"))))</x:f>
      </x:c>
    </x:row>
    <x:row r="16">
      <x:c r="A16" s="14"/>
      <x:c r="B16" s="26"/>
      <x:c r="C16" s="28"/>
      <x:c r="D16" s="23"/>
      <x:c r="E16" s="13" t="str">
        <x:f>IF(B16="","",IFERROR(VLOOKUP(B16,'Backlog'!$A$6:$B$25,2,FALSE),"Unknown task"))</x:f>
      </x:c>
      <x:c r="F16" s="13" t="str">
        <x:f>IF(COUNTA(A16:D16)=0,"",IF(OR(A16="",B16="",C16="",D16=""),"Missing input",IF(E16="Unknown task","Unknown task",IF(D16&lt;=0,"Units must be positive","Ready"))))</x:f>
      </x:c>
    </x:row>
    <x:row r="17">
      <x:c r="A17" s="14"/>
      <x:c r="B17" s="26"/>
      <x:c r="C17" s="28"/>
      <x:c r="D17" s="23"/>
      <x:c r="E17" s="13" t="str">
        <x:f>IF(B17="","",IFERROR(VLOOKUP(B17,'Backlog'!$A$6:$B$25,2,FALSE),"Unknown task"))</x:f>
      </x:c>
      <x:c r="F17" s="13" t="str">
        <x:f>IF(COUNTA(A17:D17)=0,"",IF(OR(A17="",B17="",C17="",D17=""),"Missing input",IF(E17="Unknown task","Unknown task",IF(D17&lt;=0,"Units must be positive","Ready"))))</x:f>
      </x:c>
    </x:row>
    <x:row r="18">
      <x:c r="A18" s="14"/>
      <x:c r="B18" s="26"/>
      <x:c r="C18" s="28"/>
      <x:c r="D18" s="23"/>
      <x:c r="E18" s="13" t="str">
        <x:f>IF(B18="","",IFERROR(VLOOKUP(B18,'Backlog'!$A$6:$B$25,2,FALSE),"Unknown task"))</x:f>
      </x:c>
      <x:c r="F18" s="13" t="str">
        <x:f>IF(COUNTA(A18:D18)=0,"",IF(OR(A18="",B18="",C18="",D18=""),"Missing input",IF(E18="Unknown task","Unknown task",IF(D18&lt;=0,"Units must be positive","Ready"))))</x:f>
      </x:c>
    </x:row>
    <x:row r="19">
      <x:c r="A19" s="14"/>
      <x:c r="B19" s="26"/>
      <x:c r="C19" s="28"/>
      <x:c r="D19" s="23"/>
      <x:c r="E19" s="13" t="str">
        <x:f>IF(B19="","",IFERROR(VLOOKUP(B19,'Backlog'!$A$6:$B$25,2,FALSE),"Unknown task"))</x:f>
      </x:c>
      <x:c r="F19" s="13" t="str">
        <x:f>IF(COUNTA(A19:D19)=0,"",IF(OR(A19="",B19="",C19="",D19=""),"Missing input",IF(E19="Unknown task","Unknown task",IF(D19&lt;=0,"Units must be positive","Ready"))))</x:f>
      </x:c>
    </x:row>
    <x:row r="20">
      <x:c r="A20" s="14"/>
      <x:c r="B20" s="26"/>
      <x:c r="C20" s="28"/>
      <x:c r="D20" s="23"/>
      <x:c r="E20" s="13" t="str">
        <x:f>IF(B20="","",IFERROR(VLOOKUP(B20,'Backlog'!$A$6:$B$25,2,FALSE),"Unknown task"))</x:f>
      </x:c>
      <x:c r="F20" s="13" t="str">
        <x:f>IF(COUNTA(A20:D20)=0,"",IF(OR(A20="",B20="",C20="",D20=""),"Missing input",IF(E20="Unknown task","Unknown task",IF(D20&lt;=0,"Units must be positive","Ready"))))</x:f>
      </x:c>
    </x:row>
    <x:row r="21">
      <x:c r="A21" s="14"/>
      <x:c r="B21" s="26"/>
      <x:c r="C21" s="28"/>
      <x:c r="D21" s="23"/>
      <x:c r="E21" s="13" t="str">
        <x:f>IF(B21="","",IFERROR(VLOOKUP(B21,'Backlog'!$A$6:$B$25,2,FALSE),"Unknown task"))</x:f>
      </x:c>
      <x:c r="F21" s="13" t="str">
        <x:f>IF(COUNTA(A21:D21)=0,"",IF(OR(A21="",B21="",C21="",D21=""),"Missing input",IF(E21="Unknown task","Unknown task",IF(D21&lt;=0,"Units must be positive","Ready"))))</x:f>
      </x:c>
    </x:row>
    <x:row r="22">
      <x:c r="A22" s="14"/>
      <x:c r="B22" s="26"/>
      <x:c r="C22" s="28"/>
      <x:c r="D22" s="23"/>
      <x:c r="E22" s="13" t="str">
        <x:f>IF(B22="","",IFERROR(VLOOKUP(B22,'Backlog'!$A$6:$B$25,2,FALSE),"Unknown task"))</x:f>
      </x:c>
      <x:c r="F22" s="13" t="str">
        <x:f>IF(COUNTA(A22:D22)=0,"",IF(OR(A22="",B22="",C22="",D22=""),"Missing input",IF(E22="Unknown task","Unknown task",IF(D22&lt;=0,"Units must be positive","Ready"))))</x:f>
      </x:c>
    </x:row>
    <x:row r="23">
      <x:c r="A23" s="14"/>
      <x:c r="B23" s="26"/>
      <x:c r="C23" s="28"/>
      <x:c r="D23" s="23"/>
      <x:c r="E23" s="13" t="str">
        <x:f>IF(B23="","",IFERROR(VLOOKUP(B23,'Backlog'!$A$6:$B$25,2,FALSE),"Unknown task"))</x:f>
      </x:c>
      <x:c r="F23" s="13" t="str">
        <x:f>IF(COUNTA(A23:D23)=0,"",IF(OR(A23="",B23="",C23="",D23=""),"Missing input",IF(E23="Unknown task","Unknown task",IF(D23&lt;=0,"Units must be positive","Ready"))))</x:f>
      </x:c>
    </x:row>
    <x:row r="24">
      <x:c r="A24" s="14"/>
      <x:c r="B24" s="26"/>
      <x:c r="C24" s="28"/>
      <x:c r="D24" s="23"/>
      <x:c r="E24" s="13" t="str">
        <x:f>IF(B24="","",IFERROR(VLOOKUP(B24,'Backlog'!$A$6:$B$25,2,FALSE),"Unknown task"))</x:f>
      </x:c>
      <x:c r="F24" s="13" t="str">
        <x:f>IF(COUNTA(A24:D24)=0,"",IF(OR(A24="",B24="",C24="",D24=""),"Missing input",IF(E24="Unknown task","Unknown task",IF(D24&lt;=0,"Units must be positive","Ready"))))</x:f>
      </x:c>
    </x:row>
    <x:row r="25">
      <x:c r="A25" s="14"/>
      <x:c r="B25" s="26"/>
      <x:c r="C25" s="28"/>
      <x:c r="D25" s="23"/>
      <x:c r="E25" s="13" t="str">
        <x:f>IF(B25="","",IFERROR(VLOOKUP(B25,'Backlog'!$A$6:$B$25,2,FALSE),"Unknown task"))</x:f>
      </x:c>
      <x:c r="F25" s="13" t="str">
        <x:f>IF(COUNTA(A25:D25)=0,"",IF(OR(A25="",B25="",C25="",D25=""),"Missing input",IF(E25="Unknown task","Unknown task",IF(D25&lt;=0,"Units must be positive","Ready"))))</x:f>
      </x:c>
    </x:row>
    <x:row r="26">
      <x:c r="A26" s="14"/>
      <x:c r="B26" s="26"/>
      <x:c r="C26" s="28"/>
      <x:c r="D26" s="23"/>
      <x:c r="E26" s="13" t="str">
        <x:f>IF(B26="","",IFERROR(VLOOKUP(B26,'Backlog'!$A$6:$B$25,2,FALSE),"Unknown task"))</x:f>
      </x:c>
      <x:c r="F26" s="13" t="str">
        <x:f>IF(COUNTA(A26:D26)=0,"",IF(OR(A26="",B26="",C26="",D26=""),"Missing input",IF(E26="Unknown task","Unknown task",IF(D26&lt;=0,"Units must be positive","Ready"))))</x:f>
      </x:c>
    </x:row>
    <x:row r="27">
      <x:c r="A27" s="14"/>
      <x:c r="B27" s="26"/>
      <x:c r="C27" s="28"/>
      <x:c r="D27" s="23"/>
      <x:c r="E27" s="13" t="str">
        <x:f>IF(B27="","",IFERROR(VLOOKUP(B27,'Backlog'!$A$6:$B$25,2,FALSE),"Unknown task"))</x:f>
      </x:c>
      <x:c r="F27" s="13" t="str">
        <x:f>IF(COUNTA(A27:D27)=0,"",IF(OR(A27="",B27="",C27="",D27=""),"Missing input",IF(E27="Unknown task","Unknown task",IF(D27&lt;=0,"Units must be positive","Ready"))))</x:f>
      </x:c>
    </x:row>
    <x:row r="28">
      <x:c r="A28" s="14"/>
      <x:c r="B28" s="26"/>
      <x:c r="C28" s="28"/>
      <x:c r="D28" s="23"/>
      <x:c r="E28" s="13" t="str">
        <x:f>IF(B28="","",IFERROR(VLOOKUP(B28,'Backlog'!$A$6:$B$25,2,FALSE),"Unknown task"))</x:f>
      </x:c>
      <x:c r="F28" s="13" t="str">
        <x:f>IF(COUNTA(A28:D28)=0,"",IF(OR(A28="",B28="",C28="",D28=""),"Missing input",IF(E28="Unknown task","Unknown task",IF(D28&lt;=0,"Units must be positive","Ready"))))</x:f>
      </x:c>
    </x:row>
    <x:row r="29">
      <x:c r="A29" s="14"/>
      <x:c r="B29" s="26"/>
      <x:c r="C29" s="28"/>
      <x:c r="D29" s="23"/>
      <x:c r="E29" s="13" t="str">
        <x:f>IF(B29="","",IFERROR(VLOOKUP(B29,'Backlog'!$A$6:$B$25,2,FALSE),"Unknown task"))</x:f>
      </x:c>
      <x:c r="F29" s="13" t="str">
        <x:f>IF(COUNTA(A29:D29)=0,"",IF(OR(A29="",B29="",C29="",D29=""),"Missing input",IF(E29="Unknown task","Unknown task",IF(D29&lt;=0,"Units must be positive","Ready"))))</x:f>
      </x:c>
    </x:row>
    <x:row r="30">
      <x:c r="A30" s="14"/>
      <x:c r="B30" s="26"/>
      <x:c r="C30" s="28"/>
      <x:c r="D30" s="23"/>
      <x:c r="E30" s="13" t="str">
        <x:f>IF(B30="","",IFERROR(VLOOKUP(B30,'Backlog'!$A$6:$B$25,2,FALSE),"Unknown task"))</x:f>
      </x:c>
      <x:c r="F30" s="13" t="str">
        <x:f>IF(COUNTA(A30:D30)=0,"",IF(OR(A30="",B30="",C30="",D30=""),"Missing input",IF(E30="Unknown task","Unknown task",IF(D30&lt;=0,"Units must be positive","Ready"))))</x:f>
      </x:c>
    </x:row>
    <x:row r="31">
      <x:c r="A31" s="14"/>
      <x:c r="B31" s="26"/>
      <x:c r="C31" s="28"/>
      <x:c r="D31" s="23"/>
      <x:c r="E31" s="13" t="str">
        <x:f>IF(B31="","",IFERROR(VLOOKUP(B31,'Backlog'!$A$6:$B$25,2,FALSE),"Unknown task"))</x:f>
      </x:c>
      <x:c r="F31" s="13" t="str">
        <x:f>IF(COUNTA(A31:D31)=0,"",IF(OR(A31="",B31="",C31="",D31=""),"Missing input",IF(E31="Unknown task","Unknown task",IF(D31&lt;=0,"Units must be positive","Ready"))))</x:f>
      </x:c>
    </x:row>
    <x:row r="32">
      <x:c r="A32" s="14"/>
      <x:c r="B32" s="26"/>
      <x:c r="C32" s="28"/>
      <x:c r="D32" s="23"/>
      <x:c r="E32" s="13" t="str">
        <x:f>IF(B32="","",IFERROR(VLOOKUP(B32,'Backlog'!$A$6:$B$25,2,FALSE),"Unknown task"))</x:f>
      </x:c>
      <x:c r="F32" s="13" t="str">
        <x:f>IF(COUNTA(A32:D32)=0,"",IF(OR(A32="",B32="",C32="",D32=""),"Missing input",IF(E32="Unknown task","Unknown task",IF(D32&lt;=0,"Units must be positive","Ready"))))</x:f>
      </x:c>
    </x:row>
    <x:row r="33">
      <x:c r="A33" s="14"/>
      <x:c r="B33" s="26"/>
      <x:c r="C33" s="28"/>
      <x:c r="D33" s="23"/>
      <x:c r="E33" s="13" t="str">
        <x:f>IF(B33="","",IFERROR(VLOOKUP(B33,'Backlog'!$A$6:$B$25,2,FALSE),"Unknown task"))</x:f>
      </x:c>
      <x:c r="F33" s="13" t="str">
        <x:f>IF(COUNTA(A33:D33)=0,"",IF(OR(A33="",B33="",C33="",D33=""),"Missing input",IF(E33="Unknown task","Unknown task",IF(D33&lt;=0,"Units must be positive","Ready"))))</x:f>
      </x:c>
    </x:row>
    <x:row r="34">
      <x:c r="A34" s="14"/>
      <x:c r="B34" s="26"/>
      <x:c r="C34" s="28"/>
      <x:c r="D34" s="23"/>
      <x:c r="E34" s="13" t="str">
        <x:f>IF(B34="","",IFERROR(VLOOKUP(B34,'Backlog'!$A$6:$B$25,2,FALSE),"Unknown task"))</x:f>
      </x:c>
      <x:c r="F34" s="13" t="str">
        <x:f>IF(COUNTA(A34:D34)=0,"",IF(OR(A34="",B34="",C34="",D34=""),"Missing input",IF(E34="Unknown task","Unknown task",IF(D34&lt;=0,"Units must be positive","Ready"))))</x:f>
      </x:c>
    </x:row>
    <x:row r="35">
      <x:c r="A35" s="14"/>
      <x:c r="B35" s="26"/>
      <x:c r="C35" s="28"/>
      <x:c r="D35" s="23"/>
      <x:c r="E35" s="13" t="str">
        <x:f>IF(B35="","",IFERROR(VLOOKUP(B35,'Backlog'!$A$6:$B$25,2,FALSE),"Unknown task"))</x:f>
      </x:c>
      <x:c r="F35" s="13" t="str">
        <x:f>IF(COUNTA(A35:D35)=0,"",IF(OR(A35="",B35="",C35="",D35=""),"Missing input",IF(E35="Unknown task","Unknown task",IF(D35&lt;=0,"Units must be positive","Ready"))))</x:f>
      </x:c>
    </x:row>
    <x:row r="36">
      <x:c r="A36" s="14"/>
      <x:c r="B36" s="26"/>
      <x:c r="C36" s="28"/>
      <x:c r="D36" s="23"/>
      <x:c r="E36" s="13" t="str">
        <x:f>IF(B36="","",IFERROR(VLOOKUP(B36,'Backlog'!$A$6:$B$25,2,FALSE),"Unknown task"))</x:f>
      </x:c>
      <x:c r="F36" s="13" t="str">
        <x:f>IF(COUNTA(A36:D36)=0,"",IF(OR(A36="",B36="",C36="",D36=""),"Missing input",IF(E36="Unknown task","Unknown task",IF(D36&lt;=0,"Units must be positive","Ready"))))</x:f>
      </x:c>
    </x:row>
    <x:row r="37">
      <x:c r="A37" s="14"/>
      <x:c r="B37" s="26"/>
      <x:c r="C37" s="28"/>
      <x:c r="D37" s="23"/>
      <x:c r="E37" s="13" t="str">
        <x:f>IF(B37="","",IFERROR(VLOOKUP(B37,'Backlog'!$A$6:$B$25,2,FALSE),"Unknown task"))</x:f>
      </x:c>
      <x:c r="F37" s="13" t="str">
        <x:f>IF(COUNTA(A37:D37)=0,"",IF(OR(A37="",B37="",C37="",D37=""),"Missing input",IF(E37="Unknown task","Unknown task",IF(D37&lt;=0,"Units must be positive","Ready"))))</x:f>
      </x:c>
    </x:row>
    <x:row r="38">
      <x:c r="A38" s="14"/>
      <x:c r="B38" s="26"/>
      <x:c r="C38" s="28"/>
      <x:c r="D38" s="23"/>
      <x:c r="E38" s="13" t="str">
        <x:f>IF(B38="","",IFERROR(VLOOKUP(B38,'Backlog'!$A$6:$B$25,2,FALSE),"Unknown task"))</x:f>
      </x:c>
      <x:c r="F38" s="13" t="str">
        <x:f>IF(COUNTA(A38:D38)=0,"",IF(OR(A38="",B38="",C38="",D38=""),"Missing input",IF(E38="Unknown task","Unknown task",IF(D38&lt;=0,"Units must be positive","Ready"))))</x:f>
      </x:c>
    </x:row>
    <x:row r="39">
      <x:c r="A39" s="14"/>
      <x:c r="B39" s="26"/>
      <x:c r="C39" s="28"/>
      <x:c r="D39" s="23"/>
      <x:c r="E39" s="13" t="str">
        <x:f>IF(B39="","",IFERROR(VLOOKUP(B39,'Backlog'!$A$6:$B$25,2,FALSE),"Unknown task"))</x:f>
      </x:c>
      <x:c r="F39" s="13" t="str">
        <x:f>IF(COUNTA(A39:D39)=0,"",IF(OR(A39="",B39="",C39="",D39=""),"Missing input",IF(E39="Unknown task","Unknown task",IF(D39&lt;=0,"Units must be positive","Ready"))))</x:f>
      </x:c>
    </x:row>
    <x:row r="40">
      <x:c r="A40" s="14"/>
      <x:c r="B40" s="26"/>
      <x:c r="C40" s="28"/>
      <x:c r="D40" s="23"/>
      <x:c r="E40" s="13" t="str">
        <x:f>IF(B40="","",IFERROR(VLOOKUP(B40,'Backlog'!$A$6:$B$25,2,FALSE),"Unknown task"))</x:f>
      </x:c>
      <x:c r="F40" s="13" t="str">
        <x:f>IF(COUNTA(A40:D40)=0,"",IF(OR(A40="",B40="",C40="",D40=""),"Missing input",IF(E40="Unknown task","Unknown task",IF(D40&lt;=0,"Units must be positive","Ready"))))</x:f>
      </x:c>
    </x:row>
    <x:row r="41">
      <x:c r="A41" s="14"/>
      <x:c r="B41" s="26"/>
      <x:c r="C41" s="28"/>
      <x:c r="D41" s="23"/>
      <x:c r="E41" s="13" t="str">
        <x:f>IF(B41="","",IFERROR(VLOOKUP(B41,'Backlog'!$A$6:$B$25,2,FALSE),"Unknown task"))</x:f>
      </x:c>
      <x:c r="F41" s="13" t="str">
        <x:f>IF(COUNTA(A41:D41)=0,"",IF(OR(A41="",B41="",C41="",D41=""),"Missing input",IF(E41="Unknown task","Unknown task",IF(D41&lt;=0,"Units must be positive","Ready"))))</x:f>
      </x:c>
    </x:row>
    <x:row r="42">
      <x:c r="A42" s="14"/>
      <x:c r="B42" s="26"/>
      <x:c r="C42" s="28"/>
      <x:c r="D42" s="23"/>
      <x:c r="E42" s="13" t="str">
        <x:f>IF(B42="","",IFERROR(VLOOKUP(B42,'Backlog'!$A$6:$B$25,2,FALSE),"Unknown task"))</x:f>
      </x:c>
      <x:c r="F42" s="13" t="str">
        <x:f>IF(COUNTA(A42:D42)=0,"",IF(OR(A42="",B42="",C42="",D42=""),"Missing input",IF(E42="Unknown task","Unknown task",IF(D42&lt;=0,"Units must be positive","Ready"))))</x:f>
      </x:c>
    </x:row>
    <x:row r="43">
      <x:c r="A43" s="14"/>
      <x:c r="B43" s="26"/>
      <x:c r="C43" s="28"/>
      <x:c r="D43" s="23"/>
      <x:c r="E43" s="13" t="str">
        <x:f>IF(B43="","",IFERROR(VLOOKUP(B43,'Backlog'!$A$6:$B$25,2,FALSE),"Unknown task"))</x:f>
      </x:c>
      <x:c r="F43" s="13" t="str">
        <x:f>IF(COUNTA(A43:D43)=0,"",IF(OR(A43="",B43="",C43="",D43=""),"Missing input",IF(E43="Unknown task","Unknown task",IF(D43&lt;=0,"Units must be positive","Ready"))))</x:f>
      </x:c>
    </x:row>
    <x:row r="44">
      <x:c r="A44" s="14"/>
      <x:c r="B44" s="26"/>
      <x:c r="C44" s="28"/>
      <x:c r="D44" s="23"/>
      <x:c r="E44" s="13" t="str">
        <x:f>IF(B44="","",IFERROR(VLOOKUP(B44,'Backlog'!$A$6:$B$25,2,FALSE),"Unknown task"))</x:f>
      </x:c>
      <x:c r="F44" s="13" t="str">
        <x:f>IF(COUNTA(A44:D44)=0,"",IF(OR(A44="",B44="",C44="",D44=""),"Missing input",IF(E44="Unknown task","Unknown task",IF(D44&lt;=0,"Units must be positive","Ready"))))</x:f>
      </x:c>
    </x:row>
    <x:row r="45">
      <x:c r="A45" s="14"/>
      <x:c r="B45" s="26"/>
      <x:c r="C45" s="28"/>
      <x:c r="D45" s="23"/>
      <x:c r="E45" s="13" t="str">
        <x:f>IF(B45="","",IFERROR(VLOOKUP(B45,'Backlog'!$A$6:$B$25,2,FALSE),"Unknown task"))</x:f>
      </x:c>
      <x:c r="F45" s="13" t="str">
        <x:f>IF(COUNTA(A45:D45)=0,"",IF(OR(A45="",B45="",C45="",D45=""),"Missing input",IF(E45="Unknown task","Unknown task",IF(D45&lt;=0,"Units must be positive","Ready"))))</x:f>
      </x:c>
    </x:row>
    <x:row r="46">
      <x:c r="A46" s="14"/>
      <x:c r="B46" s="26"/>
      <x:c r="C46" s="28"/>
      <x:c r="D46" s="23"/>
      <x:c r="E46" s="13" t="str">
        <x:f>IF(B46="","",IFERROR(VLOOKUP(B46,'Backlog'!$A$6:$B$25,2,FALSE),"Unknown task"))</x:f>
      </x:c>
      <x:c r="F46" s="13" t="str">
        <x:f>IF(COUNTA(A46:D46)=0,"",IF(OR(A46="",B46="",C46="",D46=""),"Missing input",IF(E46="Unknown task","Unknown task",IF(D46&lt;=0,"Units must be positive","Ready"))))</x:f>
      </x:c>
    </x:row>
    <x:row r="47">
      <x:c r="A47" s="14"/>
      <x:c r="B47" s="26"/>
      <x:c r="C47" s="28"/>
      <x:c r="D47" s="23"/>
      <x:c r="E47" s="13" t="str">
        <x:f>IF(B47="","",IFERROR(VLOOKUP(B47,'Backlog'!$A$6:$B$25,2,FALSE),"Unknown task"))</x:f>
      </x:c>
      <x:c r="F47" s="13" t="str">
        <x:f>IF(COUNTA(A47:D47)=0,"",IF(OR(A47="",B47="",C47="",D47=""),"Missing input",IF(E47="Unknown task","Unknown task",IF(D47&lt;=0,"Units must be positive","Ready"))))</x:f>
      </x:c>
    </x:row>
    <x:row r="48">
      <x:c r="A48" s="14"/>
      <x:c r="B48" s="26"/>
      <x:c r="C48" s="28"/>
      <x:c r="D48" s="23"/>
      <x:c r="E48" s="13" t="str">
        <x:f>IF(B48="","",IFERROR(VLOOKUP(B48,'Backlog'!$A$6:$B$25,2,FALSE),"Unknown task"))</x:f>
      </x:c>
      <x:c r="F48" s="13" t="str">
        <x:f>IF(COUNTA(A48:D48)=0,"",IF(OR(A48="",B48="",C48="",D48=""),"Missing input",IF(E48="Unknown task","Unknown task",IF(D48&lt;=0,"Units must be positive","Ready"))))</x:f>
      </x:c>
    </x:row>
    <x:row r="49">
      <x:c r="A49" s="14"/>
      <x:c r="B49" s="26"/>
      <x:c r="C49" s="28"/>
      <x:c r="D49" s="23"/>
      <x:c r="E49" s="13" t="str">
        <x:f>IF(B49="","",IFERROR(VLOOKUP(B49,'Backlog'!$A$6:$B$25,2,FALSE),"Unknown task"))</x:f>
      </x:c>
      <x:c r="F49" s="13" t="str">
        <x:f>IF(COUNTA(A49:D49)=0,"",IF(OR(A49="",B49="",C49="",D49=""),"Missing input",IF(E49="Unknown task","Unknown task",IF(D49&lt;=0,"Units must be positive","Ready"))))</x:f>
      </x:c>
    </x:row>
    <x:row r="50">
      <x:c r="A50" s="14"/>
      <x:c r="B50" s="26"/>
      <x:c r="C50" s="28"/>
      <x:c r="D50" s="23"/>
      <x:c r="E50" s="13" t="str">
        <x:f>IF(B50="","",IFERROR(VLOOKUP(B50,'Backlog'!$A$6:$B$25,2,FALSE),"Unknown task"))</x:f>
      </x:c>
      <x:c r="F50" s="13" t="str">
        <x:f>IF(COUNTA(A50:D50)=0,"",IF(OR(A50="",B50="",C50="",D50=""),"Missing input",IF(E50="Unknown task","Unknown task",IF(D50&lt;=0,"Units must be positive","Ready"))))</x:f>
      </x:c>
    </x:row>
    <x:row r="51">
      <x:c r="A51" s="14"/>
      <x:c r="B51" s="26"/>
      <x:c r="C51" s="28"/>
      <x:c r="D51" s="23"/>
      <x:c r="E51" s="13" t="str">
        <x:f>IF(B51="","",IFERROR(VLOOKUP(B51,'Backlog'!$A$6:$B$25,2,FALSE),"Unknown task"))</x:f>
      </x:c>
      <x:c r="F51" s="13" t="str">
        <x:f>IF(COUNTA(A51:D51)=0,"",IF(OR(A51="",B51="",C51="",D51=""),"Missing input",IF(E51="Unknown task","Unknown task",IF(D51&lt;=0,"Units must be positive","Ready"))))</x:f>
      </x:c>
    </x:row>
    <x:row r="52">
      <x:c r="A52" s="14"/>
      <x:c r="B52" s="26"/>
      <x:c r="C52" s="28"/>
      <x:c r="D52" s="23"/>
      <x:c r="E52" s="13" t="str">
        <x:f>IF(B52="","",IFERROR(VLOOKUP(B52,'Backlog'!$A$6:$B$25,2,FALSE),"Unknown task"))</x:f>
      </x:c>
      <x:c r="F52" s="13" t="str">
        <x:f>IF(COUNTA(A52:D52)=0,"",IF(OR(A52="",B52="",C52="",D52=""),"Missing input",IF(E52="Unknown task","Unknown task",IF(D52&lt;=0,"Units must be positive","Ready"))))</x:f>
      </x:c>
    </x:row>
    <x:row r="53">
      <x:c r="A53" s="14"/>
      <x:c r="B53" s="26"/>
      <x:c r="C53" s="28"/>
      <x:c r="D53" s="23"/>
      <x:c r="E53" s="13" t="str">
        <x:f>IF(B53="","",IFERROR(VLOOKUP(B53,'Backlog'!$A$6:$B$25,2,FALSE),"Unknown task"))</x:f>
      </x:c>
      <x:c r="F53" s="13" t="str">
        <x:f>IF(COUNTA(A53:D53)=0,"",IF(OR(A53="",B53="",C53="",D53=""),"Missing input",IF(E53="Unknown task","Unknown task",IF(D53&lt;=0,"Units must be positive","Ready"))))</x:f>
      </x:c>
    </x:row>
    <x:row r="54">
      <x:c r="A54" s="14"/>
      <x:c r="B54" s="26"/>
      <x:c r="C54" s="28"/>
      <x:c r="D54" s="23"/>
      <x:c r="E54" s="13" t="str">
        <x:f>IF(B54="","",IFERROR(VLOOKUP(B54,'Backlog'!$A$6:$B$25,2,FALSE),"Unknown task"))</x:f>
      </x:c>
      <x:c r="F54" s="13" t="str">
        <x:f>IF(COUNTA(A54:D54)=0,"",IF(OR(A54="",B54="",C54="",D54=""),"Missing input",IF(E54="Unknown task","Unknown task",IF(D54&lt;=0,"Units must be positive","Ready"))))</x:f>
      </x:c>
    </x:row>
    <x:row r="55">
      <x:c r="A55" s="14"/>
      <x:c r="B55" s="26"/>
      <x:c r="C55" s="28"/>
      <x:c r="D55" s="23"/>
      <x:c r="E55" s="13" t="str">
        <x:f>IF(B55="","",IFERROR(VLOOKUP(B55,'Backlog'!$A$6:$B$25,2,FALSE),"Unknown task"))</x:f>
      </x:c>
      <x:c r="F55" s="13" t="str">
        <x:f>IF(COUNTA(A55:D55)=0,"",IF(OR(A55="",B55="",C55="",D55=""),"Missing input",IF(E55="Unknown task","Unknown task",IF(D55&lt;=0,"Units must be positive","Ready"))))</x:f>
      </x:c>
    </x:row>
    <x:row r="56">
      <x:c r="A56" s="14"/>
      <x:c r="B56" s="26"/>
      <x:c r="C56" s="28"/>
      <x:c r="D56" s="23"/>
      <x:c r="E56" s="13" t="str">
        <x:f>IF(B56="","",IFERROR(VLOOKUP(B56,'Backlog'!$A$6:$B$25,2,FALSE),"Unknown task"))</x:f>
      </x:c>
      <x:c r="F56" s="13" t="str">
        <x:f>IF(COUNTA(A56:D56)=0,"",IF(OR(A56="",B56="",C56="",D56=""),"Missing input",IF(E56="Unknown task","Unknown task",IF(D56&lt;=0,"Units must be positive","Ready"))))</x:f>
      </x:c>
    </x:row>
    <x:row r="57">
      <x:c r="A57" s="14"/>
      <x:c r="B57" s="26"/>
      <x:c r="C57" s="28"/>
      <x:c r="D57" s="23"/>
      <x:c r="E57" s="13" t="str">
        <x:f>IF(B57="","",IFERROR(VLOOKUP(B57,'Backlog'!$A$6:$B$25,2,FALSE),"Unknown task"))</x:f>
      </x:c>
      <x:c r="F57" s="13" t="str">
        <x:f>IF(COUNTA(A57:D57)=0,"",IF(OR(A57="",B57="",C57="",D57=""),"Missing input",IF(E57="Unknown task","Unknown task",IF(D57&lt;=0,"Units must be positive","Ready"))))</x:f>
      </x:c>
    </x:row>
    <x:row r="58">
      <x:c r="A58" s="14"/>
      <x:c r="B58" s="26"/>
      <x:c r="C58" s="28"/>
      <x:c r="D58" s="23"/>
      <x:c r="E58" s="13" t="str">
        <x:f>IF(B58="","",IFERROR(VLOOKUP(B58,'Backlog'!$A$6:$B$25,2,FALSE),"Unknown task"))</x:f>
      </x:c>
      <x:c r="F58" s="13" t="str">
        <x:f>IF(COUNTA(A58:D58)=0,"",IF(OR(A58="",B58="",C58="",D58=""),"Missing input",IF(E58="Unknown task","Unknown task",IF(D58&lt;=0,"Units must be positive","Ready"))))</x:f>
      </x:c>
    </x:row>
    <x:row r="59">
      <x:c r="A59" s="14"/>
      <x:c r="B59" s="26"/>
      <x:c r="C59" s="28"/>
      <x:c r="D59" s="23"/>
      <x:c r="E59" s="13" t="str">
        <x:f>IF(B59="","",IFERROR(VLOOKUP(B59,'Backlog'!$A$6:$B$25,2,FALSE),"Unknown task"))</x:f>
      </x:c>
      <x:c r="F59" s="13" t="str">
        <x:f>IF(COUNTA(A59:D59)=0,"",IF(OR(A59="",B59="",C59="",D59=""),"Missing input",IF(E59="Unknown task","Unknown task",IF(D59&lt;=0,"Units must be positive","Ready"))))</x:f>
      </x:c>
    </x:row>
    <x:row r="60">
      <x:c r="A60" s="14"/>
      <x:c r="B60" s="26"/>
      <x:c r="C60" s="28"/>
      <x:c r="D60" s="23"/>
      <x:c r="E60" s="13" t="str">
        <x:f>IF(B60="","",IFERROR(VLOOKUP(B60,'Backlog'!$A$6:$B$25,2,FALSE),"Unknown task"))</x:f>
      </x:c>
      <x:c r="F60" s="13" t="str">
        <x:f>IF(COUNTA(A60:D60)=0,"",IF(OR(A60="",B60="",C60="",D60=""),"Missing input",IF(E60="Unknown task","Unknown task",IF(D60&lt;=0,"Units must be positive","Ready"))))</x:f>
      </x:c>
    </x:row>
    <x:row r="61">
      <x:c r="A61" s="14"/>
      <x:c r="B61" s="26"/>
      <x:c r="C61" s="28"/>
      <x:c r="D61" s="23"/>
      <x:c r="E61" s="13" t="str">
        <x:f>IF(B61="","",IFERROR(VLOOKUP(B61,'Backlog'!$A$6:$B$25,2,FALSE),"Unknown task"))</x:f>
      </x:c>
      <x:c r="F61" s="13" t="str">
        <x:f>IF(COUNTA(A61:D61)=0,"",IF(OR(A61="",B61="",C61="",D61=""),"Missing input",IF(E61="Unknown task","Unknown task",IF(D61&lt;=0,"Units must be positive","Ready"))))</x:f>
      </x:c>
    </x:row>
    <x:row r="62">
      <x:c r="A62" s="14"/>
      <x:c r="B62" s="26"/>
      <x:c r="C62" s="28"/>
      <x:c r="D62" s="23"/>
      <x:c r="E62" s="13" t="str">
        <x:f>IF(B62="","",IFERROR(VLOOKUP(B62,'Backlog'!$A$6:$B$25,2,FALSE),"Unknown task"))</x:f>
      </x:c>
      <x:c r="F62" s="13" t="str">
        <x:f>IF(COUNTA(A62:D62)=0,"",IF(OR(A62="",B62="",C62="",D62=""),"Missing input",IF(E62="Unknown task","Unknown task",IF(D62&lt;=0,"Units must be positive","Ready"))))</x:f>
      </x:c>
    </x:row>
    <x:row r="63">
      <x:c r="A63" s="14"/>
      <x:c r="B63" s="26"/>
      <x:c r="C63" s="28"/>
      <x:c r="D63" s="23"/>
      <x:c r="E63" s="13" t="str">
        <x:f>IF(B63="","",IFERROR(VLOOKUP(B63,'Backlog'!$A$6:$B$25,2,FALSE),"Unknown task"))</x:f>
      </x:c>
      <x:c r="F63" s="13" t="str">
        <x:f>IF(COUNTA(A63:D63)=0,"",IF(OR(A63="",B63="",C63="",D63=""),"Missing input",IF(E63="Unknown task","Unknown task",IF(D63&lt;=0,"Units must be positive","Ready"))))</x:f>
      </x:c>
    </x:row>
    <x:row r="64">
      <x:c r="A64" s="14"/>
      <x:c r="B64" s="26"/>
      <x:c r="C64" s="28"/>
      <x:c r="D64" s="23"/>
      <x:c r="E64" s="13" t="str">
        <x:f>IF(B64="","",IFERROR(VLOOKUP(B64,'Backlog'!$A$6:$B$25,2,FALSE),"Unknown task"))</x:f>
      </x:c>
      <x:c r="F64" s="13" t="str">
        <x:f>IF(COUNTA(A64:D64)=0,"",IF(OR(A64="",B64="",C64="",D64=""),"Missing input",IF(E64="Unknown task","Unknown task",IF(D64&lt;=0,"Units must be positive","Ready"))))</x:f>
      </x:c>
    </x:row>
    <x:row r="65">
      <x:c r="A65" s="14"/>
      <x:c r="B65" s="26"/>
      <x:c r="C65" s="28"/>
      <x:c r="D65" s="23"/>
      <x:c r="E65" s="13" t="str">
        <x:f>IF(B65="","",IFERROR(VLOOKUP(B65,'Backlog'!$A$6:$B$25,2,FALSE),"Unknown task"))</x:f>
      </x:c>
      <x:c r="F65" s="13" t="str">
        <x:f>IF(COUNTA(A65:D65)=0,"",IF(OR(A65="",B65="",C65="",D65=""),"Missing input",IF(E65="Unknown task","Unknown task",IF(D65&lt;=0,"Units must be positive","Ready"))))</x:f>
      </x:c>
    </x:row>
    <x:row r="66">
      <x:c r="A66" s="14"/>
      <x:c r="B66" s="26"/>
      <x:c r="C66" s="28"/>
      <x:c r="D66" s="23"/>
      <x:c r="E66" s="13" t="str">
        <x:f>IF(B66="","",IFERROR(VLOOKUP(B66,'Backlog'!$A$6:$B$25,2,FALSE),"Unknown task"))</x:f>
      </x:c>
      <x:c r="F66" s="13" t="str">
        <x:f>IF(COUNTA(A66:D66)=0,"",IF(OR(A66="",B66="",C66="",D66=""),"Missing input",IF(E66="Unknown task","Unknown task",IF(D66&lt;=0,"Units must be positive","Ready"))))</x:f>
      </x:c>
    </x:row>
    <x:row r="67">
      <x:c r="A67" s="14"/>
      <x:c r="B67" s="26"/>
      <x:c r="C67" s="28"/>
      <x:c r="D67" s="23"/>
      <x:c r="E67" s="13" t="str">
        <x:f>IF(B67="","",IFERROR(VLOOKUP(B67,'Backlog'!$A$6:$B$25,2,FALSE),"Unknown task"))</x:f>
      </x:c>
      <x:c r="F67" s="13" t="str">
        <x:f>IF(COUNTA(A67:D67)=0,"",IF(OR(A67="",B67="",C67="",D67=""),"Missing input",IF(E67="Unknown task","Unknown task",IF(D67&lt;=0,"Units must be positive","Ready"))))</x:f>
      </x:c>
    </x:row>
    <x:row r="68">
      <x:c r="A68" s="14"/>
      <x:c r="B68" s="26"/>
      <x:c r="C68" s="28"/>
      <x:c r="D68" s="23"/>
      <x:c r="E68" s="13" t="str">
        <x:f>IF(B68="","",IFERROR(VLOOKUP(B68,'Backlog'!$A$6:$B$25,2,FALSE),"Unknown task"))</x:f>
      </x:c>
      <x:c r="F68" s="13" t="str">
        <x:f>IF(COUNTA(A68:D68)=0,"",IF(OR(A68="",B68="",C68="",D68=""),"Missing input",IF(E68="Unknown task","Unknown task",IF(D68&lt;=0,"Units must be positive","Ready"))))</x:f>
      </x:c>
    </x:row>
    <x:row r="69">
      <x:c r="A69" s="14"/>
      <x:c r="B69" s="26"/>
      <x:c r="C69" s="28"/>
      <x:c r="D69" s="23"/>
      <x:c r="E69" s="13" t="str">
        <x:f>IF(B69="","",IFERROR(VLOOKUP(B69,'Backlog'!$A$6:$B$25,2,FALSE),"Unknown task"))</x:f>
      </x:c>
      <x:c r="F69" s="13" t="str">
        <x:f>IF(COUNTA(A69:D69)=0,"",IF(OR(A69="",B69="",C69="",D69=""),"Missing input",IF(E69="Unknown task","Unknown task",IF(D69&lt;=0,"Units must be positive","Ready"))))</x:f>
      </x:c>
    </x:row>
    <x:row r="70">
      <x:c r="A70" s="14"/>
      <x:c r="B70" s="26"/>
      <x:c r="C70" s="28"/>
      <x:c r="D70" s="23"/>
      <x:c r="E70" s="13" t="str">
        <x:f>IF(B70="","",IFERROR(VLOOKUP(B70,'Backlog'!$A$6:$B$25,2,FALSE),"Unknown task"))</x:f>
      </x:c>
      <x:c r="F70" s="13" t="str">
        <x:f>IF(COUNTA(A70:D70)=0,"",IF(OR(A70="",B70="",C70="",D70=""),"Missing input",IF(E70="Unknown task","Unknown task",IF(D70&lt;=0,"Units must be positive","Ready"))))</x:f>
      </x:c>
    </x:row>
    <x:row r="71">
      <x:c r="A71" s="14"/>
      <x:c r="B71" s="26"/>
      <x:c r="C71" s="28"/>
      <x:c r="D71" s="23"/>
      <x:c r="E71" s="13" t="str">
        <x:f>IF(B71="","",IFERROR(VLOOKUP(B71,'Backlog'!$A$6:$B$25,2,FALSE),"Unknown task"))</x:f>
      </x:c>
      <x:c r="F71" s="13" t="str">
        <x:f>IF(COUNTA(A71:D71)=0,"",IF(OR(A71="",B71="",C71="",D71=""),"Missing input",IF(E71="Unknown task","Unknown task",IF(D71&lt;=0,"Units must be positive","Ready"))))</x:f>
      </x:c>
    </x:row>
    <x:row r="72">
      <x:c r="A72" s="14"/>
      <x:c r="B72" s="26"/>
      <x:c r="C72" s="28"/>
      <x:c r="D72" s="23"/>
      <x:c r="E72" s="13" t="str">
        <x:f>IF(B72="","",IFERROR(VLOOKUP(B72,'Backlog'!$A$6:$B$25,2,FALSE),"Unknown task"))</x:f>
      </x:c>
      <x:c r="F72" s="13" t="str">
        <x:f>IF(COUNTA(A72:D72)=0,"",IF(OR(A72="",B72="",C72="",D72=""),"Missing input",IF(E72="Unknown task","Unknown task",IF(D72&lt;=0,"Units must be positive","Ready"))))</x:f>
      </x:c>
    </x:row>
    <x:row r="73">
      <x:c r="A73" s="14"/>
      <x:c r="B73" s="26"/>
      <x:c r="C73" s="28"/>
      <x:c r="D73" s="23"/>
      <x:c r="E73" s="13" t="str">
        <x:f>IF(B73="","",IFERROR(VLOOKUP(B73,'Backlog'!$A$6:$B$25,2,FALSE),"Unknown task"))</x:f>
      </x:c>
      <x:c r="F73" s="13" t="str">
        <x:f>IF(COUNTA(A73:D73)=0,"",IF(OR(A73="",B73="",C73="",D73=""),"Missing input",IF(E73="Unknown task","Unknown task",IF(D73&lt;=0,"Units must be positive","Ready"))))</x:f>
      </x:c>
    </x:row>
    <x:row r="74">
      <x:c r="A74" s="14"/>
      <x:c r="B74" s="26"/>
      <x:c r="C74" s="28"/>
      <x:c r="D74" s="23"/>
      <x:c r="E74" s="13" t="str">
        <x:f>IF(B74="","",IFERROR(VLOOKUP(B74,'Backlog'!$A$6:$B$25,2,FALSE),"Unknown task"))</x:f>
      </x:c>
      <x:c r="F74" s="13" t="str">
        <x:f>IF(COUNTA(A74:D74)=0,"",IF(OR(A74="",B74="",C74="",D74=""),"Missing input",IF(E74="Unknown task","Unknown task",IF(D74&lt;=0,"Units must be positive","Ready"))))</x:f>
      </x:c>
    </x:row>
    <x:row r="75">
      <x:c r="A75" s="14"/>
      <x:c r="B75" s="26"/>
      <x:c r="C75" s="28"/>
      <x:c r="D75" s="23"/>
      <x:c r="E75" s="13" t="str">
        <x:f>IF(B75="","",IFERROR(VLOOKUP(B75,'Backlog'!$A$6:$B$25,2,FALSE),"Unknown task"))</x:f>
      </x:c>
      <x:c r="F75" s="13" t="str">
        <x:f>IF(COUNTA(A75:D75)=0,"",IF(OR(A75="",B75="",C75="",D75=""),"Missing input",IF(E75="Unknown task","Unknown task",IF(D75&lt;=0,"Units must be positive","Ready"))))</x:f>
      </x:c>
    </x:row>
    <x:row r="76">
      <x:c r="A76" s="14"/>
      <x:c r="B76" s="26"/>
      <x:c r="C76" s="28"/>
      <x:c r="D76" s="23"/>
      <x:c r="E76" s="13" t="str">
        <x:f>IF(B76="","",IFERROR(VLOOKUP(B76,'Backlog'!$A$6:$B$25,2,FALSE),"Unknown task"))</x:f>
      </x:c>
      <x:c r="F76" s="13" t="str">
        <x:f>IF(COUNTA(A76:D76)=0,"",IF(OR(A76="",B76="",C76="",D76=""),"Missing input",IF(E76="Unknown task","Unknown task",IF(D76&lt;=0,"Units must be positive","Ready"))))</x:f>
      </x:c>
    </x:row>
    <x:row r="77">
      <x:c r="A77" s="14"/>
      <x:c r="B77" s="26"/>
      <x:c r="C77" s="28"/>
      <x:c r="D77" s="23"/>
      <x:c r="E77" s="13" t="str">
        <x:f>IF(B77="","",IFERROR(VLOOKUP(B77,'Backlog'!$A$6:$B$25,2,FALSE),"Unknown task"))</x:f>
      </x:c>
      <x:c r="F77" s="13" t="str">
        <x:f>IF(COUNTA(A77:D77)=0,"",IF(OR(A77="",B77="",C77="",D77=""),"Missing input",IF(E77="Unknown task","Unknown task",IF(D77&lt;=0,"Units must be positive","Ready"))))</x:f>
      </x:c>
    </x:row>
    <x:row r="78">
      <x:c r="A78" s="14"/>
      <x:c r="B78" s="26"/>
      <x:c r="C78" s="28"/>
      <x:c r="D78" s="23"/>
      <x:c r="E78" s="13" t="str">
        <x:f>IF(B78="","",IFERROR(VLOOKUP(B78,'Backlog'!$A$6:$B$25,2,FALSE),"Unknown task"))</x:f>
      </x:c>
      <x:c r="F78" s="13" t="str">
        <x:f>IF(COUNTA(A78:D78)=0,"",IF(OR(A78="",B78="",C78="",D78=""),"Missing input",IF(E78="Unknown task","Unknown task",IF(D78&lt;=0,"Units must be positive","Ready"))))</x:f>
      </x:c>
    </x:row>
    <x:row r="79">
      <x:c r="A79" s="14"/>
      <x:c r="B79" s="26"/>
      <x:c r="C79" s="28"/>
      <x:c r="D79" s="23"/>
      <x:c r="E79" s="13" t="str">
        <x:f>IF(B79="","",IFERROR(VLOOKUP(B79,'Backlog'!$A$6:$B$25,2,FALSE),"Unknown task"))</x:f>
      </x:c>
      <x:c r="F79" s="13" t="str">
        <x:f>IF(COUNTA(A79:D79)=0,"",IF(OR(A79="",B79="",C79="",D79=""),"Missing input",IF(E79="Unknown task","Unknown task",IF(D79&lt;=0,"Units must be positive","Ready"))))</x:f>
      </x:c>
    </x:row>
    <x:row r="80">
      <x:c r="A80" s="14"/>
      <x:c r="B80" s="26"/>
      <x:c r="C80" s="28"/>
      <x:c r="D80" s="23"/>
      <x:c r="E80" s="13" t="str">
        <x:f>IF(B80="","",IFERROR(VLOOKUP(B80,'Backlog'!$A$6:$B$25,2,FALSE),"Unknown task"))</x:f>
      </x:c>
      <x:c r="F80" s="13" t="str">
        <x:f>IF(COUNTA(A80:D80)=0,"",IF(OR(A80="",B80="",C80="",D80=""),"Missing input",IF(E80="Unknown task","Unknown task",IF(D80&lt;=0,"Units must be positive","Ready"))))</x:f>
      </x:c>
    </x:row>
    <x:row r="81">
      <x:c r="A81" s="14"/>
      <x:c r="B81" s="26"/>
      <x:c r="C81" s="28"/>
      <x:c r="D81" s="23"/>
      <x:c r="E81" s="13" t="str">
        <x:f>IF(B81="","",IFERROR(VLOOKUP(B81,'Backlog'!$A$6:$B$25,2,FALSE),"Unknown task"))</x:f>
      </x:c>
      <x:c r="F81" s="13" t="str">
        <x:f>IF(COUNTA(A81:D81)=0,"",IF(OR(A81="",B81="",C81="",D81=""),"Missing input",IF(E81="Unknown task","Unknown task",IF(D81&lt;=0,"Units must be positive","Ready"))))</x:f>
      </x:c>
    </x:row>
    <x:row r="82">
      <x:c r="A82" s="14"/>
      <x:c r="B82" s="26"/>
      <x:c r="C82" s="28"/>
      <x:c r="D82" s="23"/>
      <x:c r="E82" s="13" t="str">
        <x:f>IF(B82="","",IFERROR(VLOOKUP(B82,'Backlog'!$A$6:$B$25,2,FALSE),"Unknown task"))</x:f>
      </x:c>
      <x:c r="F82" s="13" t="str">
        <x:f>IF(COUNTA(A82:D82)=0,"",IF(OR(A82="",B82="",C82="",D82=""),"Missing input",IF(E82="Unknown task","Unknown task",IF(D82&lt;=0,"Units must be positive","Ready"))))</x:f>
      </x:c>
    </x:row>
    <x:row r="83">
      <x:c r="A83" s="14"/>
      <x:c r="B83" s="26"/>
      <x:c r="C83" s="28"/>
      <x:c r="D83" s="23"/>
      <x:c r="E83" s="13" t="str">
        <x:f>IF(B83="","",IFERROR(VLOOKUP(B83,'Backlog'!$A$6:$B$25,2,FALSE),"Unknown task"))</x:f>
      </x:c>
      <x:c r="F83" s="13" t="str">
        <x:f>IF(COUNTA(A83:D83)=0,"",IF(OR(A83="",B83="",C83="",D83=""),"Missing input",IF(E83="Unknown task","Unknown task",IF(D83&lt;=0,"Units must be positive","Ready"))))</x:f>
      </x:c>
    </x:row>
    <x:row r="84">
      <x:c r="A84" s="14"/>
      <x:c r="B84" s="26"/>
      <x:c r="C84" s="28"/>
      <x:c r="D84" s="23"/>
      <x:c r="E84" s="13" t="str">
        <x:f>IF(B84="","",IFERROR(VLOOKUP(B84,'Backlog'!$A$6:$B$25,2,FALSE),"Unknown task"))</x:f>
      </x:c>
      <x:c r="F84" s="13" t="str">
        <x:f>IF(COUNTA(A84:D84)=0,"",IF(OR(A84="",B84="",C84="",D84=""),"Missing input",IF(E84="Unknown task","Unknown task",IF(D84&lt;=0,"Units must be positive","Ready"))))</x:f>
      </x:c>
    </x:row>
    <x:row r="85">
      <x:c r="A85" s="14"/>
      <x:c r="B85" s="26"/>
      <x:c r="C85" s="28"/>
      <x:c r="D85" s="23"/>
      <x:c r="E85" s="13" t="str">
        <x:f>IF(B85="","",IFERROR(VLOOKUP(B85,'Backlog'!$A$6:$B$25,2,FALSE),"Unknown task"))</x:f>
      </x:c>
      <x:c r="F85" s="13" t="str">
        <x:f>IF(COUNTA(A85:D85)=0,"",IF(OR(A85="",B85="",C85="",D85=""),"Missing input",IF(E85="Unknown task","Unknown task",IF(D85&lt;=0,"Units must be positive","Ready"))))</x:f>
      </x:c>
    </x:row>
    <x:row r="86">
      <x:c r="A86" s="14"/>
      <x:c r="B86" s="26"/>
      <x:c r="C86" s="28"/>
      <x:c r="D86" s="23"/>
      <x:c r="E86" s="13" t="str">
        <x:f>IF(B86="","",IFERROR(VLOOKUP(B86,'Backlog'!$A$6:$B$25,2,FALSE),"Unknown task"))</x:f>
      </x:c>
      <x:c r="F86" s="13" t="str">
        <x:f>IF(COUNTA(A86:D86)=0,"",IF(OR(A86="",B86="",C86="",D86=""),"Missing input",IF(E86="Unknown task","Unknown task",IF(D86&lt;=0,"Units must be positive","Ready"))))</x:f>
      </x:c>
    </x:row>
    <x:row r="87">
      <x:c r="A87" s="14"/>
      <x:c r="B87" s="26"/>
      <x:c r="C87" s="28"/>
      <x:c r="D87" s="23"/>
      <x:c r="E87" s="13" t="str">
        <x:f>IF(B87="","",IFERROR(VLOOKUP(B87,'Backlog'!$A$6:$B$25,2,FALSE),"Unknown task"))</x:f>
      </x:c>
      <x:c r="F87" s="13" t="str">
        <x:f>IF(COUNTA(A87:D87)=0,"",IF(OR(A87="",B87="",C87="",D87=""),"Missing input",IF(E87="Unknown task","Unknown task",IF(D87&lt;=0,"Units must be positive","Ready"))))</x:f>
      </x:c>
    </x:row>
    <x:row r="88">
      <x:c r="A88" s="14"/>
      <x:c r="B88" s="26"/>
      <x:c r="C88" s="28"/>
      <x:c r="D88" s="23"/>
      <x:c r="E88" s="13" t="str">
        <x:f>IF(B88="","",IFERROR(VLOOKUP(B88,'Backlog'!$A$6:$B$25,2,FALSE),"Unknown task"))</x:f>
      </x:c>
      <x:c r="F88" s="13" t="str">
        <x:f>IF(COUNTA(A88:D88)=0,"",IF(OR(A88="",B88="",C88="",D88=""),"Missing input",IF(E88="Unknown task","Unknown task",IF(D88&lt;=0,"Units must be positive","Ready"))))</x:f>
      </x:c>
    </x:row>
    <x:row r="89">
      <x:c r="A89" s="14"/>
      <x:c r="B89" s="26"/>
      <x:c r="C89" s="28"/>
      <x:c r="D89" s="23"/>
      <x:c r="E89" s="13" t="str">
        <x:f>IF(B89="","",IFERROR(VLOOKUP(B89,'Backlog'!$A$6:$B$25,2,FALSE),"Unknown task"))</x:f>
      </x:c>
      <x:c r="F89" s="13" t="str">
        <x:f>IF(COUNTA(A89:D89)=0,"",IF(OR(A89="",B89="",C89="",D89=""),"Missing input",IF(E89="Unknown task","Unknown task",IF(D89&lt;=0,"Units must be positive","Ready"))))</x:f>
      </x:c>
    </x:row>
    <x:row r="90">
      <x:c r="A90" s="14"/>
      <x:c r="B90" s="26"/>
      <x:c r="C90" s="28"/>
      <x:c r="D90" s="23"/>
      <x:c r="E90" s="13" t="str">
        <x:f>IF(B90="","",IFERROR(VLOOKUP(B90,'Backlog'!$A$6:$B$25,2,FALSE),"Unknown task"))</x:f>
      </x:c>
      <x:c r="F90" s="13" t="str">
        <x:f>IF(COUNTA(A90:D90)=0,"",IF(OR(A90="",B90="",C90="",D90=""),"Missing input",IF(E90="Unknown task","Unknown task",IF(D90&lt;=0,"Units must be positive","Ready"))))</x:f>
      </x:c>
    </x:row>
    <x:row r="91">
      <x:c r="A91" s="14"/>
      <x:c r="B91" s="26"/>
      <x:c r="C91" s="28"/>
      <x:c r="D91" s="23"/>
      <x:c r="E91" s="13" t="str">
        <x:f>IF(B91="","",IFERROR(VLOOKUP(B91,'Backlog'!$A$6:$B$25,2,FALSE),"Unknown task"))</x:f>
      </x:c>
      <x:c r="F91" s="13" t="str">
        <x:f>IF(COUNTA(A91:D91)=0,"",IF(OR(A91="",B91="",C91="",D91=""),"Missing input",IF(E91="Unknown task","Unknown task",IF(D91&lt;=0,"Units must be positive","Ready"))))</x:f>
      </x:c>
    </x:row>
    <x:row r="92">
      <x:c r="A92" s="14"/>
      <x:c r="B92" s="26"/>
      <x:c r="C92" s="28"/>
      <x:c r="D92" s="23"/>
      <x:c r="E92" s="13" t="str">
        <x:f>IF(B92="","",IFERROR(VLOOKUP(B92,'Backlog'!$A$6:$B$25,2,FALSE),"Unknown task"))</x:f>
      </x:c>
      <x:c r="F92" s="13" t="str">
        <x:f>IF(COUNTA(A92:D92)=0,"",IF(OR(A92="",B92="",C92="",D92=""),"Missing input",IF(E92="Unknown task","Unknown task",IF(D92&lt;=0,"Units must be positive","Ready"))))</x:f>
      </x:c>
    </x:row>
    <x:row r="93">
      <x:c r="A93" s="14"/>
      <x:c r="B93" s="26"/>
      <x:c r="C93" s="28"/>
      <x:c r="D93" s="23"/>
      <x:c r="E93" s="13" t="str">
        <x:f>IF(B93="","",IFERROR(VLOOKUP(B93,'Backlog'!$A$6:$B$25,2,FALSE),"Unknown task"))</x:f>
      </x:c>
      <x:c r="F93" s="13" t="str">
        <x:f>IF(COUNTA(A93:D93)=0,"",IF(OR(A93="",B93="",C93="",D93=""),"Missing input",IF(E93="Unknown task","Unknown task",IF(D93&lt;=0,"Units must be positive","Ready"))))</x:f>
      </x:c>
    </x:row>
    <x:row r="94">
      <x:c r="A94" s="14"/>
      <x:c r="B94" s="26"/>
      <x:c r="C94" s="28"/>
      <x:c r="D94" s="23"/>
      <x:c r="E94" s="13" t="str">
        <x:f>IF(B94="","",IFERROR(VLOOKUP(B94,'Backlog'!$A$6:$B$25,2,FALSE),"Unknown task"))</x:f>
      </x:c>
      <x:c r="F94" s="13" t="str">
        <x:f>IF(COUNTA(A94:D94)=0,"",IF(OR(A94="",B94="",C94="",D94=""),"Missing input",IF(E94="Unknown task","Unknown task",IF(D94&lt;=0,"Units must be positive","Ready"))))</x:f>
      </x:c>
    </x:row>
    <x:row r="95">
      <x:c r="A95" s="14"/>
      <x:c r="B95" s="26"/>
      <x:c r="C95" s="28"/>
      <x:c r="D95" s="23"/>
      <x:c r="E95" s="13" t="str">
        <x:f>IF(B95="","",IFERROR(VLOOKUP(B95,'Backlog'!$A$6:$B$25,2,FALSE),"Unknown task"))</x:f>
      </x:c>
      <x:c r="F95" s="13" t="str">
        <x:f>IF(COUNTA(A95:D95)=0,"",IF(OR(A95="",B95="",C95="",D95=""),"Missing input",IF(E95="Unknown task","Unknown task",IF(D95&lt;=0,"Units must be positive","Ready"))))</x:f>
      </x:c>
    </x:row>
    <x:row r="96">
      <x:c r="A96" s="14"/>
      <x:c r="B96" s="26"/>
      <x:c r="C96" s="28"/>
      <x:c r="D96" s="23"/>
      <x:c r="E96" s="13" t="str">
        <x:f>IF(B96="","",IFERROR(VLOOKUP(B96,'Backlog'!$A$6:$B$25,2,FALSE),"Unknown task"))</x:f>
      </x:c>
      <x:c r="F96" s="13" t="str">
        <x:f>IF(COUNTA(A96:D96)=0,"",IF(OR(A96="",B96="",C96="",D96=""),"Missing input",IF(E96="Unknown task","Unknown task",IF(D96&lt;=0,"Units must be positive","Ready"))))</x:f>
      </x:c>
    </x:row>
    <x:row r="97">
      <x:c r="A97" s="14"/>
      <x:c r="B97" s="26"/>
      <x:c r="C97" s="28"/>
      <x:c r="D97" s="23"/>
      <x:c r="E97" s="13" t="str">
        <x:f>IF(B97="","",IFERROR(VLOOKUP(B97,'Backlog'!$A$6:$B$25,2,FALSE),"Unknown task"))</x:f>
      </x:c>
      <x:c r="F97" s="13" t="str">
        <x:f>IF(COUNTA(A97:D97)=0,"",IF(OR(A97="",B97="",C97="",D97=""),"Missing input",IF(E97="Unknown task","Unknown task",IF(D97&lt;=0,"Units must be positive","Ready"))))</x:f>
      </x:c>
    </x:row>
    <x:row r="98">
      <x:c r="A98" s="14"/>
      <x:c r="B98" s="26"/>
      <x:c r="C98" s="28"/>
      <x:c r="D98" s="23"/>
      <x:c r="E98" s="13" t="str">
        <x:f>IF(B98="","",IFERROR(VLOOKUP(B98,'Backlog'!$A$6:$B$25,2,FALSE),"Unknown task"))</x:f>
      </x:c>
      <x:c r="F98" s="13" t="str">
        <x:f>IF(COUNTA(A98:D98)=0,"",IF(OR(A98="",B98="",C98="",D98=""),"Missing input",IF(E98="Unknown task","Unknown task",IF(D98&lt;=0,"Units must be positive","Ready"))))</x:f>
      </x:c>
    </x:row>
    <x:row r="99">
      <x:c r="A99" s="14"/>
      <x:c r="B99" s="26"/>
      <x:c r="C99" s="28"/>
      <x:c r="D99" s="23"/>
      <x:c r="E99" s="13" t="str">
        <x:f>IF(B99="","",IFERROR(VLOOKUP(B99,'Backlog'!$A$6:$B$25,2,FALSE),"Unknown task"))</x:f>
      </x:c>
      <x:c r="F99" s="13" t="str">
        <x:f>IF(COUNTA(A99:D99)=0,"",IF(OR(A99="",B99="",C99="",D99=""),"Missing input",IF(E99="Unknown task","Unknown task",IF(D99&lt;=0,"Units must be positive","Ready"))))</x:f>
      </x:c>
    </x:row>
    <x:row r="100">
      <x:c r="A100" s="14"/>
      <x:c r="B100" s="26"/>
      <x:c r="C100" s="28"/>
      <x:c r="D100" s="23"/>
      <x:c r="E100" s="13" t="str">
        <x:f>IF(B100="","",IFERROR(VLOOKUP(B100,'Backlog'!$A$6:$B$25,2,FALSE),"Unknown task"))</x:f>
      </x:c>
      <x:c r="F100" s="13" t="str">
        <x:f>IF(COUNTA(A100:D100)=0,"",IF(OR(A100="",B100="",C100="",D100=""),"Missing input",IF(E100="Unknown task","Unknown task",IF(D100&lt;=0,"Units must be positive","Ready"))))</x:f>
      </x:c>
    </x:row>
    <x:row r="101">
      <x:c r="A101" s="14"/>
      <x:c r="B101" s="26"/>
      <x:c r="C101" s="28"/>
      <x:c r="D101" s="23"/>
      <x:c r="E101" s="13" t="str">
        <x:f>IF(B101="","",IFERROR(VLOOKUP(B101,'Backlog'!$A$6:$B$25,2,FALSE),"Unknown task"))</x:f>
      </x:c>
      <x:c r="F101" s="13" t="str">
        <x:f>IF(COUNTA(A101:D101)=0,"",IF(OR(A101="",B101="",C101="",D101=""),"Missing input",IF(E101="Unknown task","Unknown task",IF(D101&lt;=0,"Units must be positive","Ready"))))</x:f>
      </x:c>
    </x:row>
    <x:row r="102">
      <x:c r="A102" s="14"/>
      <x:c r="B102" s="26"/>
      <x:c r="C102" s="28"/>
      <x:c r="D102" s="23"/>
      <x:c r="E102" s="13" t="str">
        <x:f>IF(B102="","",IFERROR(VLOOKUP(B102,'Backlog'!$A$6:$B$25,2,FALSE),"Unknown task"))</x:f>
      </x:c>
      <x:c r="F102" s="13" t="str">
        <x:f>IF(COUNTA(A102:D102)=0,"",IF(OR(A102="",B102="",C102="",D102=""),"Missing input",IF(E102="Unknown task","Unknown task",IF(D102&lt;=0,"Units must be positive","Ready"))))</x:f>
      </x:c>
    </x:row>
    <x:row r="103">
      <x:c r="A103" s="14"/>
      <x:c r="B103" s="26"/>
      <x:c r="C103" s="28"/>
      <x:c r="D103" s="23"/>
      <x:c r="E103" s="13" t="str">
        <x:f>IF(B103="","",IFERROR(VLOOKUP(B103,'Backlog'!$A$6:$B$25,2,FALSE),"Unknown task"))</x:f>
      </x:c>
      <x:c r="F103" s="13" t="str">
        <x:f>IF(COUNTA(A103:D103)=0,"",IF(OR(A103="",B103="",C103="",D103=""),"Missing input",IF(E103="Unknown task","Unknown task",IF(D103&lt;=0,"Units must be positive","Ready"))))</x:f>
      </x:c>
    </x:row>
    <x:row r="104">
      <x:c r="A104" s="14"/>
      <x:c r="B104" s="26"/>
      <x:c r="C104" s="28"/>
      <x:c r="D104" s="23"/>
      <x:c r="E104" s="13" t="str">
        <x:f>IF(B104="","",IFERROR(VLOOKUP(B104,'Backlog'!$A$6:$B$25,2,FALSE),"Unknown task"))</x:f>
      </x:c>
      <x:c r="F104" s="13" t="str">
        <x:f>IF(COUNTA(A104:D104)=0,"",IF(OR(A104="",B104="",C104="",D104=""),"Missing input",IF(E104="Unknown task","Unknown task",IF(D104&lt;=0,"Units must be positive","Ready"))))</x:f>
      </x:c>
    </x:row>
    <x:row r="105">
      <x:c r="A105" s="14"/>
      <x:c r="B105" s="26"/>
      <x:c r="C105" s="28"/>
      <x:c r="D105" s="23"/>
      <x:c r="E105" s="13" t="str">
        <x:f>IF(B105="","",IFERROR(VLOOKUP(B105,'Backlog'!$A$6:$B$25,2,FALSE),"Unknown task"))</x:f>
      </x:c>
      <x:c r="F105" s="13" t="str">
        <x:f>IF(COUNTA(A105:D105)=0,"",IF(OR(A105="",B105="",C105="",D105=""),"Missing input",IF(E105="Unknown task","Unknown task",IF(D105&lt;=0,"Units must be positive","Ready"))))</x:f>
      </x:c>
    </x:row>
    <x:row r="106">
      <x:c r="A106" s="14"/>
      <x:c r="B106" s="26"/>
      <x:c r="C106" s="28"/>
      <x:c r="D106" s="23"/>
      <x:c r="E106" s="13" t="str">
        <x:f>IF(B106="","",IFERROR(VLOOKUP(B106,'Backlog'!$A$6:$B$25,2,FALSE),"Unknown task"))</x:f>
      </x:c>
      <x:c r="F106" s="13" t="str">
        <x:f>IF(COUNTA(A106:D106)=0,"",IF(OR(A106="",B106="",C106="",D106=""),"Missing input",IF(E106="Unknown task","Unknown task",IF(D106&lt;=0,"Units must be positive","Ready"))))</x:f>
      </x:c>
    </x:row>
    <x:row r="107">
      <x:c r="A107" s="14"/>
      <x:c r="B107" s="26"/>
      <x:c r="C107" s="28"/>
      <x:c r="D107" s="23"/>
      <x:c r="E107" s="13" t="str">
        <x:f>IF(B107="","",IFERROR(VLOOKUP(B107,'Backlog'!$A$6:$B$25,2,FALSE),"Unknown task"))</x:f>
      </x:c>
      <x:c r="F107" s="13" t="str">
        <x:f>IF(COUNTA(A107:D107)=0,"",IF(OR(A107="",B107="",C107="",D107=""),"Missing input",IF(E107="Unknown task","Unknown task",IF(D107&lt;=0,"Units must be positive","Ready"))))</x:f>
      </x:c>
    </x:row>
    <x:row r="108">
      <x:c r="A108" s="14"/>
      <x:c r="B108" s="26"/>
      <x:c r="C108" s="28"/>
      <x:c r="D108" s="23"/>
      <x:c r="E108" s="13" t="str">
        <x:f>IF(B108="","",IFERROR(VLOOKUP(B108,'Backlog'!$A$6:$B$25,2,FALSE),"Unknown task"))</x:f>
      </x:c>
      <x:c r="F108" s="13" t="str">
        <x:f>IF(COUNTA(A108:D108)=0,"",IF(OR(A108="",B108="",C108="",D108=""),"Missing input",IF(E108="Unknown task","Unknown task",IF(D108&lt;=0,"Units must be positive","Ready"))))</x:f>
      </x:c>
    </x:row>
    <x:row r="109">
      <x:c r="A109" s="14"/>
      <x:c r="B109" s="26"/>
      <x:c r="C109" s="28"/>
      <x:c r="D109" s="23"/>
      <x:c r="E109" s="13" t="str">
        <x:f>IF(B109="","",IFERROR(VLOOKUP(B109,'Backlog'!$A$6:$B$25,2,FALSE),"Unknown task"))</x:f>
      </x:c>
      <x:c r="F109" s="13" t="str">
        <x:f>IF(COUNTA(A109:D109)=0,"",IF(OR(A109="",B109="",C109="",D109=""),"Missing input",IF(E109="Unknown task","Unknown task",IF(D109&lt;=0,"Units must be positive","Ready"))))</x:f>
      </x:c>
    </x:row>
    <x:row r="110">
      <x:c r="A110" s="14"/>
      <x:c r="B110" s="26"/>
      <x:c r="C110" s="28"/>
      <x:c r="D110" s="23"/>
      <x:c r="E110" s="13" t="str">
        <x:f>IF(B110="","",IFERROR(VLOOKUP(B110,'Backlog'!$A$6:$B$25,2,FALSE),"Unknown task"))</x:f>
      </x:c>
      <x:c r="F110" s="13" t="str">
        <x:f>IF(COUNTA(A110:D110)=0,"",IF(OR(A110="",B110="",C110="",D110=""),"Missing input",IF(E110="Unknown task","Unknown task",IF(D110&lt;=0,"Units must be positive","Ready"))))</x:f>
      </x:c>
    </x:row>
    <x:row r="111">
      <x:c r="A111" s="14"/>
      <x:c r="B111" s="26"/>
      <x:c r="C111" s="28"/>
      <x:c r="D111" s="23"/>
      <x:c r="E111" s="13" t="str">
        <x:f>IF(B111="","",IFERROR(VLOOKUP(B111,'Backlog'!$A$6:$B$25,2,FALSE),"Unknown task"))</x:f>
      </x:c>
      <x:c r="F111" s="13" t="str">
        <x:f>IF(COUNTA(A111:D111)=0,"",IF(OR(A111="",B111="",C111="",D111=""),"Missing input",IF(E111="Unknown task","Unknown task",IF(D111&lt;=0,"Units must be positive","Ready"))))</x:f>
      </x:c>
    </x:row>
    <x:row r="112">
      <x:c r="A112" s="14"/>
      <x:c r="B112" s="26"/>
      <x:c r="C112" s="28"/>
      <x:c r="D112" s="23"/>
      <x:c r="E112" s="13" t="str">
        <x:f>IF(B112="","",IFERROR(VLOOKUP(B112,'Backlog'!$A$6:$B$25,2,FALSE),"Unknown task"))</x:f>
      </x:c>
      <x:c r="F112" s="13" t="str">
        <x:f>IF(COUNTA(A112:D112)=0,"",IF(OR(A112="",B112="",C112="",D112=""),"Missing input",IF(E112="Unknown task","Unknown task",IF(D112&lt;=0,"Units must be positive","Ready"))))</x:f>
      </x:c>
    </x:row>
    <x:row r="113">
      <x:c r="A113" s="14"/>
      <x:c r="B113" s="26"/>
      <x:c r="C113" s="28"/>
      <x:c r="D113" s="23"/>
      <x:c r="E113" s="13" t="str">
        <x:f>IF(B113="","",IFERROR(VLOOKUP(B113,'Backlog'!$A$6:$B$25,2,FALSE),"Unknown task"))</x:f>
      </x:c>
      <x:c r="F113" s="13" t="str">
        <x:f>IF(COUNTA(A113:D113)=0,"",IF(OR(A113="",B113="",C113="",D113=""),"Missing input",IF(E113="Unknown task","Unknown task",IF(D113&lt;=0,"Units must be positive","Ready"))))</x:f>
      </x:c>
    </x:row>
    <x:row r="114">
      <x:c r="A114" s="14"/>
      <x:c r="B114" s="26"/>
      <x:c r="C114" s="28"/>
      <x:c r="D114" s="23"/>
      <x:c r="E114" s="13" t="str">
        <x:f>IF(B114="","",IFERROR(VLOOKUP(B114,'Backlog'!$A$6:$B$25,2,FALSE),"Unknown task"))</x:f>
      </x:c>
      <x:c r="F114" s="13" t="str">
        <x:f>IF(COUNTA(A114:D114)=0,"",IF(OR(A114="",B114="",C114="",D114=""),"Missing input",IF(E114="Unknown task","Unknown task",IF(D114&lt;=0,"Units must be positive","Ready"))))</x:f>
      </x:c>
    </x:row>
    <x:row r="115">
      <x:c r="A115" s="14"/>
      <x:c r="B115" s="26"/>
      <x:c r="C115" s="28"/>
      <x:c r="D115" s="23"/>
      <x:c r="E115" s="13" t="str">
        <x:f>IF(B115="","",IFERROR(VLOOKUP(B115,'Backlog'!$A$6:$B$25,2,FALSE),"Unknown task"))</x:f>
      </x:c>
      <x:c r="F115" s="13" t="str">
        <x:f>IF(COUNTA(A115:D115)=0,"",IF(OR(A115="",B115="",C115="",D115=""),"Missing input",IF(E115="Unknown task","Unknown task",IF(D115&lt;=0,"Units must be positive","Ready"))))</x:f>
      </x:c>
    </x:row>
    <x:row r="116">
      <x:c r="A116" s="14"/>
      <x:c r="B116" s="26"/>
      <x:c r="C116" s="28"/>
      <x:c r="D116" s="23"/>
      <x:c r="E116" s="13" t="str">
        <x:f>IF(B116="","",IFERROR(VLOOKUP(B116,'Backlog'!$A$6:$B$25,2,FALSE),"Unknown task"))</x:f>
      </x:c>
      <x:c r="F116" s="13" t="str">
        <x:f>IF(COUNTA(A116:D116)=0,"",IF(OR(A116="",B116="",C116="",D116=""),"Missing input",IF(E116="Unknown task","Unknown task",IF(D116&lt;=0,"Units must be positive","Ready"))))</x:f>
      </x:c>
    </x:row>
    <x:row r="117">
      <x:c r="A117" s="14"/>
      <x:c r="B117" s="26"/>
      <x:c r="C117" s="28"/>
      <x:c r="D117" s="23"/>
      <x:c r="E117" s="13" t="str">
        <x:f>IF(B117="","",IFERROR(VLOOKUP(B117,'Backlog'!$A$6:$B$25,2,FALSE),"Unknown task"))</x:f>
      </x:c>
      <x:c r="F117" s="13" t="str">
        <x:f>IF(COUNTA(A117:D117)=0,"",IF(OR(A117="",B117="",C117="",D117=""),"Missing input",IF(E117="Unknown task","Unknown task",IF(D117&lt;=0,"Units must be positive","Ready"))))</x:f>
      </x:c>
    </x:row>
    <x:row r="118">
      <x:c r="A118" s="14"/>
      <x:c r="B118" s="26"/>
      <x:c r="C118" s="28"/>
      <x:c r="D118" s="23"/>
      <x:c r="E118" s="13" t="str">
        <x:f>IF(B118="","",IFERROR(VLOOKUP(B118,'Backlog'!$A$6:$B$25,2,FALSE),"Unknown task"))</x:f>
      </x:c>
      <x:c r="F118" s="13" t="str">
        <x:f>IF(COUNTA(A118:D118)=0,"",IF(OR(A118="",B118="",C118="",D118=""),"Missing input",IF(E118="Unknown task","Unknown task",IF(D118&lt;=0,"Units must be positive","Ready"))))</x:f>
      </x:c>
    </x:row>
    <x:row r="119">
      <x:c r="A119" s="14"/>
      <x:c r="B119" s="26"/>
      <x:c r="C119" s="28"/>
      <x:c r="D119" s="23"/>
      <x:c r="E119" s="13" t="str">
        <x:f>IF(B119="","",IFERROR(VLOOKUP(B119,'Backlog'!$A$6:$B$25,2,FALSE),"Unknown task"))</x:f>
      </x:c>
      <x:c r="F119" s="13" t="str">
        <x:f>IF(COUNTA(A119:D119)=0,"",IF(OR(A119="",B119="",C119="",D119=""),"Missing input",IF(E119="Unknown task","Unknown task",IF(D119&lt;=0,"Units must be positive","Ready"))))</x:f>
      </x:c>
    </x:row>
    <x:row r="120">
      <x:c r="A120" s="14"/>
      <x:c r="B120" s="26"/>
      <x:c r="C120" s="28"/>
      <x:c r="D120" s="23"/>
      <x:c r="E120" s="13" t="str">
        <x:f>IF(B120="","",IFERROR(VLOOKUP(B120,'Backlog'!$A$6:$B$25,2,FALSE),"Unknown task"))</x:f>
      </x:c>
      <x:c r="F120" s="13" t="str">
        <x:f>IF(COUNTA(A120:D120)=0,"",IF(OR(A120="",B120="",C120="",D120=""),"Missing input",IF(E120="Unknown task","Unknown task",IF(D120&lt;=0,"Units must be positive","Ready"))))</x:f>
      </x:c>
    </x:row>
    <x:row r="121">
      <x:c r="A121" s="14"/>
      <x:c r="B121" s="26"/>
      <x:c r="C121" s="28"/>
      <x:c r="D121" s="23"/>
      <x:c r="E121" s="13" t="str">
        <x:f>IF(B121="","",IFERROR(VLOOKUP(B121,'Backlog'!$A$6:$B$25,2,FALSE),"Unknown task"))</x:f>
      </x:c>
      <x:c r="F121" s="13" t="str">
        <x:f>IF(COUNTA(A121:D121)=0,"",IF(OR(A121="",B121="",C121="",D121=""),"Missing input",IF(E121="Unknown task","Unknown task",IF(D121&lt;=0,"Units must be positive","Ready"))))</x:f>
      </x:c>
    </x:row>
    <x:row r="122">
      <x:c r="A122" s="14"/>
      <x:c r="B122" s="26"/>
      <x:c r="C122" s="28"/>
      <x:c r="D122" s="23"/>
      <x:c r="E122" s="13" t="str">
        <x:f>IF(B122="","",IFERROR(VLOOKUP(B122,'Backlog'!$A$6:$B$25,2,FALSE),"Unknown task"))</x:f>
      </x:c>
      <x:c r="F122" s="13" t="str">
        <x:f>IF(COUNTA(A122:D122)=0,"",IF(OR(A122="",B122="",C122="",D122=""),"Missing input",IF(E122="Unknown task","Unknown task",IF(D122&lt;=0,"Units must be positive","Ready"))))</x:f>
      </x:c>
    </x:row>
    <x:row r="123">
      <x:c r="A123" s="14"/>
      <x:c r="B123" s="26"/>
      <x:c r="C123" s="28"/>
      <x:c r="D123" s="23"/>
      <x:c r="E123" s="13" t="str">
        <x:f>IF(B123="","",IFERROR(VLOOKUP(B123,'Backlog'!$A$6:$B$25,2,FALSE),"Unknown task"))</x:f>
      </x:c>
      <x:c r="F123" s="13" t="str">
        <x:f>IF(COUNTA(A123:D123)=0,"",IF(OR(A123="",B123="",C123="",D123=""),"Missing input",IF(E123="Unknown task","Unknown task",IF(D123&lt;=0,"Units must be positive","Ready"))))</x:f>
      </x:c>
    </x:row>
    <x:row r="124">
      <x:c r="A124" s="14"/>
      <x:c r="B124" s="26"/>
      <x:c r="C124" s="28"/>
      <x:c r="D124" s="23"/>
      <x:c r="E124" s="13" t="str">
        <x:f>IF(B124="","",IFERROR(VLOOKUP(B124,'Backlog'!$A$6:$B$25,2,FALSE),"Unknown task"))</x:f>
      </x:c>
      <x:c r="F124" s="13" t="str">
        <x:f>IF(COUNTA(A124:D124)=0,"",IF(OR(A124="",B124="",C124="",D124=""),"Missing input",IF(E124="Unknown task","Unknown task",IF(D124&lt;=0,"Units must be positive","Ready"))))</x:f>
      </x:c>
    </x:row>
    <x:row r="125">
      <x:c r="A125" s="14"/>
      <x:c r="B125" s="26"/>
      <x:c r="C125" s="28"/>
      <x:c r="D125" s="23"/>
      <x:c r="E125" s="13" t="str">
        <x:f>IF(B125="","",IFERROR(VLOOKUP(B125,'Backlog'!$A$6:$B$25,2,FALSE),"Unknown task"))</x:f>
      </x:c>
      <x:c r="F125" s="13" t="str">
        <x:f>IF(COUNTA(A125:D125)=0,"",IF(OR(A125="",B125="",C125="",D125=""),"Missing input",IF(E125="Unknown task","Unknown task",IF(D125&lt;=0,"Units must be positive","Ready"))))</x:f>
      </x:c>
    </x:row>
    <x:row r="126">
      <x:c r="A126" s="14"/>
      <x:c r="B126" s="26"/>
      <x:c r="C126" s="28"/>
      <x:c r="D126" s="23"/>
      <x:c r="E126" s="13" t="str">
        <x:f>IF(B126="","",IFERROR(VLOOKUP(B126,'Backlog'!$A$6:$B$25,2,FALSE),"Unknown task"))</x:f>
      </x:c>
      <x:c r="F126" s="13" t="str">
        <x:f>IF(COUNTA(A126:D126)=0,"",IF(OR(A126="",B126="",C126="",D126=""),"Missing input",IF(E126="Unknown task","Unknown task",IF(D126&lt;=0,"Units must be positive","Ready"))))</x:f>
      </x:c>
    </x:row>
    <x:row r="127">
      <x:c r="A127" s="14"/>
      <x:c r="B127" s="26"/>
      <x:c r="C127" s="28"/>
      <x:c r="D127" s="23"/>
      <x:c r="E127" s="13" t="str">
        <x:f>IF(B127="","",IFERROR(VLOOKUP(B127,'Backlog'!$A$6:$B$25,2,FALSE),"Unknown task"))</x:f>
      </x:c>
      <x:c r="F127" s="13" t="str">
        <x:f>IF(COUNTA(A127:D127)=0,"",IF(OR(A127="",B127="",C127="",D127=""),"Missing input",IF(E127="Unknown task","Unknown task",IF(D127&lt;=0,"Units must be positive","Ready"))))</x:f>
      </x:c>
    </x:row>
    <x:row r="128">
      <x:c r="A128" s="14"/>
      <x:c r="B128" s="26"/>
      <x:c r="C128" s="28"/>
      <x:c r="D128" s="23"/>
      <x:c r="E128" s="13" t="str">
        <x:f>IF(B128="","",IFERROR(VLOOKUP(B128,'Backlog'!$A$6:$B$25,2,FALSE),"Unknown task"))</x:f>
      </x:c>
      <x:c r="F128" s="13" t="str">
        <x:f>IF(COUNTA(A128:D128)=0,"",IF(OR(A128="",B128="",C128="",D128=""),"Missing input",IF(E128="Unknown task","Unknown task",IF(D128&lt;=0,"Units must be positive","Ready"))))</x:f>
      </x:c>
    </x:row>
    <x:row r="129">
      <x:c r="A129" s="14"/>
      <x:c r="B129" s="26"/>
      <x:c r="C129" s="28"/>
      <x:c r="D129" s="23"/>
      <x:c r="E129" s="13" t="str">
        <x:f>IF(B129="","",IFERROR(VLOOKUP(B129,'Backlog'!$A$6:$B$25,2,FALSE),"Unknown task"))</x:f>
      </x:c>
      <x:c r="F129" s="13" t="str">
        <x:f>IF(COUNTA(A129:D129)=0,"",IF(OR(A129="",B129="",C129="",D129=""),"Missing input",IF(E129="Unknown task","Unknown task",IF(D129&lt;=0,"Units must be positive","Ready"))))</x:f>
      </x:c>
    </x:row>
    <x:row r="130">
      <x:c r="A130" s="14"/>
      <x:c r="B130" s="26"/>
      <x:c r="C130" s="28"/>
      <x:c r="D130" s="23"/>
      <x:c r="E130" s="13" t="str">
        <x:f>IF(B130="","",IFERROR(VLOOKUP(B130,'Backlog'!$A$6:$B$25,2,FALSE),"Unknown task"))</x:f>
      </x:c>
      <x:c r="F130" s="13" t="str">
        <x:f>IF(COUNTA(A130:D130)=0,"",IF(OR(A130="",B130="",C130="",D130=""),"Missing input",IF(E130="Unknown task","Unknown task",IF(D130&lt;=0,"Units must be positive","Ready"))))</x:f>
      </x:c>
    </x:row>
    <x:row r="131">
      <x:c r="A131" s="14"/>
      <x:c r="B131" s="26"/>
      <x:c r="C131" s="28"/>
      <x:c r="D131" s="23"/>
      <x:c r="E131" s="13" t="str">
        <x:f>IF(B131="","",IFERROR(VLOOKUP(B131,'Backlog'!$A$6:$B$25,2,FALSE),"Unknown task"))</x:f>
      </x:c>
      <x:c r="F131" s="13" t="str">
        <x:f>IF(COUNTA(A131:D131)=0,"",IF(OR(A131="",B131="",C131="",D131=""),"Missing input",IF(E131="Unknown task","Unknown task",IF(D131&lt;=0,"Units must be positive","Ready"))))</x:f>
      </x:c>
    </x:row>
    <x:row r="132">
      <x:c r="A132" s="14"/>
      <x:c r="B132" s="26"/>
      <x:c r="C132" s="28"/>
      <x:c r="D132" s="23"/>
      <x:c r="E132" s="13" t="str">
        <x:f>IF(B132="","",IFERROR(VLOOKUP(B132,'Backlog'!$A$6:$B$25,2,FALSE),"Unknown task"))</x:f>
      </x:c>
      <x:c r="F132" s="13" t="str">
        <x:f>IF(COUNTA(A132:D132)=0,"",IF(OR(A132="",B132="",C132="",D132=""),"Missing input",IF(E132="Unknown task","Unknown task",IF(D132&lt;=0,"Units must be positive","Ready"))))</x:f>
      </x:c>
    </x:row>
    <x:row r="133">
      <x:c r="A133" s="14"/>
      <x:c r="B133" s="26"/>
      <x:c r="C133" s="28"/>
      <x:c r="D133" s="23"/>
      <x:c r="E133" s="13" t="str">
        <x:f>IF(B133="","",IFERROR(VLOOKUP(B133,'Backlog'!$A$6:$B$25,2,FALSE),"Unknown task"))</x:f>
      </x:c>
      <x:c r="F133" s="13" t="str">
        <x:f>IF(COUNTA(A133:D133)=0,"",IF(OR(A133="",B133="",C133="",D133=""),"Missing input",IF(E133="Unknown task","Unknown task",IF(D133&lt;=0,"Units must be positive","Ready"))))</x:f>
      </x:c>
    </x:row>
    <x:row r="134">
      <x:c r="A134" s="14"/>
      <x:c r="B134" s="26"/>
      <x:c r="C134" s="28"/>
      <x:c r="D134" s="23"/>
      <x:c r="E134" s="13" t="str">
        <x:f>IF(B134="","",IFERROR(VLOOKUP(B134,'Backlog'!$A$6:$B$25,2,FALSE),"Unknown task"))</x:f>
      </x:c>
      <x:c r="F134" s="13" t="str">
        <x:f>IF(COUNTA(A134:D134)=0,"",IF(OR(A134="",B134="",C134="",D134=""),"Missing input",IF(E134="Unknown task","Unknown task",IF(D134&lt;=0,"Units must be positive","Ready"))))</x:f>
      </x:c>
    </x:row>
    <x:row r="135">
      <x:c r="A135" s="14"/>
      <x:c r="B135" s="26"/>
      <x:c r="C135" s="28"/>
      <x:c r="D135" s="23"/>
      <x:c r="E135" s="13" t="str">
        <x:f>IF(B135="","",IFERROR(VLOOKUP(B135,'Backlog'!$A$6:$B$25,2,FALSE),"Unknown task"))</x:f>
      </x:c>
      <x:c r="F135" s="13" t="str">
        <x:f>IF(COUNTA(A135:D135)=0,"",IF(OR(A135="",B135="",C135="",D135=""),"Missing input",IF(E135="Unknown task","Unknown task",IF(D135&lt;=0,"Units must be positive","Ready"))))</x:f>
      </x:c>
    </x:row>
    <x:row r="136">
      <x:c r="A136" s="14"/>
      <x:c r="B136" s="26"/>
      <x:c r="C136" s="28"/>
      <x:c r="D136" s="23"/>
      <x:c r="E136" s="13" t="str">
        <x:f>IF(B136="","",IFERROR(VLOOKUP(B136,'Backlog'!$A$6:$B$25,2,FALSE),"Unknown task"))</x:f>
      </x:c>
      <x:c r="F136" s="13" t="str">
        <x:f>IF(COUNTA(A136:D136)=0,"",IF(OR(A136="",B136="",C136="",D136=""),"Missing input",IF(E136="Unknown task","Unknown task",IF(D136&lt;=0,"Units must be positive","Ready"))))</x:f>
      </x:c>
    </x:row>
    <x:row r="137">
      <x:c r="A137" s="14"/>
      <x:c r="B137" s="26"/>
      <x:c r="C137" s="28"/>
      <x:c r="D137" s="23"/>
      <x:c r="E137" s="13" t="str">
        <x:f>IF(B137="","",IFERROR(VLOOKUP(B137,'Backlog'!$A$6:$B$25,2,FALSE),"Unknown task"))</x:f>
      </x:c>
      <x:c r="F137" s="13" t="str">
        <x:f>IF(COUNTA(A137:D137)=0,"",IF(OR(A137="",B137="",C137="",D137=""),"Missing input",IF(E137="Unknown task","Unknown task",IF(D137&lt;=0,"Units must be positive","Ready"))))</x:f>
      </x:c>
    </x:row>
    <x:row r="138">
      <x:c r="A138" s="14"/>
      <x:c r="B138" s="26"/>
      <x:c r="C138" s="28"/>
      <x:c r="D138" s="23"/>
      <x:c r="E138" s="13" t="str">
        <x:f>IF(B138="","",IFERROR(VLOOKUP(B138,'Backlog'!$A$6:$B$25,2,FALSE),"Unknown task"))</x:f>
      </x:c>
      <x:c r="F138" s="13" t="str">
        <x:f>IF(COUNTA(A138:D138)=0,"",IF(OR(A138="",B138="",C138="",D138=""),"Missing input",IF(E138="Unknown task","Unknown task",IF(D138&lt;=0,"Units must be positive","Ready"))))</x:f>
      </x:c>
    </x:row>
    <x:row r="139">
      <x:c r="A139" s="14"/>
      <x:c r="B139" s="26"/>
      <x:c r="C139" s="28"/>
      <x:c r="D139" s="23"/>
      <x:c r="E139" s="13" t="str">
        <x:f>IF(B139="","",IFERROR(VLOOKUP(B139,'Backlog'!$A$6:$B$25,2,FALSE),"Unknown task"))</x:f>
      </x:c>
      <x:c r="F139" s="13" t="str">
        <x:f>IF(COUNTA(A139:D139)=0,"",IF(OR(A139="",B139="",C139="",D139=""),"Missing input",IF(E139="Unknown task","Unknown task",IF(D139&lt;=0,"Units must be positive","Ready"))))</x:f>
      </x:c>
    </x:row>
    <x:row r="140">
      <x:c r="A140" s="14"/>
      <x:c r="B140" s="26"/>
      <x:c r="C140" s="28"/>
      <x:c r="D140" s="23"/>
      <x:c r="E140" s="13" t="str">
        <x:f>IF(B140="","",IFERROR(VLOOKUP(B140,'Backlog'!$A$6:$B$25,2,FALSE),"Unknown task"))</x:f>
      </x:c>
      <x:c r="F140" s="13" t="str">
        <x:f>IF(COUNTA(A140:D140)=0,"",IF(OR(A140="",B140="",C140="",D140=""),"Missing input",IF(E140="Unknown task","Unknown task",IF(D140&lt;=0,"Units must be positive","Ready"))))</x:f>
      </x:c>
    </x:row>
    <x:row r="141">
      <x:c r="A141" s="14"/>
      <x:c r="B141" s="26"/>
      <x:c r="C141" s="28"/>
      <x:c r="D141" s="23"/>
      <x:c r="E141" s="13" t="str">
        <x:f>IF(B141="","",IFERROR(VLOOKUP(B141,'Backlog'!$A$6:$B$25,2,FALSE),"Unknown task"))</x:f>
      </x:c>
      <x:c r="F141" s="13" t="str">
        <x:f>IF(COUNTA(A141:D141)=0,"",IF(OR(A141="",B141="",C141="",D141=""),"Missing input",IF(E141="Unknown task","Unknown task",IF(D141&lt;=0,"Units must be positive","Ready"))))</x:f>
      </x:c>
    </x:row>
    <x:row r="142">
      <x:c r="A142" s="14"/>
      <x:c r="B142" s="26"/>
      <x:c r="C142" s="28"/>
      <x:c r="D142" s="23"/>
      <x:c r="E142" s="13" t="str">
        <x:f>IF(B142="","",IFERROR(VLOOKUP(B142,'Backlog'!$A$6:$B$25,2,FALSE),"Unknown task"))</x:f>
      </x:c>
      <x:c r="F142" s="13" t="str">
        <x:f>IF(COUNTA(A142:D142)=0,"",IF(OR(A142="",B142="",C142="",D142=""),"Missing input",IF(E142="Unknown task","Unknown task",IF(D142&lt;=0,"Units must be positive","Ready"))))</x:f>
      </x:c>
    </x:row>
    <x:row r="143">
      <x:c r="A143" s="14"/>
      <x:c r="B143" s="26"/>
      <x:c r="C143" s="28"/>
      <x:c r="D143" s="23"/>
      <x:c r="E143" s="13" t="str">
        <x:f>IF(B143="","",IFERROR(VLOOKUP(B143,'Backlog'!$A$6:$B$25,2,FALSE),"Unknown task"))</x:f>
      </x:c>
      <x:c r="F143" s="13" t="str">
        <x:f>IF(COUNTA(A143:D143)=0,"",IF(OR(A143="",B143="",C143="",D143=""),"Missing input",IF(E143="Unknown task","Unknown task",IF(D143&lt;=0,"Units must be positive","Ready"))))</x:f>
      </x:c>
    </x:row>
    <x:row r="144">
      <x:c r="A144" s="14"/>
      <x:c r="B144" s="26"/>
      <x:c r="C144" s="28"/>
      <x:c r="D144" s="23"/>
      <x:c r="E144" s="13" t="str">
        <x:f>IF(B144="","",IFERROR(VLOOKUP(B144,'Backlog'!$A$6:$B$25,2,FALSE),"Unknown task"))</x:f>
      </x:c>
      <x:c r="F144" s="13" t="str">
        <x:f>IF(COUNTA(A144:D144)=0,"",IF(OR(A144="",B144="",C144="",D144=""),"Missing input",IF(E144="Unknown task","Unknown task",IF(D144&lt;=0,"Units must be positive","Ready"))))</x:f>
      </x:c>
    </x:row>
    <x:row r="145">
      <x:c r="A145" s="14"/>
      <x:c r="B145" s="26"/>
      <x:c r="C145" s="28"/>
      <x:c r="D145" s="23"/>
      <x:c r="E145" s="13" t="str">
        <x:f>IF(B145="","",IFERROR(VLOOKUP(B145,'Backlog'!$A$6:$B$25,2,FALSE),"Unknown task"))</x:f>
      </x:c>
      <x:c r="F145" s="13" t="str">
        <x:f>IF(COUNTA(A145:D145)=0,"",IF(OR(A145="",B145="",C145="",D145=""),"Missing input",IF(E145="Unknown task","Unknown task",IF(D145&lt;=0,"Units must be positive","Ready"))))</x:f>
      </x:c>
    </x:row>
    <x:row r="146">
      <x:c r="A146" s="14"/>
      <x:c r="B146" s="26"/>
      <x:c r="C146" s="28"/>
      <x:c r="D146" s="23"/>
      <x:c r="E146" s="13" t="str">
        <x:f>IF(B146="","",IFERROR(VLOOKUP(B146,'Backlog'!$A$6:$B$25,2,FALSE),"Unknown task"))</x:f>
      </x:c>
      <x:c r="F146" s="13" t="str">
        <x:f>IF(COUNTA(A146:D146)=0,"",IF(OR(A146="",B146="",C146="",D146=""),"Missing input",IF(E146="Unknown task","Unknown task",IF(D146&lt;=0,"Units must be positive","Ready"))))</x:f>
      </x:c>
    </x:row>
    <x:row r="147">
      <x:c r="A147" s="14"/>
      <x:c r="B147" s="26"/>
      <x:c r="C147" s="28"/>
      <x:c r="D147" s="23"/>
      <x:c r="E147" s="13" t="str">
        <x:f>IF(B147="","",IFERROR(VLOOKUP(B147,'Backlog'!$A$6:$B$25,2,FALSE),"Unknown task"))</x:f>
      </x:c>
      <x:c r="F147" s="13" t="str">
        <x:f>IF(COUNTA(A147:D147)=0,"",IF(OR(A147="",B147="",C147="",D147=""),"Missing input",IF(E147="Unknown task","Unknown task",IF(D147&lt;=0,"Units must be positive","Ready"))))</x:f>
      </x:c>
    </x:row>
    <x:row r="148">
      <x:c r="A148" s="14"/>
      <x:c r="B148" s="26"/>
      <x:c r="C148" s="28"/>
      <x:c r="D148" s="23"/>
      <x:c r="E148" s="13" t="str">
        <x:f>IF(B148="","",IFERROR(VLOOKUP(B148,'Backlog'!$A$6:$B$25,2,FALSE),"Unknown task"))</x:f>
      </x:c>
      <x:c r="F148" s="13" t="str">
        <x:f>IF(COUNTA(A148:D148)=0,"",IF(OR(A148="",B148="",C148="",D148=""),"Missing input",IF(E148="Unknown task","Unknown task",IF(D148&lt;=0,"Units must be positive","Ready"))))</x:f>
      </x:c>
    </x:row>
    <x:row r="149">
      <x:c r="A149" s="14"/>
      <x:c r="B149" s="26"/>
      <x:c r="C149" s="28"/>
      <x:c r="D149" s="23"/>
      <x:c r="E149" s="13" t="str">
        <x:f>IF(B149="","",IFERROR(VLOOKUP(B149,'Backlog'!$A$6:$B$25,2,FALSE),"Unknown task"))</x:f>
      </x:c>
      <x:c r="F149" s="13" t="str">
        <x:f>IF(COUNTA(A149:D149)=0,"",IF(OR(A149="",B149="",C149="",D149=""),"Missing input",IF(E149="Unknown task","Unknown task",IF(D149&lt;=0,"Units must be positive","Ready"))))</x:f>
      </x:c>
    </x:row>
    <x:row r="150">
      <x:c r="A150" s="14"/>
      <x:c r="B150" s="26"/>
      <x:c r="C150" s="28"/>
      <x:c r="D150" s="23"/>
      <x:c r="E150" s="13" t="str">
        <x:f>IF(B150="","",IFERROR(VLOOKUP(B150,'Backlog'!$A$6:$B$25,2,FALSE),"Unknown task"))</x:f>
      </x:c>
      <x:c r="F150" s="13" t="str">
        <x:f>IF(COUNTA(A150:D150)=0,"",IF(OR(A150="",B150="",C150="",D150=""),"Missing input",IF(E150="Unknown task","Unknown task",IF(D150&lt;=0,"Units must be positive","Ready"))))</x:f>
      </x:c>
    </x:row>
    <x:row r="151">
      <x:c r="A151" s="14"/>
      <x:c r="B151" s="26"/>
      <x:c r="C151" s="28"/>
      <x:c r="D151" s="23"/>
      <x:c r="E151" s="13" t="str">
        <x:f>IF(B151="","",IFERROR(VLOOKUP(B151,'Backlog'!$A$6:$B$25,2,FALSE),"Unknown task"))</x:f>
      </x:c>
      <x:c r="F151" s="13" t="str">
        <x:f>IF(COUNTA(A151:D151)=0,"",IF(OR(A151="",B151="",C151="",D151=""),"Missing input",IF(E151="Unknown task","Unknown task",IF(D151&lt;=0,"Units must be positive","Ready"))))</x:f>
      </x:c>
    </x:row>
    <x:row r="152">
      <x:c r="A152" s="14"/>
      <x:c r="B152" s="26"/>
      <x:c r="C152" s="28"/>
      <x:c r="D152" s="23"/>
      <x:c r="E152" s="13" t="str">
        <x:f>IF(B152="","",IFERROR(VLOOKUP(B152,'Backlog'!$A$6:$B$25,2,FALSE),"Unknown task"))</x:f>
      </x:c>
      <x:c r="F152" s="13" t="str">
        <x:f>IF(COUNTA(A152:D152)=0,"",IF(OR(A152="",B152="",C152="",D152=""),"Missing input",IF(E152="Unknown task","Unknown task",IF(D152&lt;=0,"Units must be positive","Ready"))))</x:f>
      </x:c>
    </x:row>
    <x:row r="153">
      <x:c r="A153" s="14"/>
      <x:c r="B153" s="26"/>
      <x:c r="C153" s="28"/>
      <x:c r="D153" s="23"/>
      <x:c r="E153" s="13" t="str">
        <x:f>IF(B153="","",IFERROR(VLOOKUP(B153,'Backlog'!$A$6:$B$25,2,FALSE),"Unknown task"))</x:f>
      </x:c>
      <x:c r="F153" s="13" t="str">
        <x:f>IF(COUNTA(A153:D153)=0,"",IF(OR(A153="",B153="",C153="",D153=""),"Missing input",IF(E153="Unknown task","Unknown task",IF(D153&lt;=0,"Units must be positive","Ready"))))</x:f>
      </x:c>
    </x:row>
    <x:row r="154">
      <x:c r="A154" s="14"/>
      <x:c r="B154" s="26"/>
      <x:c r="C154" s="28"/>
      <x:c r="D154" s="23"/>
      <x:c r="E154" s="13" t="str">
        <x:f>IF(B154="","",IFERROR(VLOOKUP(B154,'Backlog'!$A$6:$B$25,2,FALSE),"Unknown task"))</x:f>
      </x:c>
      <x:c r="F154" s="13" t="str">
        <x:f>IF(COUNTA(A154:D154)=0,"",IF(OR(A154="",B154="",C154="",D154=""),"Missing input",IF(E154="Unknown task","Unknown task",IF(D154&lt;=0,"Units must be positive","Ready"))))</x:f>
      </x:c>
    </x:row>
    <x:row r="155">
      <x:c r="A155" s="14"/>
      <x:c r="B155" s="26"/>
      <x:c r="C155" s="28"/>
      <x:c r="D155" s="23"/>
      <x:c r="E155" s="13" t="str">
        <x:f>IF(B155="","",IFERROR(VLOOKUP(B155,'Backlog'!$A$6:$B$25,2,FALSE),"Unknown task"))</x:f>
      </x:c>
      <x:c r="F155" s="13" t="str">
        <x:f>IF(COUNTA(A155:D155)=0,"",IF(OR(A155="",B155="",C155="",D155=""),"Missing input",IF(E155="Unknown task","Unknown task",IF(D155&lt;=0,"Units must be positive","Ready"))))</x:f>
      </x:c>
    </x:row>
    <x:row r="156">
      <x:c r="A156" s="14"/>
      <x:c r="B156" s="26"/>
      <x:c r="C156" s="28"/>
      <x:c r="D156" s="23"/>
      <x:c r="E156" s="13" t="str">
        <x:f>IF(B156="","",IFERROR(VLOOKUP(B156,'Backlog'!$A$6:$B$25,2,FALSE),"Unknown task"))</x:f>
      </x:c>
      <x:c r="F156" s="13" t="str">
        <x:f>IF(COUNTA(A156:D156)=0,"",IF(OR(A156="",B156="",C156="",D156=""),"Missing input",IF(E156="Unknown task","Unknown task",IF(D156&lt;=0,"Units must be positive","Ready"))))</x:f>
      </x:c>
    </x:row>
    <x:row r="157">
      <x:c r="A157" s="14"/>
      <x:c r="B157" s="26"/>
      <x:c r="C157" s="28"/>
      <x:c r="D157" s="23"/>
      <x:c r="E157" s="13" t="str">
        <x:f>IF(B157="","",IFERROR(VLOOKUP(B157,'Backlog'!$A$6:$B$25,2,FALSE),"Unknown task"))</x:f>
      </x:c>
      <x:c r="F157" s="13" t="str">
        <x:f>IF(COUNTA(A157:D157)=0,"",IF(OR(A157="",B157="",C157="",D157=""),"Missing input",IF(E157="Unknown task","Unknown task",IF(D157&lt;=0,"Units must be positive","Ready"))))</x:f>
      </x:c>
    </x:row>
    <x:row r="158">
      <x:c r="A158" s="14"/>
      <x:c r="B158" s="26"/>
      <x:c r="C158" s="28"/>
      <x:c r="D158" s="23"/>
      <x:c r="E158" s="13" t="str">
        <x:f>IF(B158="","",IFERROR(VLOOKUP(B158,'Backlog'!$A$6:$B$25,2,FALSE),"Unknown task"))</x:f>
      </x:c>
      <x:c r="F158" s="13" t="str">
        <x:f>IF(COUNTA(A158:D158)=0,"",IF(OR(A158="",B158="",C158="",D158=""),"Missing input",IF(E158="Unknown task","Unknown task",IF(D158&lt;=0,"Units must be positive","Ready"))))</x:f>
      </x:c>
    </x:row>
    <x:row r="159">
      <x:c r="A159" s="14"/>
      <x:c r="B159" s="26"/>
      <x:c r="C159" s="28"/>
      <x:c r="D159" s="23"/>
      <x:c r="E159" s="13" t="str">
        <x:f>IF(B159="","",IFERROR(VLOOKUP(B159,'Backlog'!$A$6:$B$25,2,FALSE),"Unknown task"))</x:f>
      </x:c>
      <x:c r="F159" s="13" t="str">
        <x:f>IF(COUNTA(A159:D159)=0,"",IF(OR(A159="",B159="",C159="",D159=""),"Missing input",IF(E159="Unknown task","Unknown task",IF(D159&lt;=0,"Units must be positive","Ready"))))</x:f>
      </x:c>
    </x:row>
    <x:row r="160">
      <x:c r="A160" s="14"/>
      <x:c r="B160" s="26"/>
      <x:c r="C160" s="28"/>
      <x:c r="D160" s="23"/>
      <x:c r="E160" s="13" t="str">
        <x:f>IF(B160="","",IFERROR(VLOOKUP(B160,'Backlog'!$A$6:$B$25,2,FALSE),"Unknown task"))</x:f>
      </x:c>
      <x:c r="F160" s="13" t="str">
        <x:f>IF(COUNTA(A160:D160)=0,"",IF(OR(A160="",B160="",C160="",D160=""),"Missing input",IF(E160="Unknown task","Unknown task",IF(D160&lt;=0,"Units must be positive","Ready"))))</x:f>
      </x:c>
    </x:row>
    <x:row r="161">
      <x:c r="A161" s="14"/>
      <x:c r="B161" s="26"/>
      <x:c r="C161" s="28"/>
      <x:c r="D161" s="23"/>
      <x:c r="E161" s="13" t="str">
        <x:f>IF(B161="","",IFERROR(VLOOKUP(B161,'Backlog'!$A$6:$B$25,2,FALSE),"Unknown task"))</x:f>
      </x:c>
      <x:c r="F161" s="13" t="str">
        <x:f>IF(COUNTA(A161:D161)=0,"",IF(OR(A161="",B161="",C161="",D161=""),"Missing input",IF(E161="Unknown task","Unknown task",IF(D161&lt;=0,"Units must be positive","Ready"))))</x:f>
      </x:c>
    </x:row>
    <x:row r="162">
      <x:c r="A162" s="14"/>
      <x:c r="B162" s="26"/>
      <x:c r="C162" s="28"/>
      <x:c r="D162" s="23"/>
      <x:c r="E162" s="13" t="str">
        <x:f>IF(B162="","",IFERROR(VLOOKUP(B162,'Backlog'!$A$6:$B$25,2,FALSE),"Unknown task"))</x:f>
      </x:c>
      <x:c r="F162" s="13" t="str">
        <x:f>IF(COUNTA(A162:D162)=0,"",IF(OR(A162="",B162="",C162="",D162=""),"Missing input",IF(E162="Unknown task","Unknown task",IF(D162&lt;=0,"Units must be positive","Ready"))))</x:f>
      </x:c>
    </x:row>
    <x:row r="163">
      <x:c r="A163" s="14"/>
      <x:c r="B163" s="26"/>
      <x:c r="C163" s="28"/>
      <x:c r="D163" s="23"/>
      <x:c r="E163" s="13" t="str">
        <x:f>IF(B163="","",IFERROR(VLOOKUP(B163,'Backlog'!$A$6:$B$25,2,FALSE),"Unknown task"))</x:f>
      </x:c>
      <x:c r="F163" s="13" t="str">
        <x:f>IF(COUNTA(A163:D163)=0,"",IF(OR(A163="",B163="",C163="",D163=""),"Missing input",IF(E163="Unknown task","Unknown task",IF(D163&lt;=0,"Units must be positive","Ready"))))</x:f>
      </x:c>
    </x:row>
    <x:row r="164">
      <x:c r="A164" s="14"/>
      <x:c r="B164" s="26"/>
      <x:c r="C164" s="28"/>
      <x:c r="D164" s="23"/>
      <x:c r="E164" s="13" t="str">
        <x:f>IF(B164="","",IFERROR(VLOOKUP(B164,'Backlog'!$A$6:$B$25,2,FALSE),"Unknown task"))</x:f>
      </x:c>
      <x:c r="F164" s="13" t="str">
        <x:f>IF(COUNTA(A164:D164)=0,"",IF(OR(A164="",B164="",C164="",D164=""),"Missing input",IF(E164="Unknown task","Unknown task",IF(D164&lt;=0,"Units must be positive","Ready"))))</x:f>
      </x:c>
    </x:row>
    <x:row r="165">
      <x:c r="A165" s="14"/>
      <x:c r="B165" s="26"/>
      <x:c r="C165" s="28"/>
      <x:c r="D165" s="23"/>
      <x:c r="E165" s="13" t="str">
        <x:f>IF(B165="","",IFERROR(VLOOKUP(B165,'Backlog'!$A$6:$B$25,2,FALSE),"Unknown task"))</x:f>
      </x:c>
      <x:c r="F165" s="13" t="str">
        <x:f>IF(COUNTA(A165:D165)=0,"",IF(OR(A165="",B165="",C165="",D165=""),"Missing input",IF(E165="Unknown task","Unknown task",IF(D165&lt;=0,"Units must be positive","Ready"))))</x:f>
      </x:c>
    </x:row>
    <x:row r="166">
      <x:c r="A166" s="14"/>
      <x:c r="B166" s="26"/>
      <x:c r="C166" s="28"/>
      <x:c r="D166" s="23"/>
      <x:c r="E166" s="13" t="str">
        <x:f>IF(B166="","",IFERROR(VLOOKUP(B166,'Backlog'!$A$6:$B$25,2,FALSE),"Unknown task"))</x:f>
      </x:c>
      <x:c r="F166" s="13" t="str">
        <x:f>IF(COUNTA(A166:D166)=0,"",IF(OR(A166="",B166="",C166="",D166=""),"Missing input",IF(E166="Unknown task","Unknown task",IF(D166&lt;=0,"Units must be positive","Ready"))))</x:f>
      </x:c>
    </x:row>
    <x:row r="167">
      <x:c r="A167" s="14"/>
      <x:c r="B167" s="26"/>
      <x:c r="C167" s="28"/>
      <x:c r="D167" s="23"/>
      <x:c r="E167" s="13" t="str">
        <x:f>IF(B167="","",IFERROR(VLOOKUP(B167,'Backlog'!$A$6:$B$25,2,FALSE),"Unknown task"))</x:f>
      </x:c>
      <x:c r="F167" s="13" t="str">
        <x:f>IF(COUNTA(A167:D167)=0,"",IF(OR(A167="",B167="",C167="",D167=""),"Missing input",IF(E167="Unknown task","Unknown task",IF(D167&lt;=0,"Units must be positive","Ready"))))</x:f>
      </x:c>
    </x:row>
    <x:row r="168">
      <x:c r="A168" s="14"/>
      <x:c r="B168" s="26"/>
      <x:c r="C168" s="28"/>
      <x:c r="D168" s="23"/>
      <x:c r="E168" s="13" t="str">
        <x:f>IF(B168="","",IFERROR(VLOOKUP(B168,'Backlog'!$A$6:$B$25,2,FALSE),"Unknown task"))</x:f>
      </x:c>
      <x:c r="F168" s="13" t="str">
        <x:f>IF(COUNTA(A168:D168)=0,"",IF(OR(A168="",B168="",C168="",D168=""),"Missing input",IF(E168="Unknown task","Unknown task",IF(D168&lt;=0,"Units must be positive","Ready"))))</x:f>
      </x:c>
    </x:row>
    <x:row r="169">
      <x:c r="A169" s="14"/>
      <x:c r="B169" s="26"/>
      <x:c r="C169" s="28"/>
      <x:c r="D169" s="23"/>
      <x:c r="E169" s="13" t="str">
        <x:f>IF(B169="","",IFERROR(VLOOKUP(B169,'Backlog'!$A$6:$B$25,2,FALSE),"Unknown task"))</x:f>
      </x:c>
      <x:c r="F169" s="13" t="str">
        <x:f>IF(COUNTA(A169:D169)=0,"",IF(OR(A169="",B169="",C169="",D169=""),"Missing input",IF(E169="Unknown task","Unknown task",IF(D169&lt;=0,"Units must be positive","Ready"))))</x:f>
      </x:c>
    </x:row>
    <x:row r="170">
      <x:c r="A170" s="14"/>
      <x:c r="B170" s="26"/>
      <x:c r="C170" s="28"/>
      <x:c r="D170" s="23"/>
      <x:c r="E170" s="13" t="str">
        <x:f>IF(B170="","",IFERROR(VLOOKUP(B170,'Backlog'!$A$6:$B$25,2,FALSE),"Unknown task"))</x:f>
      </x:c>
      <x:c r="F170" s="13" t="str">
        <x:f>IF(COUNTA(A170:D170)=0,"",IF(OR(A170="",B170="",C170="",D170=""),"Missing input",IF(E170="Unknown task","Unknown task",IF(D170&lt;=0,"Units must be positive","Ready"))))</x:f>
      </x:c>
    </x:row>
    <x:row r="171">
      <x:c r="A171" s="14"/>
      <x:c r="B171" s="26"/>
      <x:c r="C171" s="28"/>
      <x:c r="D171" s="23"/>
      <x:c r="E171" s="13" t="str">
        <x:f>IF(B171="","",IFERROR(VLOOKUP(B171,'Backlog'!$A$6:$B$25,2,FALSE),"Unknown task"))</x:f>
      </x:c>
      <x:c r="F171" s="13" t="str">
        <x:f>IF(COUNTA(A171:D171)=0,"",IF(OR(A171="",B171="",C171="",D171=""),"Missing input",IF(E171="Unknown task","Unknown task",IF(D171&lt;=0,"Units must be positive","Ready"))))</x:f>
      </x:c>
    </x:row>
    <x:row r="172">
      <x:c r="A172" s="14"/>
      <x:c r="B172" s="26"/>
      <x:c r="C172" s="28"/>
      <x:c r="D172" s="23"/>
      <x:c r="E172" s="13" t="str">
        <x:f>IF(B172="","",IFERROR(VLOOKUP(B172,'Backlog'!$A$6:$B$25,2,FALSE),"Unknown task"))</x:f>
      </x:c>
      <x:c r="F172" s="13" t="str">
        <x:f>IF(COUNTA(A172:D172)=0,"",IF(OR(A172="",B172="",C172="",D172=""),"Missing input",IF(E172="Unknown task","Unknown task",IF(D172&lt;=0,"Units must be positive","Ready"))))</x:f>
      </x:c>
    </x:row>
    <x:row r="173">
      <x:c r="A173" s="14"/>
      <x:c r="B173" s="26"/>
      <x:c r="C173" s="28"/>
      <x:c r="D173" s="23"/>
      <x:c r="E173" s="13" t="str">
        <x:f>IF(B173="","",IFERROR(VLOOKUP(B173,'Backlog'!$A$6:$B$25,2,FALSE),"Unknown task"))</x:f>
      </x:c>
      <x:c r="F173" s="13" t="str">
        <x:f>IF(COUNTA(A173:D173)=0,"",IF(OR(A173="",B173="",C173="",D173=""),"Missing input",IF(E173="Unknown task","Unknown task",IF(D173&lt;=0,"Units must be positive","Ready"))))</x:f>
      </x:c>
    </x:row>
    <x:row r="174">
      <x:c r="A174" s="14"/>
      <x:c r="B174" s="26"/>
      <x:c r="C174" s="28"/>
      <x:c r="D174" s="23"/>
      <x:c r="E174" s="13" t="str">
        <x:f>IF(B174="","",IFERROR(VLOOKUP(B174,'Backlog'!$A$6:$B$25,2,FALSE),"Unknown task"))</x:f>
      </x:c>
      <x:c r="F174" s="13" t="str">
        <x:f>IF(COUNTA(A174:D174)=0,"",IF(OR(A174="",B174="",C174="",D174=""),"Missing input",IF(E174="Unknown task","Unknown task",IF(D174&lt;=0,"Units must be positive","Ready"))))</x:f>
      </x:c>
    </x:row>
    <x:row r="175">
      <x:c r="A175" s="14"/>
      <x:c r="B175" s="26"/>
      <x:c r="C175" s="28"/>
      <x:c r="D175" s="23"/>
      <x:c r="E175" s="13" t="str">
        <x:f>IF(B175="","",IFERROR(VLOOKUP(B175,'Backlog'!$A$6:$B$25,2,FALSE),"Unknown task"))</x:f>
      </x:c>
      <x:c r="F175" s="13" t="str">
        <x:f>IF(COUNTA(A175:D175)=0,"",IF(OR(A175="",B175="",C175="",D175=""),"Missing input",IF(E175="Unknown task","Unknown task",IF(D175&lt;=0,"Units must be positive","Ready"))))</x:f>
      </x:c>
    </x:row>
    <x:row r="176">
      <x:c r="A176" s="14"/>
      <x:c r="B176" s="26"/>
      <x:c r="C176" s="28"/>
      <x:c r="D176" s="23"/>
      <x:c r="E176" s="13" t="str">
        <x:f>IF(B176="","",IFERROR(VLOOKUP(B176,'Backlog'!$A$6:$B$25,2,FALSE),"Unknown task"))</x:f>
      </x:c>
      <x:c r="F176" s="13" t="str">
        <x:f>IF(COUNTA(A176:D176)=0,"",IF(OR(A176="",B176="",C176="",D176=""),"Missing input",IF(E176="Unknown task","Unknown task",IF(D176&lt;=0,"Units must be positive","Ready"))))</x:f>
      </x:c>
    </x:row>
    <x:row r="177">
      <x:c r="A177" s="14"/>
      <x:c r="B177" s="26"/>
      <x:c r="C177" s="28"/>
      <x:c r="D177" s="23"/>
      <x:c r="E177" s="13" t="str">
        <x:f>IF(B177="","",IFERROR(VLOOKUP(B177,'Backlog'!$A$6:$B$25,2,FALSE),"Unknown task"))</x:f>
      </x:c>
      <x:c r="F177" s="13" t="str">
        <x:f>IF(COUNTA(A177:D177)=0,"",IF(OR(A177="",B177="",C177="",D177=""),"Missing input",IF(E177="Unknown task","Unknown task",IF(D177&lt;=0,"Units must be positive","Ready"))))</x:f>
      </x:c>
    </x:row>
    <x:row r="178">
      <x:c r="A178" s="14"/>
      <x:c r="B178" s="26"/>
      <x:c r="C178" s="28"/>
      <x:c r="D178" s="23"/>
      <x:c r="E178" s="13" t="str">
        <x:f>IF(B178="","",IFERROR(VLOOKUP(B178,'Backlog'!$A$6:$B$25,2,FALSE),"Unknown task"))</x:f>
      </x:c>
      <x:c r="F178" s="13" t="str">
        <x:f>IF(COUNTA(A178:D178)=0,"",IF(OR(A178="",B178="",C178="",D178=""),"Missing input",IF(E178="Unknown task","Unknown task",IF(D178&lt;=0,"Units must be positive","Ready"))))</x:f>
      </x:c>
    </x:row>
    <x:row r="179">
      <x:c r="A179" s="14"/>
      <x:c r="B179" s="26"/>
      <x:c r="C179" s="28"/>
      <x:c r="D179" s="23"/>
      <x:c r="E179" s="13" t="str">
        <x:f>IF(B179="","",IFERROR(VLOOKUP(B179,'Backlog'!$A$6:$B$25,2,FALSE),"Unknown task"))</x:f>
      </x:c>
      <x:c r="F179" s="13" t="str">
        <x:f>IF(COUNTA(A179:D179)=0,"",IF(OR(A179="",B179="",C179="",D179=""),"Missing input",IF(E179="Unknown task","Unknown task",IF(D179&lt;=0,"Units must be positive","Ready"))))</x:f>
      </x:c>
    </x:row>
    <x:row r="180">
      <x:c r="A180" s="14"/>
      <x:c r="B180" s="26"/>
      <x:c r="C180" s="28"/>
      <x:c r="D180" s="23"/>
      <x:c r="E180" s="13" t="str">
        <x:f>IF(B180="","",IFERROR(VLOOKUP(B180,'Backlog'!$A$6:$B$25,2,FALSE),"Unknown task"))</x:f>
      </x:c>
      <x:c r="F180" s="13" t="str">
        <x:f>IF(COUNTA(A180:D180)=0,"",IF(OR(A180="",B180="",C180="",D180=""),"Missing input",IF(E180="Unknown task","Unknown task",IF(D180&lt;=0,"Units must be positive","Ready"))))</x:f>
      </x:c>
    </x:row>
    <x:row r="181">
      <x:c r="A181" s="14"/>
      <x:c r="B181" s="26"/>
      <x:c r="C181" s="28"/>
      <x:c r="D181" s="23"/>
      <x:c r="E181" s="13" t="str">
        <x:f>IF(B181="","",IFERROR(VLOOKUP(B181,'Backlog'!$A$6:$B$25,2,FALSE),"Unknown task"))</x:f>
      </x:c>
      <x:c r="F181" s="13" t="str">
        <x:f>IF(COUNTA(A181:D181)=0,"",IF(OR(A181="",B181="",C181="",D181=""),"Missing input",IF(E181="Unknown task","Unknown task",IF(D181&lt;=0,"Units must be positive","Ready"))))</x:f>
      </x:c>
    </x:row>
    <x:row r="182">
      <x:c r="A182" s="14"/>
      <x:c r="B182" s="26"/>
      <x:c r="C182" s="28"/>
      <x:c r="D182" s="23"/>
      <x:c r="E182" s="13" t="str">
        <x:f>IF(B182="","",IFERROR(VLOOKUP(B182,'Backlog'!$A$6:$B$25,2,FALSE),"Unknown task"))</x:f>
      </x:c>
      <x:c r="F182" s="13" t="str">
        <x:f>IF(COUNTA(A182:D182)=0,"",IF(OR(A182="",B182="",C182="",D182=""),"Missing input",IF(E182="Unknown task","Unknown task",IF(D182&lt;=0,"Units must be positive","Ready"))))</x:f>
      </x:c>
    </x:row>
    <x:row r="183">
      <x:c r="A183" s="14"/>
      <x:c r="B183" s="26"/>
      <x:c r="C183" s="28"/>
      <x:c r="D183" s="23"/>
      <x:c r="E183" s="13" t="str">
        <x:f>IF(B183="","",IFERROR(VLOOKUP(B183,'Backlog'!$A$6:$B$25,2,FALSE),"Unknown task"))</x:f>
      </x:c>
      <x:c r="F183" s="13" t="str">
        <x:f>IF(COUNTA(A183:D183)=0,"",IF(OR(A183="",B183="",C183="",D183=""),"Missing input",IF(E183="Unknown task","Unknown task",IF(D183&lt;=0,"Units must be positive","Ready"))))</x:f>
      </x:c>
    </x:row>
    <x:row r="184">
      <x:c r="A184" s="14"/>
      <x:c r="B184" s="26"/>
      <x:c r="C184" s="28"/>
      <x:c r="D184" s="23"/>
      <x:c r="E184" s="13" t="str">
        <x:f>IF(B184="","",IFERROR(VLOOKUP(B184,'Backlog'!$A$6:$B$25,2,FALSE),"Unknown task"))</x:f>
      </x:c>
      <x:c r="F184" s="13" t="str">
        <x:f>IF(COUNTA(A184:D184)=0,"",IF(OR(A184="",B184="",C184="",D184=""),"Missing input",IF(E184="Unknown task","Unknown task",IF(D184&lt;=0,"Units must be positive","Ready"))))</x:f>
      </x:c>
    </x:row>
    <x:row r="185">
      <x:c r="A185" s="14"/>
      <x:c r="B185" s="26"/>
      <x:c r="C185" s="28"/>
      <x:c r="D185" s="23"/>
      <x:c r="E185" s="13" t="str">
        <x:f>IF(B185="","",IFERROR(VLOOKUP(B185,'Backlog'!$A$6:$B$25,2,FALSE),"Unknown task"))</x:f>
      </x:c>
      <x:c r="F185" s="13" t="str">
        <x:f>IF(COUNTA(A185:D185)=0,"",IF(OR(A185="",B185="",C185="",D185=""),"Missing input",IF(E185="Unknown task","Unknown task",IF(D185&lt;=0,"Units must be positive","Ready"))))</x:f>
      </x:c>
    </x:row>
    <x:row r="186">
      <x:c r="A186" s="14"/>
      <x:c r="B186" s="26"/>
      <x:c r="C186" s="28"/>
      <x:c r="D186" s="23"/>
      <x:c r="E186" s="13" t="str">
        <x:f>IF(B186="","",IFERROR(VLOOKUP(B186,'Backlog'!$A$6:$B$25,2,FALSE),"Unknown task"))</x:f>
      </x:c>
      <x:c r="F186" s="13" t="str">
        <x:f>IF(COUNTA(A186:D186)=0,"",IF(OR(A186="",B186="",C186="",D186=""),"Missing input",IF(E186="Unknown task","Unknown task",IF(D186&lt;=0,"Units must be positive","Ready"))))</x:f>
      </x:c>
    </x:row>
    <x:row r="187">
      <x:c r="A187" s="14"/>
      <x:c r="B187" s="26"/>
      <x:c r="C187" s="28"/>
      <x:c r="D187" s="23"/>
      <x:c r="E187" s="13" t="str">
        <x:f>IF(B187="","",IFERROR(VLOOKUP(B187,'Backlog'!$A$6:$B$25,2,FALSE),"Unknown task"))</x:f>
      </x:c>
      <x:c r="F187" s="13" t="str">
        <x:f>IF(COUNTA(A187:D187)=0,"",IF(OR(A187="",B187="",C187="",D187=""),"Missing input",IF(E187="Unknown task","Unknown task",IF(D187&lt;=0,"Units must be positive","Ready"))))</x:f>
      </x:c>
    </x:row>
    <x:row r="188">
      <x:c r="A188" s="14"/>
      <x:c r="B188" s="26"/>
      <x:c r="C188" s="28"/>
      <x:c r="D188" s="23"/>
      <x:c r="E188" s="13" t="str">
        <x:f>IF(B188="","",IFERROR(VLOOKUP(B188,'Backlog'!$A$6:$B$25,2,FALSE),"Unknown task"))</x:f>
      </x:c>
      <x:c r="F188" s="13" t="str">
        <x:f>IF(COUNTA(A188:D188)=0,"",IF(OR(A188="",B188="",C188="",D188=""),"Missing input",IF(E188="Unknown task","Unknown task",IF(D188&lt;=0,"Units must be positive","Ready"))))</x:f>
      </x:c>
    </x:row>
    <x:row r="189">
      <x:c r="A189" s="14"/>
      <x:c r="B189" s="26"/>
      <x:c r="C189" s="28"/>
      <x:c r="D189" s="23"/>
      <x:c r="E189" s="13" t="str">
        <x:f>IF(B189="","",IFERROR(VLOOKUP(B189,'Backlog'!$A$6:$B$25,2,FALSE),"Unknown task"))</x:f>
      </x:c>
      <x:c r="F189" s="13" t="str">
        <x:f>IF(COUNTA(A189:D189)=0,"",IF(OR(A189="",B189="",C189="",D189=""),"Missing input",IF(E189="Unknown task","Unknown task",IF(D189&lt;=0,"Units must be positive","Ready"))))</x:f>
      </x:c>
    </x:row>
    <x:row r="190">
      <x:c r="A190" s="14"/>
      <x:c r="B190" s="26"/>
      <x:c r="C190" s="28"/>
      <x:c r="D190" s="23"/>
      <x:c r="E190" s="13" t="str">
        <x:f>IF(B190="","",IFERROR(VLOOKUP(B190,'Backlog'!$A$6:$B$25,2,FALSE),"Unknown task"))</x:f>
      </x:c>
      <x:c r="F190" s="13" t="str">
        <x:f>IF(COUNTA(A190:D190)=0,"",IF(OR(A190="",B190="",C190="",D190=""),"Missing input",IF(E190="Unknown task","Unknown task",IF(D190&lt;=0,"Units must be positive","Ready"))))</x:f>
      </x:c>
    </x:row>
    <x:row r="191">
      <x:c r="A191" s="14"/>
      <x:c r="B191" s="26"/>
      <x:c r="C191" s="28"/>
      <x:c r="D191" s="23"/>
      <x:c r="E191" s="13" t="str">
        <x:f>IF(B191="","",IFERROR(VLOOKUP(B191,'Backlog'!$A$6:$B$25,2,FALSE),"Unknown task"))</x:f>
      </x:c>
      <x:c r="F191" s="13" t="str">
        <x:f>IF(COUNTA(A191:D191)=0,"",IF(OR(A191="",B191="",C191="",D191=""),"Missing input",IF(E191="Unknown task","Unknown task",IF(D191&lt;=0,"Units must be positive","Ready"))))</x:f>
      </x:c>
    </x:row>
    <x:row r="192">
      <x:c r="A192" s="14"/>
      <x:c r="B192" s="26"/>
      <x:c r="C192" s="28"/>
      <x:c r="D192" s="23"/>
      <x:c r="E192" s="13" t="str">
        <x:f>IF(B192="","",IFERROR(VLOOKUP(B192,'Backlog'!$A$6:$B$25,2,FALSE),"Unknown task"))</x:f>
      </x:c>
      <x:c r="F192" s="13" t="str">
        <x:f>IF(COUNTA(A192:D192)=0,"",IF(OR(A192="",B192="",C192="",D192=""),"Missing input",IF(E192="Unknown task","Unknown task",IF(D192&lt;=0,"Units must be positive","Ready"))))</x:f>
      </x:c>
    </x:row>
    <x:row r="193">
      <x:c r="A193" s="14"/>
      <x:c r="B193" s="26"/>
      <x:c r="C193" s="28"/>
      <x:c r="D193" s="23"/>
      <x:c r="E193" s="13" t="str">
        <x:f>IF(B193="","",IFERROR(VLOOKUP(B193,'Backlog'!$A$6:$B$25,2,FALSE),"Unknown task"))</x:f>
      </x:c>
      <x:c r="F193" s="13" t="str">
        <x:f>IF(COUNTA(A193:D193)=0,"",IF(OR(A193="",B193="",C193="",D193=""),"Missing input",IF(E193="Unknown task","Unknown task",IF(D193&lt;=0,"Units must be positive","Ready"))))</x:f>
      </x:c>
    </x:row>
    <x:row r="194">
      <x:c r="A194" s="14"/>
      <x:c r="B194" s="26"/>
      <x:c r="C194" s="28"/>
      <x:c r="D194" s="23"/>
      <x:c r="E194" s="13" t="str">
        <x:f>IF(B194="","",IFERROR(VLOOKUP(B194,'Backlog'!$A$6:$B$25,2,FALSE),"Unknown task"))</x:f>
      </x:c>
      <x:c r="F194" s="13" t="str">
        <x:f>IF(COUNTA(A194:D194)=0,"",IF(OR(A194="",B194="",C194="",D194=""),"Missing input",IF(E194="Unknown task","Unknown task",IF(D194&lt;=0,"Units must be positive","Ready"))))</x:f>
      </x:c>
    </x:row>
    <x:row r="195">
      <x:c r="A195" s="14"/>
      <x:c r="B195" s="26"/>
      <x:c r="C195" s="28"/>
      <x:c r="D195" s="23"/>
      <x:c r="E195" s="13" t="str">
        <x:f>IF(B195="","",IFERROR(VLOOKUP(B195,'Backlog'!$A$6:$B$25,2,FALSE),"Unknown task"))</x:f>
      </x:c>
      <x:c r="F195" s="13" t="str">
        <x:f>IF(COUNTA(A195:D195)=0,"",IF(OR(A195="",B195="",C195="",D195=""),"Missing input",IF(E195="Unknown task","Unknown task",IF(D195&lt;=0,"Units must be positive","Ready"))))</x:f>
      </x:c>
    </x:row>
    <x:row r="196">
      <x:c r="A196" s="14"/>
      <x:c r="B196" s="26"/>
      <x:c r="C196" s="28"/>
      <x:c r="D196" s="23"/>
      <x:c r="E196" s="13" t="str">
        <x:f>IF(B196="","",IFERROR(VLOOKUP(B196,'Backlog'!$A$6:$B$25,2,FALSE),"Unknown task"))</x:f>
      </x:c>
      <x:c r="F196" s="13" t="str">
        <x:f>IF(COUNTA(A196:D196)=0,"",IF(OR(A196="",B196="",C196="",D196=""),"Missing input",IF(E196="Unknown task","Unknown task",IF(D196&lt;=0,"Units must be positive","Ready"))))</x:f>
      </x:c>
    </x:row>
    <x:row r="197">
      <x:c r="A197" s="14"/>
      <x:c r="B197" s="26"/>
      <x:c r="C197" s="28"/>
      <x:c r="D197" s="23"/>
      <x:c r="E197" s="13" t="str">
        <x:f>IF(B197="","",IFERROR(VLOOKUP(B197,'Backlog'!$A$6:$B$25,2,FALSE),"Unknown task"))</x:f>
      </x:c>
      <x:c r="F197" s="13" t="str">
        <x:f>IF(COUNTA(A197:D197)=0,"",IF(OR(A197="",B197="",C197="",D197=""),"Missing input",IF(E197="Unknown task","Unknown task",IF(D197&lt;=0,"Units must be positive","Ready"))))</x:f>
      </x:c>
    </x:row>
    <x:row r="198">
      <x:c r="A198" s="14"/>
      <x:c r="B198" s="26"/>
      <x:c r="C198" s="28"/>
      <x:c r="D198" s="23"/>
      <x:c r="E198" s="13" t="str">
        <x:f>IF(B198="","",IFERROR(VLOOKUP(B198,'Backlog'!$A$6:$B$25,2,FALSE),"Unknown task"))</x:f>
      </x:c>
      <x:c r="F198" s="13" t="str">
        <x:f>IF(COUNTA(A198:D198)=0,"",IF(OR(A198="",B198="",C198="",D198=""),"Missing input",IF(E198="Unknown task","Unknown task",IF(D198&lt;=0,"Units must be positive","Ready"))))</x:f>
      </x:c>
    </x:row>
    <x:row r="199">
      <x:c r="A199" s="14"/>
      <x:c r="B199" s="26"/>
      <x:c r="C199" s="28"/>
      <x:c r="D199" s="23"/>
      <x:c r="E199" s="13" t="str">
        <x:f>IF(B199="","",IFERROR(VLOOKUP(B199,'Backlog'!$A$6:$B$25,2,FALSE),"Unknown task"))</x:f>
      </x:c>
      <x:c r="F199" s="13" t="str">
        <x:f>IF(COUNTA(A199:D199)=0,"",IF(OR(A199="",B199="",C199="",D199=""),"Missing input",IF(E199="Unknown task","Unknown task",IF(D199&lt;=0,"Units must be positive","Ready"))))</x:f>
      </x:c>
    </x:row>
    <x:row r="200">
      <x:c r="A200" s="14"/>
      <x:c r="B200" s="26"/>
      <x:c r="C200" s="28"/>
      <x:c r="D200" s="23"/>
      <x:c r="E200" s="13" t="str">
        <x:f>IF(B200="","",IFERROR(VLOOKUP(B200,'Backlog'!$A$6:$B$25,2,FALSE),"Unknown task"))</x:f>
      </x:c>
      <x:c r="F200" s="13" t="str">
        <x:f>IF(COUNTA(A200:D200)=0,"",IF(OR(A200="",B200="",C200="",D200=""),"Missing input",IF(E200="Unknown task","Unknown task",IF(D200&lt;=0,"Units must be positive","Ready"))))</x:f>
      </x:c>
    </x:row>
    <x:row r="201">
      <x:c r="A201" s="14"/>
      <x:c r="B201" s="26"/>
      <x:c r="C201" s="28"/>
      <x:c r="D201" s="23"/>
      <x:c r="E201" s="13" t="str">
        <x:f>IF(B201="","",IFERROR(VLOOKUP(B201,'Backlog'!$A$6:$B$25,2,FALSE),"Unknown task"))</x:f>
      </x:c>
      <x:c r="F201" s="13" t="str">
        <x:f>IF(COUNTA(A201:D201)=0,"",IF(OR(A201="",B201="",C201="",D201=""),"Missing input",IF(E201="Unknown task","Unknown task",IF(D201&lt;=0,"Units must be positive","Ready"))))</x:f>
      </x:c>
    </x:row>
    <x:row r="202">
      <x:c r="A202" s="14"/>
      <x:c r="B202" s="26"/>
      <x:c r="C202" s="28"/>
      <x:c r="D202" s="23"/>
      <x:c r="E202" s="13" t="str">
        <x:f>IF(B202="","",IFERROR(VLOOKUP(B202,'Backlog'!$A$6:$B$25,2,FALSE),"Unknown task"))</x:f>
      </x:c>
      <x:c r="F202" s="13" t="str">
        <x:f>IF(COUNTA(A202:D202)=0,"",IF(OR(A202="",B202="",C202="",D202=""),"Missing input",IF(E202="Unknown task","Unknown task",IF(D202&lt;=0,"Units must be positive","Ready"))))</x:f>
      </x:c>
    </x:row>
    <x:row r="203">
      <x:c r="A203" s="14"/>
      <x:c r="B203" s="26"/>
      <x:c r="C203" s="28"/>
      <x:c r="D203" s="23"/>
      <x:c r="E203" s="13" t="str">
        <x:f>IF(B203="","",IFERROR(VLOOKUP(B203,'Backlog'!$A$6:$B$25,2,FALSE),"Unknown task"))</x:f>
      </x:c>
      <x:c r="F203" s="13" t="str">
        <x:f>IF(COUNTA(A203:D203)=0,"",IF(OR(A203="",B203="",C203="",D203=""),"Missing input",IF(E203="Unknown task","Unknown task",IF(D203&lt;=0,"Units must be positive","Ready"))))</x:f>
      </x:c>
    </x:row>
    <x:row r="204">
      <x:c r="A204" s="14"/>
      <x:c r="B204" s="26"/>
      <x:c r="C204" s="28"/>
      <x:c r="D204" s="23"/>
      <x:c r="E204" s="13" t="str">
        <x:f>IF(B204="","",IFERROR(VLOOKUP(B204,'Backlog'!$A$6:$B$25,2,FALSE),"Unknown task"))</x:f>
      </x:c>
      <x:c r="F204" s="13" t="str">
        <x:f>IF(COUNTA(A204:D204)=0,"",IF(OR(A204="",B204="",C204="",D204=""),"Missing input",IF(E204="Unknown task","Unknown task",IF(D204&lt;=0,"Units must be positive","Ready"))))</x:f>
      </x:c>
    </x:row>
    <x:row r="205">
      <x:c r="A205" s="14"/>
      <x:c r="B205" s="26"/>
      <x:c r="C205" s="28"/>
      <x:c r="D205" s="23"/>
      <x:c r="E205" s="13" t="str">
        <x:f>IF(B205="","",IFERROR(VLOOKUP(B205,'Backlog'!$A$6:$B$25,2,FALSE),"Unknown task"))</x:f>
      </x:c>
      <x:c r="F205" s="13" t="str">
        <x:f>IF(COUNTA(A205:D205)=0,"",IF(OR(A205="",B205="",C205="",D205=""),"Missing input",IF(E205="Unknown task","Unknown task",IF(D205&lt;=0,"Units must be positive","Ready"))))</x:f>
      </x:c>
    </x:row>
  </x:sheetData>
  <x:mergeCells>
    <x:mergeCell ref="A2:F2"/>
  </x:mergeCells>
  <x:dataValidations count="2">
    <x:dataValidation type="list" sqref="B6:B205">
      <x:formula1>'Backlog'!$A$6:$A$25</x:formula1>
    </x:dataValidation>
    <x:dataValidation type="decimal" operator="greaterThan" sqref="D6:D205">
      <x:formula1>0</x:formula1>
    </x:dataValidation>
  </x:dataValidations>
  <x:pageMargins left="0.7" right="0.7" top="0.75" bottom="0.75" header="0.3" footer="0.3"/>
</x:worksheet>
</file>